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esktop\Bahria Uni\Financial Modelling\Aftermids\"/>
    </mc:Choice>
  </mc:AlternateContent>
  <xr:revisionPtr revIDLastSave="0" documentId="13_ncr:1_{E8FEB2ED-2619-48C8-80E0-8EF43679AAD8}" xr6:coauthVersionLast="47" xr6:coauthVersionMax="47" xr10:uidLastSave="{00000000-0000-0000-0000-000000000000}"/>
  <bookViews>
    <workbookView minimized="1" xWindow="6168" yWindow="4056" windowWidth="17280" windowHeight="8880" activeTab="1" xr2:uid="{939113E1-B217-4506-9AB5-60C1C0B86F98}"/>
  </bookViews>
  <sheets>
    <sheet name="3 stock optimal portfolio" sheetId="5" r:id="rId1"/>
    <sheet name="2 stock optimal portfolio" sheetId="4" r:id="rId2"/>
    <sheet name="Sample 2010" sheetId="3" r:id="rId3"/>
    <sheet name="3 stocks Raw data" sheetId="1" r:id="rId4"/>
    <sheet name="Sheet1" sheetId="2" state="hidden" r:id="rId5"/>
  </sheets>
  <definedNames>
    <definedName name="_xlnm._FilterDatabase" localSheetId="0" hidden="1">'3 stock optimal portfolio'!$A$1:$D$247</definedName>
    <definedName name="_xlnm._FilterDatabase" localSheetId="2" hidden="1">'Sample 2010'!$A$1:$D$247</definedName>
    <definedName name="solver_adj" localSheetId="0" hidden="1">'3 stock optimal portfolio'!$K$6:$M$6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'3 stock optimal portfolio'!$N$6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'3 stock optimal portfolio'!$K$14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100%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5" l="1"/>
  <c r="K7" i="5"/>
  <c r="M7" i="5"/>
  <c r="M3" i="5"/>
  <c r="F4" i="5"/>
  <c r="G4" i="5"/>
  <c r="H4" i="5"/>
  <c r="F5" i="5"/>
  <c r="G5" i="5"/>
  <c r="H5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16" i="5"/>
  <c r="G16" i="5"/>
  <c r="H16" i="5"/>
  <c r="F17" i="5"/>
  <c r="G17" i="5"/>
  <c r="H17" i="5"/>
  <c r="F18" i="5"/>
  <c r="G18" i="5"/>
  <c r="H18" i="5"/>
  <c r="F19" i="5"/>
  <c r="G19" i="5"/>
  <c r="H19" i="5"/>
  <c r="F20" i="5"/>
  <c r="G20" i="5"/>
  <c r="H20" i="5"/>
  <c r="F21" i="5"/>
  <c r="G21" i="5"/>
  <c r="H21" i="5"/>
  <c r="F22" i="5"/>
  <c r="G22" i="5"/>
  <c r="H22" i="5"/>
  <c r="F23" i="5"/>
  <c r="G23" i="5"/>
  <c r="H23" i="5"/>
  <c r="F24" i="5"/>
  <c r="G24" i="5"/>
  <c r="H24" i="5"/>
  <c r="F25" i="5"/>
  <c r="G25" i="5"/>
  <c r="H25" i="5"/>
  <c r="F26" i="5"/>
  <c r="G26" i="5"/>
  <c r="H26" i="5"/>
  <c r="F27" i="5"/>
  <c r="G27" i="5"/>
  <c r="H27" i="5"/>
  <c r="F28" i="5"/>
  <c r="G28" i="5"/>
  <c r="H28" i="5"/>
  <c r="F29" i="5"/>
  <c r="G29" i="5"/>
  <c r="H29" i="5"/>
  <c r="F30" i="5"/>
  <c r="G30" i="5"/>
  <c r="H30" i="5"/>
  <c r="F31" i="5"/>
  <c r="G31" i="5"/>
  <c r="H31" i="5"/>
  <c r="F32" i="5"/>
  <c r="G32" i="5"/>
  <c r="H32" i="5"/>
  <c r="F33" i="5"/>
  <c r="G33" i="5"/>
  <c r="H33" i="5"/>
  <c r="F34" i="5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F47" i="5"/>
  <c r="G47" i="5"/>
  <c r="H47" i="5"/>
  <c r="F48" i="5"/>
  <c r="G48" i="5"/>
  <c r="H48" i="5"/>
  <c r="F49" i="5"/>
  <c r="G49" i="5"/>
  <c r="H49" i="5"/>
  <c r="F50" i="5"/>
  <c r="G50" i="5"/>
  <c r="H50" i="5"/>
  <c r="F51" i="5"/>
  <c r="G51" i="5"/>
  <c r="H51" i="5"/>
  <c r="F52" i="5"/>
  <c r="G52" i="5"/>
  <c r="H52" i="5"/>
  <c r="F53" i="5"/>
  <c r="G53" i="5"/>
  <c r="H53" i="5"/>
  <c r="F54" i="5"/>
  <c r="G54" i="5"/>
  <c r="H54" i="5"/>
  <c r="F55" i="5"/>
  <c r="G55" i="5"/>
  <c r="H55" i="5"/>
  <c r="F56" i="5"/>
  <c r="G56" i="5"/>
  <c r="H56" i="5"/>
  <c r="F57" i="5"/>
  <c r="G57" i="5"/>
  <c r="H57" i="5"/>
  <c r="F58" i="5"/>
  <c r="G58" i="5"/>
  <c r="H58" i="5"/>
  <c r="F59" i="5"/>
  <c r="G59" i="5"/>
  <c r="H59" i="5"/>
  <c r="F60" i="5"/>
  <c r="G60" i="5"/>
  <c r="H60" i="5"/>
  <c r="F61" i="5"/>
  <c r="G61" i="5"/>
  <c r="H61" i="5"/>
  <c r="F62" i="5"/>
  <c r="G62" i="5"/>
  <c r="H62" i="5"/>
  <c r="F63" i="5"/>
  <c r="G63" i="5"/>
  <c r="H63" i="5"/>
  <c r="F64" i="5"/>
  <c r="G64" i="5"/>
  <c r="H64" i="5"/>
  <c r="F65" i="5"/>
  <c r="G65" i="5"/>
  <c r="H65" i="5"/>
  <c r="F66" i="5"/>
  <c r="G66" i="5"/>
  <c r="H66" i="5"/>
  <c r="F67" i="5"/>
  <c r="G67" i="5"/>
  <c r="H67" i="5"/>
  <c r="F68" i="5"/>
  <c r="G68" i="5"/>
  <c r="H68" i="5"/>
  <c r="F69" i="5"/>
  <c r="G69" i="5"/>
  <c r="H69" i="5"/>
  <c r="F70" i="5"/>
  <c r="G70" i="5"/>
  <c r="H70" i="5"/>
  <c r="F71" i="5"/>
  <c r="G71" i="5"/>
  <c r="H71" i="5"/>
  <c r="F72" i="5"/>
  <c r="G72" i="5"/>
  <c r="H72" i="5"/>
  <c r="F73" i="5"/>
  <c r="G73" i="5"/>
  <c r="H73" i="5"/>
  <c r="F74" i="5"/>
  <c r="G74" i="5"/>
  <c r="H74" i="5"/>
  <c r="F75" i="5"/>
  <c r="G75" i="5"/>
  <c r="H75" i="5"/>
  <c r="F76" i="5"/>
  <c r="G76" i="5"/>
  <c r="H76" i="5"/>
  <c r="F77" i="5"/>
  <c r="G77" i="5"/>
  <c r="H77" i="5"/>
  <c r="F78" i="5"/>
  <c r="G78" i="5"/>
  <c r="H78" i="5"/>
  <c r="F79" i="5"/>
  <c r="G79" i="5"/>
  <c r="H79" i="5"/>
  <c r="F80" i="5"/>
  <c r="G80" i="5"/>
  <c r="H80" i="5"/>
  <c r="F81" i="5"/>
  <c r="G81" i="5"/>
  <c r="H81" i="5"/>
  <c r="F82" i="5"/>
  <c r="G82" i="5"/>
  <c r="H82" i="5"/>
  <c r="F83" i="5"/>
  <c r="G83" i="5"/>
  <c r="H83" i="5"/>
  <c r="F84" i="5"/>
  <c r="G84" i="5"/>
  <c r="H84" i="5"/>
  <c r="F85" i="5"/>
  <c r="G85" i="5"/>
  <c r="H85" i="5"/>
  <c r="F86" i="5"/>
  <c r="G86" i="5"/>
  <c r="H86" i="5"/>
  <c r="F87" i="5"/>
  <c r="G87" i="5"/>
  <c r="H87" i="5"/>
  <c r="F88" i="5"/>
  <c r="G88" i="5"/>
  <c r="H88" i="5"/>
  <c r="F89" i="5"/>
  <c r="G89" i="5"/>
  <c r="H89" i="5"/>
  <c r="F90" i="5"/>
  <c r="G90" i="5"/>
  <c r="H90" i="5"/>
  <c r="F91" i="5"/>
  <c r="G91" i="5"/>
  <c r="H91" i="5"/>
  <c r="F92" i="5"/>
  <c r="G92" i="5"/>
  <c r="H92" i="5"/>
  <c r="F93" i="5"/>
  <c r="G93" i="5"/>
  <c r="H93" i="5"/>
  <c r="F94" i="5"/>
  <c r="G94" i="5"/>
  <c r="H94" i="5"/>
  <c r="F95" i="5"/>
  <c r="G95" i="5"/>
  <c r="H95" i="5"/>
  <c r="F96" i="5"/>
  <c r="G96" i="5"/>
  <c r="H96" i="5"/>
  <c r="F97" i="5"/>
  <c r="G97" i="5"/>
  <c r="H97" i="5"/>
  <c r="F98" i="5"/>
  <c r="G98" i="5"/>
  <c r="H98" i="5"/>
  <c r="F99" i="5"/>
  <c r="G99" i="5"/>
  <c r="H99" i="5"/>
  <c r="F100" i="5"/>
  <c r="G100" i="5"/>
  <c r="H100" i="5"/>
  <c r="F101" i="5"/>
  <c r="G101" i="5"/>
  <c r="H101" i="5"/>
  <c r="F102" i="5"/>
  <c r="G102" i="5"/>
  <c r="H102" i="5"/>
  <c r="F103" i="5"/>
  <c r="G103" i="5"/>
  <c r="H103" i="5"/>
  <c r="F104" i="5"/>
  <c r="G104" i="5"/>
  <c r="H104" i="5"/>
  <c r="F105" i="5"/>
  <c r="G105" i="5"/>
  <c r="H105" i="5"/>
  <c r="F106" i="5"/>
  <c r="G106" i="5"/>
  <c r="H106" i="5"/>
  <c r="F107" i="5"/>
  <c r="G107" i="5"/>
  <c r="H107" i="5"/>
  <c r="F108" i="5"/>
  <c r="G108" i="5"/>
  <c r="H108" i="5"/>
  <c r="F109" i="5"/>
  <c r="G109" i="5"/>
  <c r="H109" i="5"/>
  <c r="F110" i="5"/>
  <c r="G110" i="5"/>
  <c r="H110" i="5"/>
  <c r="F111" i="5"/>
  <c r="G111" i="5"/>
  <c r="H111" i="5"/>
  <c r="F112" i="5"/>
  <c r="G112" i="5"/>
  <c r="H112" i="5"/>
  <c r="F113" i="5"/>
  <c r="G113" i="5"/>
  <c r="H113" i="5"/>
  <c r="F114" i="5"/>
  <c r="G114" i="5"/>
  <c r="H114" i="5"/>
  <c r="F115" i="5"/>
  <c r="G115" i="5"/>
  <c r="H115" i="5"/>
  <c r="F116" i="5"/>
  <c r="G116" i="5"/>
  <c r="H116" i="5"/>
  <c r="F117" i="5"/>
  <c r="G117" i="5"/>
  <c r="H117" i="5"/>
  <c r="F118" i="5"/>
  <c r="G118" i="5"/>
  <c r="H118" i="5"/>
  <c r="F119" i="5"/>
  <c r="G119" i="5"/>
  <c r="H119" i="5"/>
  <c r="F120" i="5"/>
  <c r="G120" i="5"/>
  <c r="H120" i="5"/>
  <c r="F121" i="5"/>
  <c r="G121" i="5"/>
  <c r="H121" i="5"/>
  <c r="F122" i="5"/>
  <c r="G122" i="5"/>
  <c r="H122" i="5"/>
  <c r="F123" i="5"/>
  <c r="G123" i="5"/>
  <c r="H123" i="5"/>
  <c r="F124" i="5"/>
  <c r="G124" i="5"/>
  <c r="H124" i="5"/>
  <c r="F125" i="5"/>
  <c r="G125" i="5"/>
  <c r="H125" i="5"/>
  <c r="F126" i="5"/>
  <c r="G126" i="5"/>
  <c r="H126" i="5"/>
  <c r="F127" i="5"/>
  <c r="G127" i="5"/>
  <c r="H127" i="5"/>
  <c r="F128" i="5"/>
  <c r="G128" i="5"/>
  <c r="H128" i="5"/>
  <c r="F129" i="5"/>
  <c r="G129" i="5"/>
  <c r="H129" i="5"/>
  <c r="F130" i="5"/>
  <c r="G130" i="5"/>
  <c r="H130" i="5"/>
  <c r="F131" i="5"/>
  <c r="G131" i="5"/>
  <c r="H131" i="5"/>
  <c r="F132" i="5"/>
  <c r="G132" i="5"/>
  <c r="H132" i="5"/>
  <c r="F133" i="5"/>
  <c r="G133" i="5"/>
  <c r="H133" i="5"/>
  <c r="F134" i="5"/>
  <c r="G134" i="5"/>
  <c r="H134" i="5"/>
  <c r="F135" i="5"/>
  <c r="G135" i="5"/>
  <c r="H135" i="5"/>
  <c r="F136" i="5"/>
  <c r="G136" i="5"/>
  <c r="H136" i="5"/>
  <c r="F137" i="5"/>
  <c r="G137" i="5"/>
  <c r="H137" i="5"/>
  <c r="F138" i="5"/>
  <c r="G138" i="5"/>
  <c r="H138" i="5"/>
  <c r="F139" i="5"/>
  <c r="G139" i="5"/>
  <c r="H139" i="5"/>
  <c r="F140" i="5"/>
  <c r="G140" i="5"/>
  <c r="H140" i="5"/>
  <c r="F141" i="5"/>
  <c r="G141" i="5"/>
  <c r="H141" i="5"/>
  <c r="F142" i="5"/>
  <c r="G142" i="5"/>
  <c r="H142" i="5"/>
  <c r="F143" i="5"/>
  <c r="G143" i="5"/>
  <c r="H143" i="5"/>
  <c r="F144" i="5"/>
  <c r="G144" i="5"/>
  <c r="H144" i="5"/>
  <c r="F145" i="5"/>
  <c r="G145" i="5"/>
  <c r="H145" i="5"/>
  <c r="F146" i="5"/>
  <c r="G146" i="5"/>
  <c r="H146" i="5"/>
  <c r="F147" i="5"/>
  <c r="G147" i="5"/>
  <c r="H147" i="5"/>
  <c r="F148" i="5"/>
  <c r="G148" i="5"/>
  <c r="H148" i="5"/>
  <c r="F149" i="5"/>
  <c r="G149" i="5"/>
  <c r="H149" i="5"/>
  <c r="F150" i="5"/>
  <c r="G150" i="5"/>
  <c r="H150" i="5"/>
  <c r="F151" i="5"/>
  <c r="G151" i="5"/>
  <c r="H151" i="5"/>
  <c r="F152" i="5"/>
  <c r="G152" i="5"/>
  <c r="H152" i="5"/>
  <c r="F153" i="5"/>
  <c r="G153" i="5"/>
  <c r="H153" i="5"/>
  <c r="F154" i="5"/>
  <c r="G154" i="5"/>
  <c r="H154" i="5"/>
  <c r="F155" i="5"/>
  <c r="G155" i="5"/>
  <c r="H155" i="5"/>
  <c r="F156" i="5"/>
  <c r="G156" i="5"/>
  <c r="H156" i="5"/>
  <c r="F157" i="5"/>
  <c r="G157" i="5"/>
  <c r="H157" i="5"/>
  <c r="F158" i="5"/>
  <c r="G158" i="5"/>
  <c r="H158" i="5"/>
  <c r="F159" i="5"/>
  <c r="G159" i="5"/>
  <c r="H159" i="5"/>
  <c r="F160" i="5"/>
  <c r="G160" i="5"/>
  <c r="H160" i="5"/>
  <c r="F161" i="5"/>
  <c r="G161" i="5"/>
  <c r="H161" i="5"/>
  <c r="F162" i="5"/>
  <c r="G162" i="5"/>
  <c r="H162" i="5"/>
  <c r="F163" i="5"/>
  <c r="G163" i="5"/>
  <c r="H163" i="5"/>
  <c r="F164" i="5"/>
  <c r="G164" i="5"/>
  <c r="H164" i="5"/>
  <c r="F165" i="5"/>
  <c r="G165" i="5"/>
  <c r="H165" i="5"/>
  <c r="F166" i="5"/>
  <c r="G166" i="5"/>
  <c r="H166" i="5"/>
  <c r="F167" i="5"/>
  <c r="G167" i="5"/>
  <c r="H167" i="5"/>
  <c r="F168" i="5"/>
  <c r="G168" i="5"/>
  <c r="H168" i="5"/>
  <c r="F169" i="5"/>
  <c r="G169" i="5"/>
  <c r="H169" i="5"/>
  <c r="F170" i="5"/>
  <c r="G170" i="5"/>
  <c r="H170" i="5"/>
  <c r="F171" i="5"/>
  <c r="G171" i="5"/>
  <c r="H171" i="5"/>
  <c r="F172" i="5"/>
  <c r="G172" i="5"/>
  <c r="H172" i="5"/>
  <c r="F173" i="5"/>
  <c r="G173" i="5"/>
  <c r="H173" i="5"/>
  <c r="F174" i="5"/>
  <c r="G174" i="5"/>
  <c r="H174" i="5"/>
  <c r="F175" i="5"/>
  <c r="G175" i="5"/>
  <c r="H175" i="5"/>
  <c r="F176" i="5"/>
  <c r="G176" i="5"/>
  <c r="H176" i="5"/>
  <c r="F177" i="5"/>
  <c r="G177" i="5"/>
  <c r="H177" i="5"/>
  <c r="F178" i="5"/>
  <c r="G178" i="5"/>
  <c r="H178" i="5"/>
  <c r="F179" i="5"/>
  <c r="G179" i="5"/>
  <c r="H179" i="5"/>
  <c r="F180" i="5"/>
  <c r="G180" i="5"/>
  <c r="H180" i="5"/>
  <c r="F181" i="5"/>
  <c r="G181" i="5"/>
  <c r="H181" i="5"/>
  <c r="F182" i="5"/>
  <c r="G182" i="5"/>
  <c r="H182" i="5"/>
  <c r="F183" i="5"/>
  <c r="G183" i="5"/>
  <c r="H183" i="5"/>
  <c r="F184" i="5"/>
  <c r="G184" i="5"/>
  <c r="H184" i="5"/>
  <c r="F185" i="5"/>
  <c r="G185" i="5"/>
  <c r="H185" i="5"/>
  <c r="F186" i="5"/>
  <c r="G186" i="5"/>
  <c r="H186" i="5"/>
  <c r="F187" i="5"/>
  <c r="G187" i="5"/>
  <c r="H187" i="5"/>
  <c r="F188" i="5"/>
  <c r="G188" i="5"/>
  <c r="H188" i="5"/>
  <c r="F189" i="5"/>
  <c r="G189" i="5"/>
  <c r="H189" i="5"/>
  <c r="F190" i="5"/>
  <c r="G190" i="5"/>
  <c r="H190" i="5"/>
  <c r="F191" i="5"/>
  <c r="G191" i="5"/>
  <c r="H191" i="5"/>
  <c r="F192" i="5"/>
  <c r="G192" i="5"/>
  <c r="H192" i="5"/>
  <c r="F193" i="5"/>
  <c r="G193" i="5"/>
  <c r="H193" i="5"/>
  <c r="F194" i="5"/>
  <c r="G194" i="5"/>
  <c r="H194" i="5"/>
  <c r="F195" i="5"/>
  <c r="G195" i="5"/>
  <c r="H195" i="5"/>
  <c r="F196" i="5"/>
  <c r="G196" i="5"/>
  <c r="H196" i="5"/>
  <c r="F197" i="5"/>
  <c r="G197" i="5"/>
  <c r="H197" i="5"/>
  <c r="F198" i="5"/>
  <c r="G198" i="5"/>
  <c r="H198" i="5"/>
  <c r="F199" i="5"/>
  <c r="G199" i="5"/>
  <c r="H199" i="5"/>
  <c r="F200" i="5"/>
  <c r="G200" i="5"/>
  <c r="H200" i="5"/>
  <c r="F201" i="5"/>
  <c r="G201" i="5"/>
  <c r="H201" i="5"/>
  <c r="F202" i="5"/>
  <c r="G202" i="5"/>
  <c r="H202" i="5"/>
  <c r="F203" i="5"/>
  <c r="G203" i="5"/>
  <c r="H203" i="5"/>
  <c r="F204" i="5"/>
  <c r="G204" i="5"/>
  <c r="H204" i="5"/>
  <c r="F205" i="5"/>
  <c r="G205" i="5"/>
  <c r="H205" i="5"/>
  <c r="F206" i="5"/>
  <c r="G206" i="5"/>
  <c r="H206" i="5"/>
  <c r="F207" i="5"/>
  <c r="G207" i="5"/>
  <c r="H207" i="5"/>
  <c r="F208" i="5"/>
  <c r="G208" i="5"/>
  <c r="H208" i="5"/>
  <c r="F209" i="5"/>
  <c r="G209" i="5"/>
  <c r="H209" i="5"/>
  <c r="F210" i="5"/>
  <c r="G210" i="5"/>
  <c r="H210" i="5"/>
  <c r="F211" i="5"/>
  <c r="G211" i="5"/>
  <c r="H211" i="5"/>
  <c r="F212" i="5"/>
  <c r="G212" i="5"/>
  <c r="H212" i="5"/>
  <c r="F213" i="5"/>
  <c r="G213" i="5"/>
  <c r="H213" i="5"/>
  <c r="F214" i="5"/>
  <c r="G214" i="5"/>
  <c r="H214" i="5"/>
  <c r="F215" i="5"/>
  <c r="G215" i="5"/>
  <c r="H215" i="5"/>
  <c r="F216" i="5"/>
  <c r="G216" i="5"/>
  <c r="H216" i="5"/>
  <c r="F217" i="5"/>
  <c r="G217" i="5"/>
  <c r="H217" i="5"/>
  <c r="F218" i="5"/>
  <c r="G218" i="5"/>
  <c r="H218" i="5"/>
  <c r="F219" i="5"/>
  <c r="G219" i="5"/>
  <c r="H219" i="5"/>
  <c r="F220" i="5"/>
  <c r="G220" i="5"/>
  <c r="H220" i="5"/>
  <c r="F221" i="5"/>
  <c r="G221" i="5"/>
  <c r="H221" i="5"/>
  <c r="F222" i="5"/>
  <c r="G222" i="5"/>
  <c r="H222" i="5"/>
  <c r="F223" i="5"/>
  <c r="G223" i="5"/>
  <c r="H223" i="5"/>
  <c r="F224" i="5"/>
  <c r="G224" i="5"/>
  <c r="H224" i="5"/>
  <c r="F225" i="5"/>
  <c r="G225" i="5"/>
  <c r="H225" i="5"/>
  <c r="F226" i="5"/>
  <c r="G226" i="5"/>
  <c r="H226" i="5"/>
  <c r="F227" i="5"/>
  <c r="G227" i="5"/>
  <c r="H227" i="5"/>
  <c r="F228" i="5"/>
  <c r="G228" i="5"/>
  <c r="H228" i="5"/>
  <c r="F229" i="5"/>
  <c r="G229" i="5"/>
  <c r="H229" i="5"/>
  <c r="F230" i="5"/>
  <c r="G230" i="5"/>
  <c r="H230" i="5"/>
  <c r="F231" i="5"/>
  <c r="G231" i="5"/>
  <c r="H231" i="5"/>
  <c r="F232" i="5"/>
  <c r="G232" i="5"/>
  <c r="H232" i="5"/>
  <c r="F233" i="5"/>
  <c r="G233" i="5"/>
  <c r="H233" i="5"/>
  <c r="F234" i="5"/>
  <c r="G234" i="5"/>
  <c r="H234" i="5"/>
  <c r="F235" i="5"/>
  <c r="G235" i="5"/>
  <c r="H235" i="5"/>
  <c r="F236" i="5"/>
  <c r="G236" i="5"/>
  <c r="H236" i="5"/>
  <c r="F237" i="5"/>
  <c r="G237" i="5"/>
  <c r="H237" i="5"/>
  <c r="F238" i="5"/>
  <c r="G238" i="5"/>
  <c r="H238" i="5"/>
  <c r="F239" i="5"/>
  <c r="G239" i="5"/>
  <c r="H239" i="5"/>
  <c r="F240" i="5"/>
  <c r="G240" i="5"/>
  <c r="H240" i="5"/>
  <c r="F241" i="5"/>
  <c r="G241" i="5"/>
  <c r="H241" i="5"/>
  <c r="F242" i="5"/>
  <c r="G242" i="5"/>
  <c r="H242" i="5"/>
  <c r="F243" i="5"/>
  <c r="G243" i="5"/>
  <c r="H243" i="5"/>
  <c r="F244" i="5"/>
  <c r="G244" i="5"/>
  <c r="H244" i="5"/>
  <c r="F245" i="5"/>
  <c r="G245" i="5"/>
  <c r="H245" i="5"/>
  <c r="F246" i="5"/>
  <c r="G246" i="5"/>
  <c r="H246" i="5"/>
  <c r="F247" i="5"/>
  <c r="G247" i="5"/>
  <c r="H247" i="5"/>
  <c r="H3" i="5"/>
  <c r="M20" i="5" s="1"/>
  <c r="G3" i="5"/>
  <c r="L19" i="5" s="1"/>
  <c r="F3" i="5"/>
  <c r="K5" i="5" s="1"/>
  <c r="T5" i="4"/>
  <c r="S5" i="4"/>
  <c r="T4" i="4"/>
  <c r="S4" i="4"/>
  <c r="T3" i="4"/>
  <c r="S3" i="4"/>
  <c r="P20" i="4"/>
  <c r="O20" i="4" a="1"/>
  <c r="O20" i="4" s="1"/>
  <c r="N20" i="4" a="1"/>
  <c r="N20" i="4" s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3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E3" i="4"/>
  <c r="D3" i="4"/>
  <c r="AB1055" i="1"/>
  <c r="AB1038" i="1"/>
  <c r="AB1019" i="1"/>
  <c r="AB1002" i="1"/>
  <c r="AB983" i="1"/>
  <c r="AB966" i="1"/>
  <c r="AB947" i="1"/>
  <c r="AB930" i="1"/>
  <c r="AB911" i="1"/>
  <c r="AB894" i="1"/>
  <c r="AB875" i="1"/>
  <c r="AB858" i="1"/>
  <c r="AB839" i="1"/>
  <c r="AB822" i="1"/>
  <c r="AB803" i="1"/>
  <c r="AB786" i="1"/>
  <c r="AB768" i="1"/>
  <c r="AB767" i="1"/>
  <c r="AB751" i="1"/>
  <c r="AB750" i="1"/>
  <c r="AB732" i="1"/>
  <c r="AB731" i="1"/>
  <c r="AB715" i="1"/>
  <c r="AB714" i="1"/>
  <c r="AB696" i="1"/>
  <c r="AB695" i="1"/>
  <c r="AB679" i="1"/>
  <c r="AB678" i="1"/>
  <c r="AB660" i="1"/>
  <c r="AB659" i="1"/>
  <c r="AB643" i="1"/>
  <c r="AB642" i="1"/>
  <c r="AB624" i="1"/>
  <c r="AB623" i="1"/>
  <c r="AB607" i="1"/>
  <c r="AB606" i="1"/>
  <c r="AB588" i="1"/>
  <c r="AB587" i="1"/>
  <c r="AB571" i="1"/>
  <c r="AB570" i="1"/>
  <c r="AB552" i="1"/>
  <c r="AB551" i="1"/>
  <c r="AB536" i="1"/>
  <c r="AB535" i="1"/>
  <c r="AB534" i="1"/>
  <c r="AB517" i="1"/>
  <c r="AB516" i="1"/>
  <c r="AB515" i="1"/>
  <c r="AB501" i="1"/>
  <c r="AB500" i="1"/>
  <c r="AB499" i="1"/>
  <c r="AB498" i="1"/>
  <c r="AB482" i="1"/>
  <c r="AB481" i="1"/>
  <c r="AB480" i="1"/>
  <c r="AB479" i="1"/>
  <c r="AB465" i="1"/>
  <c r="AB464" i="1"/>
  <c r="AB463" i="1"/>
  <c r="AB462" i="1"/>
  <c r="AB446" i="1"/>
  <c r="AB445" i="1"/>
  <c r="AB444" i="1"/>
  <c r="AB443" i="1"/>
  <c r="AB429" i="1"/>
  <c r="AB428" i="1"/>
  <c r="AB427" i="1"/>
  <c r="AB426" i="1"/>
  <c r="AB410" i="1"/>
  <c r="AB409" i="1"/>
  <c r="AB408" i="1"/>
  <c r="AB407" i="1"/>
  <c r="AB393" i="1"/>
  <c r="AB392" i="1"/>
  <c r="AB391" i="1"/>
  <c r="AB390" i="1"/>
  <c r="AB378" i="1"/>
  <c r="AB377" i="1"/>
  <c r="AB374" i="1"/>
  <c r="AB373" i="1"/>
  <c r="AB361" i="1"/>
  <c r="AB360" i="1"/>
  <c r="AB359" i="1"/>
  <c r="AB357" i="1"/>
  <c r="AB345" i="1"/>
  <c r="AB344" i="1"/>
  <c r="AB343" i="1"/>
  <c r="AB342" i="1"/>
  <c r="AB330" i="1"/>
  <c r="AB329" i="1"/>
  <c r="AB326" i="1"/>
  <c r="AB325" i="1"/>
  <c r="AB313" i="1"/>
  <c r="AB312" i="1"/>
  <c r="AB311" i="1"/>
  <c r="AB309" i="1"/>
  <c r="AB297" i="1"/>
  <c r="AB296" i="1"/>
  <c r="AB295" i="1"/>
  <c r="AB294" i="1"/>
  <c r="AB285" i="1"/>
  <c r="AB282" i="1"/>
  <c r="AB281" i="1"/>
  <c r="AB278" i="1"/>
  <c r="AB277" i="1"/>
  <c r="AB271" i="1"/>
  <c r="AB270" i="1"/>
  <c r="AB265" i="1"/>
  <c r="AB264" i="1"/>
  <c r="AB263" i="1"/>
  <c r="AB261" i="1"/>
  <c r="AB254" i="1"/>
  <c r="AB253" i="1"/>
  <c r="AB249" i="1"/>
  <c r="AB248" i="1"/>
  <c r="AB247" i="1"/>
  <c r="AB246" i="1"/>
  <c r="AB239" i="1"/>
  <c r="AB237" i="1"/>
  <c r="AB234" i="1"/>
  <c r="AB233" i="1"/>
  <c r="AB230" i="1"/>
  <c r="AB229" i="1"/>
  <c r="AB223" i="1"/>
  <c r="AB222" i="1"/>
  <c r="AB218" i="1"/>
  <c r="AB217" i="1"/>
  <c r="AB216" i="1"/>
  <c r="AB215" i="1"/>
  <c r="AB213" i="1"/>
  <c r="AB206" i="1"/>
  <c r="AB205" i="1"/>
  <c r="AB203" i="1"/>
  <c r="AB201" i="1"/>
  <c r="AB200" i="1"/>
  <c r="AB199" i="1"/>
  <c r="AB198" i="1"/>
  <c r="AB191" i="1"/>
  <c r="AB189" i="1"/>
  <c r="AB187" i="1"/>
  <c r="AB186" i="1"/>
  <c r="AB185" i="1"/>
  <c r="AB182" i="1"/>
  <c r="AB181" i="1"/>
  <c r="AB175" i="1"/>
  <c r="AB174" i="1"/>
  <c r="AB170" i="1"/>
  <c r="AB169" i="1"/>
  <c r="AB168" i="1"/>
  <c r="AB167" i="1"/>
  <c r="AB165" i="1"/>
  <c r="AB159" i="1"/>
  <c r="AB158" i="1"/>
  <c r="AB156" i="1"/>
  <c r="AB155" i="1"/>
  <c r="AB153" i="1"/>
  <c r="AB152" i="1"/>
  <c r="AB151" i="1"/>
  <c r="AB145" i="1"/>
  <c r="AB144" i="1"/>
  <c r="AB141" i="1"/>
  <c r="AB140" i="1"/>
  <c r="AB139" i="1"/>
  <c r="AB138" i="1"/>
  <c r="AB137" i="1"/>
  <c r="AB131" i="1"/>
  <c r="AB129" i="1"/>
  <c r="AB128" i="1"/>
  <c r="AB127" i="1"/>
  <c r="AB126" i="1"/>
  <c r="AB125" i="1"/>
  <c r="AB123" i="1"/>
  <c r="AB122" i="1"/>
  <c r="AB116" i="1"/>
  <c r="AB115" i="1"/>
  <c r="AB114" i="1"/>
  <c r="AB113" i="1"/>
  <c r="AB111" i="1"/>
  <c r="AB110" i="1"/>
  <c r="AB109" i="1"/>
  <c r="AB108" i="1"/>
  <c r="AB102" i="1"/>
  <c r="AB101" i="1"/>
  <c r="AB99" i="1"/>
  <c r="AB98" i="1"/>
  <c r="AB97" i="1"/>
  <c r="AB96" i="1"/>
  <c r="AB95" i="1"/>
  <c r="AB93" i="1"/>
  <c r="AB87" i="1"/>
  <c r="AB86" i="1"/>
  <c r="AB85" i="1"/>
  <c r="AB84" i="1"/>
  <c r="AB83" i="1"/>
  <c r="AB81" i="1"/>
  <c r="AB80" i="1"/>
  <c r="AB79" i="1"/>
  <c r="AB73" i="1"/>
  <c r="AB72" i="1"/>
  <c r="AB71" i="1"/>
  <c r="AB69" i="1"/>
  <c r="AB68" i="1"/>
  <c r="AB67" i="1"/>
  <c r="AB66" i="1"/>
  <c r="AB65" i="1"/>
  <c r="AB59" i="1"/>
  <c r="AB57" i="1"/>
  <c r="AB56" i="1"/>
  <c r="AB55" i="1"/>
  <c r="AB54" i="1"/>
  <c r="AB53" i="1"/>
  <c r="AB52" i="1"/>
  <c r="AB51" i="1"/>
  <c r="AB46" i="1"/>
  <c r="AB45" i="1"/>
  <c r="AB44" i="1"/>
  <c r="AB43" i="1"/>
  <c r="AB42" i="1"/>
  <c r="AB41" i="1"/>
  <c r="AB40" i="1"/>
  <c r="AB39" i="1"/>
  <c r="AB34" i="1"/>
  <c r="AB33" i="1"/>
  <c r="AB32" i="1"/>
  <c r="AB31" i="1"/>
  <c r="AB30" i="1"/>
  <c r="AB29" i="1"/>
  <c r="AB28" i="1"/>
  <c r="AB27" i="1"/>
  <c r="AB22" i="1"/>
  <c r="AB21" i="1"/>
  <c r="AB20" i="1"/>
  <c r="AB19" i="1"/>
  <c r="AB18" i="1"/>
  <c r="AB17" i="1"/>
  <c r="AB16" i="1"/>
  <c r="AB15" i="1"/>
  <c r="AB10" i="1"/>
  <c r="AB9" i="1"/>
  <c r="AB8" i="1"/>
  <c r="AB7" i="1"/>
  <c r="AB6" i="1"/>
  <c r="AB5" i="1"/>
  <c r="AB4" i="1"/>
  <c r="AB3" i="1"/>
  <c r="AB3" i="1" a="1"/>
  <c r="AB1069" i="1" s="1"/>
  <c r="AA3" i="1" a="1"/>
  <c r="AA653" i="1" s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K4" i="5" l="1"/>
  <c r="L4" i="5"/>
  <c r="M4" i="5"/>
  <c r="L5" i="5"/>
  <c r="M5" i="5"/>
  <c r="K18" i="5"/>
  <c r="K3" i="5"/>
  <c r="L3" i="5"/>
  <c r="N7" i="5"/>
  <c r="I3" i="4"/>
  <c r="H3" i="4"/>
  <c r="H4" i="4"/>
  <c r="G8" i="4"/>
  <c r="H5" i="4"/>
  <c r="H8" i="4"/>
  <c r="H6" i="4" s="1"/>
  <c r="I4" i="4"/>
  <c r="AA11" i="1"/>
  <c r="AA24" i="1"/>
  <c r="AA40" i="1"/>
  <c r="AA55" i="1"/>
  <c r="AA70" i="1"/>
  <c r="AA87" i="1"/>
  <c r="AA105" i="1"/>
  <c r="AA127" i="1"/>
  <c r="AA149" i="1"/>
  <c r="AA166" i="1"/>
  <c r="AA188" i="1"/>
  <c r="AA210" i="1"/>
  <c r="AA227" i="1"/>
  <c r="AA249" i="1"/>
  <c r="AA271" i="1"/>
  <c r="AA293" i="1"/>
  <c r="AA310" i="1"/>
  <c r="AA333" i="1"/>
  <c r="AA365" i="1"/>
  <c r="AA392" i="1"/>
  <c r="AA428" i="1"/>
  <c r="AA474" i="1"/>
  <c r="AA522" i="1"/>
  <c r="AA570" i="1"/>
  <c r="AA641" i="1"/>
  <c r="AA12" i="1"/>
  <c r="AA27" i="1"/>
  <c r="AA41" i="1"/>
  <c r="AA56" i="1"/>
  <c r="AA71" i="1"/>
  <c r="AA89" i="1"/>
  <c r="AA106" i="1"/>
  <c r="AA128" i="1"/>
  <c r="AA150" i="1"/>
  <c r="AA167" i="1"/>
  <c r="AA189" i="1"/>
  <c r="AA211" i="1"/>
  <c r="AA233" i="1"/>
  <c r="AA250" i="1"/>
  <c r="AA272" i="1"/>
  <c r="AA294" i="1"/>
  <c r="AA311" i="1"/>
  <c r="AA334" i="1"/>
  <c r="AA366" i="1"/>
  <c r="AA401" i="1"/>
  <c r="AA437" i="1"/>
  <c r="AA475" i="1"/>
  <c r="AA523" i="1"/>
  <c r="AA571" i="1"/>
  <c r="AA642" i="1"/>
  <c r="AA14" i="1"/>
  <c r="AA28" i="1"/>
  <c r="AA42" i="1"/>
  <c r="AA57" i="1"/>
  <c r="AA72" i="1"/>
  <c r="AA90" i="1"/>
  <c r="AA107" i="1"/>
  <c r="AA129" i="1"/>
  <c r="AA151" i="1"/>
  <c r="AA173" i="1"/>
  <c r="AA190" i="1"/>
  <c r="AA212" i="1"/>
  <c r="AA234" i="1"/>
  <c r="AA251" i="1"/>
  <c r="AA273" i="1"/>
  <c r="AA295" i="1"/>
  <c r="AA317" i="1"/>
  <c r="AA341" i="1"/>
  <c r="AA367" i="1"/>
  <c r="AA402" i="1"/>
  <c r="AA438" i="1"/>
  <c r="AA485" i="1"/>
  <c r="AA533" i="1"/>
  <c r="AA581" i="1"/>
  <c r="AA1073" i="1"/>
  <c r="AA1061" i="1"/>
  <c r="AA1049" i="1"/>
  <c r="AA1037" i="1"/>
  <c r="AA1025" i="1"/>
  <c r="AA1013" i="1"/>
  <c r="AA1001" i="1"/>
  <c r="AA989" i="1"/>
  <c r="AA977" i="1"/>
  <c r="AA965" i="1"/>
  <c r="AA953" i="1"/>
  <c r="AA941" i="1"/>
  <c r="AA929" i="1"/>
  <c r="AA917" i="1"/>
  <c r="AA905" i="1"/>
  <c r="AA893" i="1"/>
  <c r="AA881" i="1"/>
  <c r="AA869" i="1"/>
  <c r="AA857" i="1"/>
  <c r="AA845" i="1"/>
  <c r="AA833" i="1"/>
  <c r="AA821" i="1"/>
  <c r="AA1072" i="1"/>
  <c r="AA1060" i="1"/>
  <c r="AA1048" i="1"/>
  <c r="AA1036" i="1"/>
  <c r="AA1024" i="1"/>
  <c r="AA1012" i="1"/>
  <c r="AA1000" i="1"/>
  <c r="AA988" i="1"/>
  <c r="AA976" i="1"/>
  <c r="AA964" i="1"/>
  <c r="AA952" i="1"/>
  <c r="AA940" i="1"/>
  <c r="AA928" i="1"/>
  <c r="AA916" i="1"/>
  <c r="AA904" i="1"/>
  <c r="AA892" i="1"/>
  <c r="AA880" i="1"/>
  <c r="AA868" i="1"/>
  <c r="AA856" i="1"/>
  <c r="AA844" i="1"/>
  <c r="AA832" i="1"/>
  <c r="AA1065" i="1"/>
  <c r="AA1051" i="1"/>
  <c r="AA1035" i="1"/>
  <c r="AA1021" i="1"/>
  <c r="AA1007" i="1"/>
  <c r="AA993" i="1"/>
  <c r="AA979" i="1"/>
  <c r="AA963" i="1"/>
  <c r="AA949" i="1"/>
  <c r="AA935" i="1"/>
  <c r="AA921" i="1"/>
  <c r="AA907" i="1"/>
  <c r="AA891" i="1"/>
  <c r="AA877" i="1"/>
  <c r="AA863" i="1"/>
  <c r="AA849" i="1"/>
  <c r="AA835" i="1"/>
  <c r="AA820" i="1"/>
  <c r="AA808" i="1"/>
  <c r="AA796" i="1"/>
  <c r="AA784" i="1"/>
  <c r="AA772" i="1"/>
  <c r="AA760" i="1"/>
  <c r="AA748" i="1"/>
  <c r="AA736" i="1"/>
  <c r="AA724" i="1"/>
  <c r="AA712" i="1"/>
  <c r="AA700" i="1"/>
  <c r="AA688" i="1"/>
  <c r="AA676" i="1"/>
  <c r="AA664" i="1"/>
  <c r="AA652" i="1"/>
  <c r="AA640" i="1"/>
  <c r="AA628" i="1"/>
  <c r="AA616" i="1"/>
  <c r="AA604" i="1"/>
  <c r="AA592" i="1"/>
  <c r="AA580" i="1"/>
  <c r="AA568" i="1"/>
  <c r="AA556" i="1"/>
  <c r="AA544" i="1"/>
  <c r="AA532" i="1"/>
  <c r="AA520" i="1"/>
  <c r="AA508" i="1"/>
  <c r="AA496" i="1"/>
  <c r="AA484" i="1"/>
  <c r="AA472" i="1"/>
  <c r="AA460" i="1"/>
  <c r="AA448" i="1"/>
  <c r="AA436" i="1"/>
  <c r="AA424" i="1"/>
  <c r="AA412" i="1"/>
  <c r="AA400" i="1"/>
  <c r="AA388" i="1"/>
  <c r="AA376" i="1"/>
  <c r="AA364" i="1"/>
  <c r="AA352" i="1"/>
  <c r="AA340" i="1"/>
  <c r="AA328" i="1"/>
  <c r="AA316" i="1"/>
  <c r="AA304" i="1"/>
  <c r="AA292" i="1"/>
  <c r="AA280" i="1"/>
  <c r="AA268" i="1"/>
  <c r="AA256" i="1"/>
  <c r="AA244" i="1"/>
  <c r="AA232" i="1"/>
  <c r="AA220" i="1"/>
  <c r="AA208" i="1"/>
  <c r="AA196" i="1"/>
  <c r="AA184" i="1"/>
  <c r="AA172" i="1"/>
  <c r="AA160" i="1"/>
  <c r="AA148" i="1"/>
  <c r="AA136" i="1"/>
  <c r="AA124" i="1"/>
  <c r="AA112" i="1"/>
  <c r="AA100" i="1"/>
  <c r="AA88" i="1"/>
  <c r="AA76" i="1"/>
  <c r="AA64" i="1"/>
  <c r="AA52" i="1"/>
  <c r="AA1064" i="1"/>
  <c r="AA1050" i="1"/>
  <c r="AA1034" i="1"/>
  <c r="AA1020" i="1"/>
  <c r="AA1006" i="1"/>
  <c r="AA992" i="1"/>
  <c r="AA978" i="1"/>
  <c r="AA962" i="1"/>
  <c r="AA948" i="1"/>
  <c r="AA934" i="1"/>
  <c r="AA920" i="1"/>
  <c r="AA906" i="1"/>
  <c r="AA890" i="1"/>
  <c r="AA876" i="1"/>
  <c r="AA862" i="1"/>
  <c r="AA848" i="1"/>
  <c r="AA834" i="1"/>
  <c r="AA819" i="1"/>
  <c r="AA807" i="1"/>
  <c r="AA795" i="1"/>
  <c r="AA783" i="1"/>
  <c r="AA771" i="1"/>
  <c r="AA759" i="1"/>
  <c r="AA747" i="1"/>
  <c r="AA735" i="1"/>
  <c r="AA723" i="1"/>
  <c r="AA711" i="1"/>
  <c r="AA699" i="1"/>
  <c r="AA687" i="1"/>
  <c r="AA675" i="1"/>
  <c r="AA663" i="1"/>
  <c r="AA651" i="1"/>
  <c r="AA639" i="1"/>
  <c r="AA627" i="1"/>
  <c r="AA615" i="1"/>
  <c r="AA603" i="1"/>
  <c r="AA591" i="1"/>
  <c r="AA579" i="1"/>
  <c r="AA567" i="1"/>
  <c r="AA555" i="1"/>
  <c r="AA543" i="1"/>
  <c r="AA531" i="1"/>
  <c r="AA519" i="1"/>
  <c r="AA507" i="1"/>
  <c r="AA495" i="1"/>
  <c r="AA483" i="1"/>
  <c r="AA471" i="1"/>
  <c r="AA459" i="1"/>
  <c r="AA447" i="1"/>
  <c r="AA435" i="1"/>
  <c r="AA423" i="1"/>
  <c r="AA411" i="1"/>
  <c r="AA399" i="1"/>
  <c r="AA387" i="1"/>
  <c r="AA375" i="1"/>
  <c r="AA363" i="1"/>
  <c r="AA351" i="1"/>
  <c r="AA339" i="1"/>
  <c r="AA327" i="1"/>
  <c r="AA315" i="1"/>
  <c r="AA303" i="1"/>
  <c r="AA291" i="1"/>
  <c r="AA279" i="1"/>
  <c r="AA267" i="1"/>
  <c r="AA255" i="1"/>
  <c r="AA243" i="1"/>
  <c r="AA231" i="1"/>
  <c r="AA219" i="1"/>
  <c r="AA207" i="1"/>
  <c r="AA195" i="1"/>
  <c r="AA183" i="1"/>
  <c r="AA171" i="1"/>
  <c r="AA159" i="1"/>
  <c r="AA147" i="1"/>
  <c r="AA135" i="1"/>
  <c r="AA123" i="1"/>
  <c r="AA111" i="1"/>
  <c r="AA99" i="1"/>
  <c r="AA1063" i="1"/>
  <c r="AA1047" i="1"/>
  <c r="AA1033" i="1"/>
  <c r="AA1019" i="1"/>
  <c r="AA1005" i="1"/>
  <c r="AA991" i="1"/>
  <c r="AA975" i="1"/>
  <c r="AA961" i="1"/>
  <c r="AA947" i="1"/>
  <c r="AA933" i="1"/>
  <c r="AA919" i="1"/>
  <c r="AA903" i="1"/>
  <c r="AA889" i="1"/>
  <c r="AA875" i="1"/>
  <c r="AA861" i="1"/>
  <c r="AA847" i="1"/>
  <c r="AA831" i="1"/>
  <c r="AA818" i="1"/>
  <c r="AA806" i="1"/>
  <c r="AA794" i="1"/>
  <c r="AA782" i="1"/>
  <c r="AA770" i="1"/>
  <c r="AA758" i="1"/>
  <c r="AA746" i="1"/>
  <c r="AA734" i="1"/>
  <c r="AA722" i="1"/>
  <c r="AA710" i="1"/>
  <c r="AA698" i="1"/>
  <c r="AA686" i="1"/>
  <c r="AA674" i="1"/>
  <c r="AA662" i="1"/>
  <c r="AA650" i="1"/>
  <c r="AA638" i="1"/>
  <c r="AA626" i="1"/>
  <c r="AA614" i="1"/>
  <c r="AA602" i="1"/>
  <c r="AA590" i="1"/>
  <c r="AA578" i="1"/>
  <c r="AA566" i="1"/>
  <c r="AA554" i="1"/>
  <c r="AA542" i="1"/>
  <c r="AA530" i="1"/>
  <c r="AA518" i="1"/>
  <c r="AA506" i="1"/>
  <c r="AA494" i="1"/>
  <c r="AA482" i="1"/>
  <c r="AA470" i="1"/>
  <c r="AA458" i="1"/>
  <c r="AA446" i="1"/>
  <c r="AA434" i="1"/>
  <c r="AA422" i="1"/>
  <c r="AA410" i="1"/>
  <c r="AA398" i="1"/>
  <c r="AA386" i="1"/>
  <c r="AA374" i="1"/>
  <c r="AA362" i="1"/>
  <c r="AA350" i="1"/>
  <c r="AA338" i="1"/>
  <c r="AA326" i="1"/>
  <c r="AA314" i="1"/>
  <c r="AA302" i="1"/>
  <c r="AA290" i="1"/>
  <c r="AA278" i="1"/>
  <c r="AA266" i="1"/>
  <c r="AA254" i="1"/>
  <c r="AA242" i="1"/>
  <c r="AA230" i="1"/>
  <c r="AA218" i="1"/>
  <c r="AA206" i="1"/>
  <c r="AA194" i="1"/>
  <c r="AA182" i="1"/>
  <c r="AA170" i="1"/>
  <c r="AA158" i="1"/>
  <c r="AA146" i="1"/>
  <c r="AA134" i="1"/>
  <c r="AA122" i="1"/>
  <c r="AA110" i="1"/>
  <c r="AA98" i="1"/>
  <c r="AA86" i="1"/>
  <c r="AA74" i="1"/>
  <c r="AA62" i="1"/>
  <c r="AA50" i="1"/>
  <c r="AA38" i="1"/>
  <c r="AA26" i="1"/>
  <c r="AA1062" i="1"/>
  <c r="AA1046" i="1"/>
  <c r="AA1032" i="1"/>
  <c r="AA1018" i="1"/>
  <c r="AA1004" i="1"/>
  <c r="AA990" i="1"/>
  <c r="AA974" i="1"/>
  <c r="AA960" i="1"/>
  <c r="AA946" i="1"/>
  <c r="AA932" i="1"/>
  <c r="AA918" i="1"/>
  <c r="AA902" i="1"/>
  <c r="AA888" i="1"/>
  <c r="AA874" i="1"/>
  <c r="AA860" i="1"/>
  <c r="AA846" i="1"/>
  <c r="AA830" i="1"/>
  <c r="AA817" i="1"/>
  <c r="AA805" i="1"/>
  <c r="AA793" i="1"/>
  <c r="AA781" i="1"/>
  <c r="AA769" i="1"/>
  <c r="AA757" i="1"/>
  <c r="AA745" i="1"/>
  <c r="AA733" i="1"/>
  <c r="AA721" i="1"/>
  <c r="AA709" i="1"/>
  <c r="AA697" i="1"/>
  <c r="AA685" i="1"/>
  <c r="AA673" i="1"/>
  <c r="AA661" i="1"/>
  <c r="AA649" i="1"/>
  <c r="AA637" i="1"/>
  <c r="AA625" i="1"/>
  <c r="AA613" i="1"/>
  <c r="AA601" i="1"/>
  <c r="AA589" i="1"/>
  <c r="AA577" i="1"/>
  <c r="AA565" i="1"/>
  <c r="AA553" i="1"/>
  <c r="AA541" i="1"/>
  <c r="AA529" i="1"/>
  <c r="AA517" i="1"/>
  <c r="AA505" i="1"/>
  <c r="AA493" i="1"/>
  <c r="AA481" i="1"/>
  <c r="AA469" i="1"/>
  <c r="AA457" i="1"/>
  <c r="AA445" i="1"/>
  <c r="AA433" i="1"/>
  <c r="AA421" i="1"/>
  <c r="AA409" i="1"/>
  <c r="AA397" i="1"/>
  <c r="AA385" i="1"/>
  <c r="AA373" i="1"/>
  <c r="AA361" i="1"/>
  <c r="AA349" i="1"/>
  <c r="AA337" i="1"/>
  <c r="AA325" i="1"/>
  <c r="AA313" i="1"/>
  <c r="AA301" i="1"/>
  <c r="AA289" i="1"/>
  <c r="AA277" i="1"/>
  <c r="AA265" i="1"/>
  <c r="AA253" i="1"/>
  <c r="AA241" i="1"/>
  <c r="AA229" i="1"/>
  <c r="AA217" i="1"/>
  <c r="AA205" i="1"/>
  <c r="AA193" i="1"/>
  <c r="AA181" i="1"/>
  <c r="AA169" i="1"/>
  <c r="AA157" i="1"/>
  <c r="AA145" i="1"/>
  <c r="AA133" i="1"/>
  <c r="AA121" i="1"/>
  <c r="AA109" i="1"/>
  <c r="AA97" i="1"/>
  <c r="AA85" i="1"/>
  <c r="AA73" i="1"/>
  <c r="AA61" i="1"/>
  <c r="AA49" i="1"/>
  <c r="AA37" i="1"/>
  <c r="AA25" i="1"/>
  <c r="AA13" i="1"/>
  <c r="AA1059" i="1"/>
  <c r="AA1045" i="1"/>
  <c r="AA1031" i="1"/>
  <c r="AA1017" i="1"/>
  <c r="AA1003" i="1"/>
  <c r="AA987" i="1"/>
  <c r="AA973" i="1"/>
  <c r="AA959" i="1"/>
  <c r="AA945" i="1"/>
  <c r="AA931" i="1"/>
  <c r="AA915" i="1"/>
  <c r="AA901" i="1"/>
  <c r="AA887" i="1"/>
  <c r="AA873" i="1"/>
  <c r="AA859" i="1"/>
  <c r="AA843" i="1"/>
  <c r="AA829" i="1"/>
  <c r="AA816" i="1"/>
  <c r="AA804" i="1"/>
  <c r="AA792" i="1"/>
  <c r="AA780" i="1"/>
  <c r="AA768" i="1"/>
  <c r="AA756" i="1"/>
  <c r="AA744" i="1"/>
  <c r="AA732" i="1"/>
  <c r="AA720" i="1"/>
  <c r="AA708" i="1"/>
  <c r="AA696" i="1"/>
  <c r="AA684" i="1"/>
  <c r="AA672" i="1"/>
  <c r="AA660" i="1"/>
  <c r="AA648" i="1"/>
  <c r="AA636" i="1"/>
  <c r="AA624" i="1"/>
  <c r="AA612" i="1"/>
  <c r="AA600" i="1"/>
  <c r="AA588" i="1"/>
  <c r="AA576" i="1"/>
  <c r="AA564" i="1"/>
  <c r="AA552" i="1"/>
  <c r="AA540" i="1"/>
  <c r="AA528" i="1"/>
  <c r="AA516" i="1"/>
  <c r="AA504" i="1"/>
  <c r="AA492" i="1"/>
  <c r="AA480" i="1"/>
  <c r="AA468" i="1"/>
  <c r="AA456" i="1"/>
  <c r="AA444" i="1"/>
  <c r="AA432" i="1"/>
  <c r="AA420" i="1"/>
  <c r="AA408" i="1"/>
  <c r="AA396" i="1"/>
  <c r="AA384" i="1"/>
  <c r="AA372" i="1"/>
  <c r="AA360" i="1"/>
  <c r="AA348" i="1"/>
  <c r="AA336" i="1"/>
  <c r="AA324" i="1"/>
  <c r="AA312" i="1"/>
  <c r="AA300" i="1"/>
  <c r="AA288" i="1"/>
  <c r="AA276" i="1"/>
  <c r="AA264" i="1"/>
  <c r="AA252" i="1"/>
  <c r="AA240" i="1"/>
  <c r="AA228" i="1"/>
  <c r="AA216" i="1"/>
  <c r="AA204" i="1"/>
  <c r="AA192" i="1"/>
  <c r="AA180" i="1"/>
  <c r="AA168" i="1"/>
  <c r="AA156" i="1"/>
  <c r="AA144" i="1"/>
  <c r="AA132" i="1"/>
  <c r="AA120" i="1"/>
  <c r="AA108" i="1"/>
  <c r="AA96" i="1"/>
  <c r="AA1058" i="1"/>
  <c r="AA1044" i="1"/>
  <c r="AA1030" i="1"/>
  <c r="AA1016" i="1"/>
  <c r="AA1002" i="1"/>
  <c r="AA986" i="1"/>
  <c r="AA972" i="1"/>
  <c r="AA958" i="1"/>
  <c r="AA944" i="1"/>
  <c r="AA930" i="1"/>
  <c r="AA914" i="1"/>
  <c r="AA900" i="1"/>
  <c r="AA886" i="1"/>
  <c r="AA872" i="1"/>
  <c r="AA858" i="1"/>
  <c r="AA842" i="1"/>
  <c r="AA828" i="1"/>
  <c r="AA815" i="1"/>
  <c r="AA803" i="1"/>
  <c r="AA791" i="1"/>
  <c r="AA779" i="1"/>
  <c r="AA767" i="1"/>
  <c r="AA755" i="1"/>
  <c r="AA743" i="1"/>
  <c r="AA731" i="1"/>
  <c r="AA719" i="1"/>
  <c r="AA707" i="1"/>
  <c r="AA695" i="1"/>
  <c r="AA683" i="1"/>
  <c r="AA671" i="1"/>
  <c r="AA659" i="1"/>
  <c r="AA647" i="1"/>
  <c r="AA635" i="1"/>
  <c r="AA623" i="1"/>
  <c r="AA611" i="1"/>
  <c r="AA599" i="1"/>
  <c r="AA587" i="1"/>
  <c r="AA575" i="1"/>
  <c r="AA563" i="1"/>
  <c r="AA551" i="1"/>
  <c r="AA539" i="1"/>
  <c r="AA527" i="1"/>
  <c r="AA515" i="1"/>
  <c r="AA503" i="1"/>
  <c r="AA491" i="1"/>
  <c r="AA479" i="1"/>
  <c r="AA467" i="1"/>
  <c r="AA455" i="1"/>
  <c r="AA443" i="1"/>
  <c r="AA431" i="1"/>
  <c r="AA419" i="1"/>
  <c r="AA407" i="1"/>
  <c r="AA395" i="1"/>
  <c r="AA383" i="1"/>
  <c r="AA371" i="1"/>
  <c r="AA359" i="1"/>
  <c r="AA347" i="1"/>
  <c r="AA335" i="1"/>
  <c r="AA323" i="1"/>
  <c r="AA1071" i="1"/>
  <c r="AA1057" i="1"/>
  <c r="AA1043" i="1"/>
  <c r="AA1029" i="1"/>
  <c r="AA1015" i="1"/>
  <c r="AA999" i="1"/>
  <c r="AA985" i="1"/>
  <c r="AA971" i="1"/>
  <c r="AA957" i="1"/>
  <c r="AA943" i="1"/>
  <c r="AA927" i="1"/>
  <c r="AA913" i="1"/>
  <c r="AA899" i="1"/>
  <c r="AA885" i="1"/>
  <c r="AA871" i="1"/>
  <c r="AA855" i="1"/>
  <c r="AA841" i="1"/>
  <c r="AA827" i="1"/>
  <c r="AA814" i="1"/>
  <c r="AA802" i="1"/>
  <c r="AA790" i="1"/>
  <c r="AA778" i="1"/>
  <c r="AA766" i="1"/>
  <c r="AA754" i="1"/>
  <c r="AA742" i="1"/>
  <c r="AA730" i="1"/>
  <c r="AA718" i="1"/>
  <c r="AA706" i="1"/>
  <c r="AA694" i="1"/>
  <c r="AA682" i="1"/>
  <c r="AA670" i="1"/>
  <c r="AA658" i="1"/>
  <c r="AA646" i="1"/>
  <c r="AA634" i="1"/>
  <c r="AA622" i="1"/>
  <c r="AA610" i="1"/>
  <c r="AA598" i="1"/>
  <c r="AA586" i="1"/>
  <c r="AA574" i="1"/>
  <c r="AA562" i="1"/>
  <c r="AA550" i="1"/>
  <c r="AA538" i="1"/>
  <c r="AA526" i="1"/>
  <c r="AA514" i="1"/>
  <c r="AA502" i="1"/>
  <c r="AA490" i="1"/>
  <c r="AA478" i="1"/>
  <c r="AA466" i="1"/>
  <c r="AA454" i="1"/>
  <c r="AA442" i="1"/>
  <c r="AA430" i="1"/>
  <c r="AA418" i="1"/>
  <c r="AA406" i="1"/>
  <c r="AA394" i="1"/>
  <c r="AA382" i="1"/>
  <c r="AA370" i="1"/>
  <c r="AA358" i="1"/>
  <c r="AA346" i="1"/>
  <c r="AA1070" i="1"/>
  <c r="AA1056" i="1"/>
  <c r="AA1042" i="1"/>
  <c r="AA1028" i="1"/>
  <c r="AA1014" i="1"/>
  <c r="AA998" i="1"/>
  <c r="AA984" i="1"/>
  <c r="AA970" i="1"/>
  <c r="AA956" i="1"/>
  <c r="AA942" i="1"/>
  <c r="AA926" i="1"/>
  <c r="AA912" i="1"/>
  <c r="AA898" i="1"/>
  <c r="AA884" i="1"/>
  <c r="AA870" i="1"/>
  <c r="AA854" i="1"/>
  <c r="AA840" i="1"/>
  <c r="AA826" i="1"/>
  <c r="AA813" i="1"/>
  <c r="AA801" i="1"/>
  <c r="AA789" i="1"/>
  <c r="AA777" i="1"/>
  <c r="AA765" i="1"/>
  <c r="AA753" i="1"/>
  <c r="AA741" i="1"/>
  <c r="AA729" i="1"/>
  <c r="AA717" i="1"/>
  <c r="AA705" i="1"/>
  <c r="AA693" i="1"/>
  <c r="AA681" i="1"/>
  <c r="AA669" i="1"/>
  <c r="AA657" i="1"/>
  <c r="AA645" i="1"/>
  <c r="AA633" i="1"/>
  <c r="AA621" i="1"/>
  <c r="AA609" i="1"/>
  <c r="AA597" i="1"/>
  <c r="AA585" i="1"/>
  <c r="AA573" i="1"/>
  <c r="AA561" i="1"/>
  <c r="AA549" i="1"/>
  <c r="AA537" i="1"/>
  <c r="AA525" i="1"/>
  <c r="AA513" i="1"/>
  <c r="AA501" i="1"/>
  <c r="AA489" i="1"/>
  <c r="AA477" i="1"/>
  <c r="AA465" i="1"/>
  <c r="AA453" i="1"/>
  <c r="AA441" i="1"/>
  <c r="AA429" i="1"/>
  <c r="AA417" i="1"/>
  <c r="AA405" i="1"/>
  <c r="AA393" i="1"/>
  <c r="AA381" i="1"/>
  <c r="AA1069" i="1"/>
  <c r="AA1055" i="1"/>
  <c r="AA1041" i="1"/>
  <c r="AA1027" i="1"/>
  <c r="AA1011" i="1"/>
  <c r="AA997" i="1"/>
  <c r="AA983" i="1"/>
  <c r="AA969" i="1"/>
  <c r="AA955" i="1"/>
  <c r="AA939" i="1"/>
  <c r="AA925" i="1"/>
  <c r="AA911" i="1"/>
  <c r="AA897" i="1"/>
  <c r="AA883" i="1"/>
  <c r="AA867" i="1"/>
  <c r="AA853" i="1"/>
  <c r="AA839" i="1"/>
  <c r="AA825" i="1"/>
  <c r="AA812" i="1"/>
  <c r="AA800" i="1"/>
  <c r="AA788" i="1"/>
  <c r="AA776" i="1"/>
  <c r="AA764" i="1"/>
  <c r="AA752" i="1"/>
  <c r="AA740" i="1"/>
  <c r="AA728" i="1"/>
  <c r="AA716" i="1"/>
  <c r="AA704" i="1"/>
  <c r="AA692" i="1"/>
  <c r="AA680" i="1"/>
  <c r="AA668" i="1"/>
  <c r="AA656" i="1"/>
  <c r="AA644" i="1"/>
  <c r="AA632" i="1"/>
  <c r="AA620" i="1"/>
  <c r="AA608" i="1"/>
  <c r="AA596" i="1"/>
  <c r="AA584" i="1"/>
  <c r="AA572" i="1"/>
  <c r="AA560" i="1"/>
  <c r="AA548" i="1"/>
  <c r="AA536" i="1"/>
  <c r="AA524" i="1"/>
  <c r="AA512" i="1"/>
  <c r="AA500" i="1"/>
  <c r="AA488" i="1"/>
  <c r="AA476" i="1"/>
  <c r="AA464" i="1"/>
  <c r="AA452" i="1"/>
  <c r="AA1068" i="1"/>
  <c r="AA1054" i="1"/>
  <c r="AA1040" i="1"/>
  <c r="AA1026" i="1"/>
  <c r="AA1010" i="1"/>
  <c r="AA996" i="1"/>
  <c r="AA982" i="1"/>
  <c r="AA968" i="1"/>
  <c r="AA954" i="1"/>
  <c r="AA938" i="1"/>
  <c r="AA924" i="1"/>
  <c r="AA910" i="1"/>
  <c r="AA896" i="1"/>
  <c r="AA882" i="1"/>
  <c r="AA866" i="1"/>
  <c r="AA852" i="1"/>
  <c r="AA838" i="1"/>
  <c r="AA824" i="1"/>
  <c r="AA811" i="1"/>
  <c r="AA799" i="1"/>
  <c r="AA787" i="1"/>
  <c r="AA775" i="1"/>
  <c r="AA763" i="1"/>
  <c r="AA751" i="1"/>
  <c r="AA739" i="1"/>
  <c r="AA727" i="1"/>
  <c r="AA715" i="1"/>
  <c r="AA703" i="1"/>
  <c r="AA691" i="1"/>
  <c r="AA679" i="1"/>
  <c r="AA667" i="1"/>
  <c r="AA655" i="1"/>
  <c r="AA643" i="1"/>
  <c r="AA631" i="1"/>
  <c r="AA619" i="1"/>
  <c r="AA607" i="1"/>
  <c r="AA595" i="1"/>
  <c r="AA583" i="1"/>
  <c r="AA1067" i="1"/>
  <c r="AA1053" i="1"/>
  <c r="AA1039" i="1"/>
  <c r="AA1023" i="1"/>
  <c r="AA1009" i="1"/>
  <c r="AA995" i="1"/>
  <c r="AA981" i="1"/>
  <c r="AA967" i="1"/>
  <c r="AA951" i="1"/>
  <c r="AA937" i="1"/>
  <c r="AA923" i="1"/>
  <c r="AA909" i="1"/>
  <c r="AA895" i="1"/>
  <c r="AA879" i="1"/>
  <c r="AA865" i="1"/>
  <c r="AA851" i="1"/>
  <c r="AA837" i="1"/>
  <c r="AA823" i="1"/>
  <c r="AA810" i="1"/>
  <c r="AA798" i="1"/>
  <c r="AA786" i="1"/>
  <c r="AA774" i="1"/>
  <c r="AA762" i="1"/>
  <c r="AA750" i="1"/>
  <c r="AA738" i="1"/>
  <c r="AA726" i="1"/>
  <c r="AA714" i="1"/>
  <c r="AA702" i="1"/>
  <c r="AA690" i="1"/>
  <c r="AA678" i="1"/>
  <c r="AA666" i="1"/>
  <c r="AA654" i="1"/>
  <c r="AA1066" i="1"/>
  <c r="AA1052" i="1"/>
  <c r="AA1038" i="1"/>
  <c r="AA1022" i="1"/>
  <c r="AA1008" i="1"/>
  <c r="AA994" i="1"/>
  <c r="AA980" i="1"/>
  <c r="AA966" i="1"/>
  <c r="AA950" i="1"/>
  <c r="AA936" i="1"/>
  <c r="AA922" i="1"/>
  <c r="AA908" i="1"/>
  <c r="AA894" i="1"/>
  <c r="AA878" i="1"/>
  <c r="AA864" i="1"/>
  <c r="AA850" i="1"/>
  <c r="AA836" i="1"/>
  <c r="AA822" i="1"/>
  <c r="AA809" i="1"/>
  <c r="AA797" i="1"/>
  <c r="AA785" i="1"/>
  <c r="AA773" i="1"/>
  <c r="AA761" i="1"/>
  <c r="AA749" i="1"/>
  <c r="AA737" i="1"/>
  <c r="AA725" i="1"/>
  <c r="AA713" i="1"/>
  <c r="AA701" i="1"/>
  <c r="AA15" i="1"/>
  <c r="AA29" i="1"/>
  <c r="AA43" i="1"/>
  <c r="AA58" i="1"/>
  <c r="AA75" i="1"/>
  <c r="AA91" i="1"/>
  <c r="AA113" i="1"/>
  <c r="AA130" i="1"/>
  <c r="AA152" i="1"/>
  <c r="AA174" i="1"/>
  <c r="AA191" i="1"/>
  <c r="AA213" i="1"/>
  <c r="AA235" i="1"/>
  <c r="AA257" i="1"/>
  <c r="AA274" i="1"/>
  <c r="AA296" i="1"/>
  <c r="AA318" i="1"/>
  <c r="AA342" i="1"/>
  <c r="AA368" i="1"/>
  <c r="AA403" i="1"/>
  <c r="AA439" i="1"/>
  <c r="AA486" i="1"/>
  <c r="AA534" i="1"/>
  <c r="AA582" i="1"/>
  <c r="AA665" i="1"/>
  <c r="AA3" i="1"/>
  <c r="AA16" i="1"/>
  <c r="AA30" i="1"/>
  <c r="AA44" i="1"/>
  <c r="AA59" i="1"/>
  <c r="AA77" i="1"/>
  <c r="AA92" i="1"/>
  <c r="AA114" i="1"/>
  <c r="AA131" i="1"/>
  <c r="AA153" i="1"/>
  <c r="AA175" i="1"/>
  <c r="AA197" i="1"/>
  <c r="AA214" i="1"/>
  <c r="AA236" i="1"/>
  <c r="AA258" i="1"/>
  <c r="AA275" i="1"/>
  <c r="AA297" i="1"/>
  <c r="AA319" i="1"/>
  <c r="AA343" i="1"/>
  <c r="AA369" i="1"/>
  <c r="AA404" i="1"/>
  <c r="AA440" i="1"/>
  <c r="AA487" i="1"/>
  <c r="AA535" i="1"/>
  <c r="AA593" i="1"/>
  <c r="AA677" i="1"/>
  <c r="AA4" i="1"/>
  <c r="AA17" i="1"/>
  <c r="AA31" i="1"/>
  <c r="AA45" i="1"/>
  <c r="AA60" i="1"/>
  <c r="AA78" i="1"/>
  <c r="AA93" i="1"/>
  <c r="AA115" i="1"/>
  <c r="AA137" i="1"/>
  <c r="AA154" i="1"/>
  <c r="AA176" i="1"/>
  <c r="AA198" i="1"/>
  <c r="AA215" i="1"/>
  <c r="AA237" i="1"/>
  <c r="AA259" i="1"/>
  <c r="AA281" i="1"/>
  <c r="AA298" i="1"/>
  <c r="AA320" i="1"/>
  <c r="AA344" i="1"/>
  <c r="AA377" i="1"/>
  <c r="AA413" i="1"/>
  <c r="AA449" i="1"/>
  <c r="AA497" i="1"/>
  <c r="AA545" i="1"/>
  <c r="AA594" i="1"/>
  <c r="AA689" i="1"/>
  <c r="AA5" i="1"/>
  <c r="AA18" i="1"/>
  <c r="AA32" i="1"/>
  <c r="AA46" i="1"/>
  <c r="AA63" i="1"/>
  <c r="AA79" i="1"/>
  <c r="AA94" i="1"/>
  <c r="AA116" i="1"/>
  <c r="AA138" i="1"/>
  <c r="AA155" i="1"/>
  <c r="AA177" i="1"/>
  <c r="AA199" i="1"/>
  <c r="AA221" i="1"/>
  <c r="AA238" i="1"/>
  <c r="AA260" i="1"/>
  <c r="AA282" i="1"/>
  <c r="AA299" i="1"/>
  <c r="AA321" i="1"/>
  <c r="AA345" i="1"/>
  <c r="AA378" i="1"/>
  <c r="AA414" i="1"/>
  <c r="AA450" i="1"/>
  <c r="AA498" i="1"/>
  <c r="AA546" i="1"/>
  <c r="AA605" i="1"/>
  <c r="AA6" i="1"/>
  <c r="AA19" i="1"/>
  <c r="AA33" i="1"/>
  <c r="AA47" i="1"/>
  <c r="AA65" i="1"/>
  <c r="AA80" i="1"/>
  <c r="AA95" i="1"/>
  <c r="AA117" i="1"/>
  <c r="AA139" i="1"/>
  <c r="AA161" i="1"/>
  <c r="AA178" i="1"/>
  <c r="AA200" i="1"/>
  <c r="AA222" i="1"/>
  <c r="AA239" i="1"/>
  <c r="AA261" i="1"/>
  <c r="AA283" i="1"/>
  <c r="AA305" i="1"/>
  <c r="AA322" i="1"/>
  <c r="AA353" i="1"/>
  <c r="AA379" i="1"/>
  <c r="AA415" i="1"/>
  <c r="AA451" i="1"/>
  <c r="AA499" i="1"/>
  <c r="AA547" i="1"/>
  <c r="AA606" i="1"/>
  <c r="AA7" i="1"/>
  <c r="AA20" i="1"/>
  <c r="AA34" i="1"/>
  <c r="AA48" i="1"/>
  <c r="AA66" i="1"/>
  <c r="AA81" i="1"/>
  <c r="AA101" i="1"/>
  <c r="AA118" i="1"/>
  <c r="AA140" i="1"/>
  <c r="AA162" i="1"/>
  <c r="AA179" i="1"/>
  <c r="AA201" i="1"/>
  <c r="AA223" i="1"/>
  <c r="AA245" i="1"/>
  <c r="AA262" i="1"/>
  <c r="AA284" i="1"/>
  <c r="AA306" i="1"/>
  <c r="AA329" i="1"/>
  <c r="AA354" i="1"/>
  <c r="AA380" i="1"/>
  <c r="AA416" i="1"/>
  <c r="AA461" i="1"/>
  <c r="AA509" i="1"/>
  <c r="AA557" i="1"/>
  <c r="AA617" i="1"/>
  <c r="AA8" i="1"/>
  <c r="AA21" i="1"/>
  <c r="AA35" i="1"/>
  <c r="AA51" i="1"/>
  <c r="AA67" i="1"/>
  <c r="AA82" i="1"/>
  <c r="AA102" i="1"/>
  <c r="AA119" i="1"/>
  <c r="AA141" i="1"/>
  <c r="AA163" i="1"/>
  <c r="AA185" i="1"/>
  <c r="AA202" i="1"/>
  <c r="AA224" i="1"/>
  <c r="AA246" i="1"/>
  <c r="AA263" i="1"/>
  <c r="AA285" i="1"/>
  <c r="AA307" i="1"/>
  <c r="AA330" i="1"/>
  <c r="AA355" i="1"/>
  <c r="AA389" i="1"/>
  <c r="AA425" i="1"/>
  <c r="AA462" i="1"/>
  <c r="AA510" i="1"/>
  <c r="AA558" i="1"/>
  <c r="AA618" i="1"/>
  <c r="AA9" i="1"/>
  <c r="AA22" i="1"/>
  <c r="AA36" i="1"/>
  <c r="AA53" i="1"/>
  <c r="AA68" i="1"/>
  <c r="AA83" i="1"/>
  <c r="AA103" i="1"/>
  <c r="AA125" i="1"/>
  <c r="AA142" i="1"/>
  <c r="AA164" i="1"/>
  <c r="AA186" i="1"/>
  <c r="AA203" i="1"/>
  <c r="AA225" i="1"/>
  <c r="AA247" i="1"/>
  <c r="AA269" i="1"/>
  <c r="AA286" i="1"/>
  <c r="AA308" i="1"/>
  <c r="AA331" i="1"/>
  <c r="AA356" i="1"/>
  <c r="AA390" i="1"/>
  <c r="AA426" i="1"/>
  <c r="AA463" i="1"/>
  <c r="AA511" i="1"/>
  <c r="AA559" i="1"/>
  <c r="AA629" i="1"/>
  <c r="AA10" i="1"/>
  <c r="AA23" i="1"/>
  <c r="AA39" i="1"/>
  <c r="AA54" i="1"/>
  <c r="AA69" i="1"/>
  <c r="AA84" i="1"/>
  <c r="AA104" i="1"/>
  <c r="AA126" i="1"/>
  <c r="AA143" i="1"/>
  <c r="AA165" i="1"/>
  <c r="AA187" i="1"/>
  <c r="AA209" i="1"/>
  <c r="AA226" i="1"/>
  <c r="AA248" i="1"/>
  <c r="AA270" i="1"/>
  <c r="AA287" i="1"/>
  <c r="AA309" i="1"/>
  <c r="AA332" i="1"/>
  <c r="AA357" i="1"/>
  <c r="AA391" i="1"/>
  <c r="AA427" i="1"/>
  <c r="AA473" i="1"/>
  <c r="AA521" i="1"/>
  <c r="AA569" i="1"/>
  <c r="AA630" i="1"/>
  <c r="AB787" i="1"/>
  <c r="AB804" i="1"/>
  <c r="AB823" i="1"/>
  <c r="AB840" i="1"/>
  <c r="AB859" i="1"/>
  <c r="AB876" i="1"/>
  <c r="AB895" i="1"/>
  <c r="AB912" i="1"/>
  <c r="AB931" i="1"/>
  <c r="AB948" i="1"/>
  <c r="AB967" i="1"/>
  <c r="AB984" i="1"/>
  <c r="AB1003" i="1"/>
  <c r="AB1020" i="1"/>
  <c r="AB1039" i="1"/>
  <c r="AB1056" i="1"/>
  <c r="AB553" i="1"/>
  <c r="AB572" i="1"/>
  <c r="AB589" i="1"/>
  <c r="AB608" i="1"/>
  <c r="AB625" i="1"/>
  <c r="AB644" i="1"/>
  <c r="AB661" i="1"/>
  <c r="AB680" i="1"/>
  <c r="AB697" i="1"/>
  <c r="AB716" i="1"/>
  <c r="AB733" i="1"/>
  <c r="AB752" i="1"/>
  <c r="AB769" i="1"/>
  <c r="AB788" i="1"/>
  <c r="AB805" i="1"/>
  <c r="AB824" i="1"/>
  <c r="AB841" i="1"/>
  <c r="AB860" i="1"/>
  <c r="AB877" i="1"/>
  <c r="AB896" i="1"/>
  <c r="AB913" i="1"/>
  <c r="AB932" i="1"/>
  <c r="AB949" i="1"/>
  <c r="AB968" i="1"/>
  <c r="AB985" i="1"/>
  <c r="AB1004" i="1"/>
  <c r="AB1021" i="1"/>
  <c r="AB1040" i="1"/>
  <c r="AB1057" i="1"/>
  <c r="AB518" i="1"/>
  <c r="AB537" i="1"/>
  <c r="AB554" i="1"/>
  <c r="AB573" i="1"/>
  <c r="AB590" i="1"/>
  <c r="AB609" i="1"/>
  <c r="AB626" i="1"/>
  <c r="AB645" i="1"/>
  <c r="AB662" i="1"/>
  <c r="AB681" i="1"/>
  <c r="AB698" i="1"/>
  <c r="AB717" i="1"/>
  <c r="AB734" i="1"/>
  <c r="AB753" i="1"/>
  <c r="AB770" i="1"/>
  <c r="AB789" i="1"/>
  <c r="AB806" i="1"/>
  <c r="AB825" i="1"/>
  <c r="AB842" i="1"/>
  <c r="AB861" i="1"/>
  <c r="AB878" i="1"/>
  <c r="AB897" i="1"/>
  <c r="AB914" i="1"/>
  <c r="AB933" i="1"/>
  <c r="AB950" i="1"/>
  <c r="AB969" i="1"/>
  <c r="AB986" i="1"/>
  <c r="AB1005" i="1"/>
  <c r="AB1022" i="1"/>
  <c r="AB1041" i="1"/>
  <c r="AB1058" i="1"/>
  <c r="AB235" i="1"/>
  <c r="AB251" i="1"/>
  <c r="AB266" i="1"/>
  <c r="AB283" i="1"/>
  <c r="AB299" i="1"/>
  <c r="AB314" i="1"/>
  <c r="AB331" i="1"/>
  <c r="AB347" i="1"/>
  <c r="AB362" i="1"/>
  <c r="AB379" i="1"/>
  <c r="AB395" i="1"/>
  <c r="AB414" i="1"/>
  <c r="AB431" i="1"/>
  <c r="AB450" i="1"/>
  <c r="AB467" i="1"/>
  <c r="AB486" i="1"/>
  <c r="AB503" i="1"/>
  <c r="AB522" i="1"/>
  <c r="AB539" i="1"/>
  <c r="AB558" i="1"/>
  <c r="AB575" i="1"/>
  <c r="AB594" i="1"/>
  <c r="AB611" i="1"/>
  <c r="AB630" i="1"/>
  <c r="AB647" i="1"/>
  <c r="AB666" i="1"/>
  <c r="AB683" i="1"/>
  <c r="AB702" i="1"/>
  <c r="AB719" i="1"/>
  <c r="AB738" i="1"/>
  <c r="AB755" i="1"/>
  <c r="AB774" i="1"/>
  <c r="AB791" i="1"/>
  <c r="AB810" i="1"/>
  <c r="AB827" i="1"/>
  <c r="AB846" i="1"/>
  <c r="AB863" i="1"/>
  <c r="AB882" i="1"/>
  <c r="AB899" i="1"/>
  <c r="AB918" i="1"/>
  <c r="AB935" i="1"/>
  <c r="AB954" i="1"/>
  <c r="AB971" i="1"/>
  <c r="AB990" i="1"/>
  <c r="AB1007" i="1"/>
  <c r="AB1026" i="1"/>
  <c r="AB1043" i="1"/>
  <c r="AB1062" i="1"/>
  <c r="AB143" i="1"/>
  <c r="AB157" i="1"/>
  <c r="AB173" i="1"/>
  <c r="AB188" i="1"/>
  <c r="AB204" i="1"/>
  <c r="AB221" i="1"/>
  <c r="AB236" i="1"/>
  <c r="AB252" i="1"/>
  <c r="AB269" i="1"/>
  <c r="AB284" i="1"/>
  <c r="AB300" i="1"/>
  <c r="AB317" i="1"/>
  <c r="AB332" i="1"/>
  <c r="AB348" i="1"/>
  <c r="AB365" i="1"/>
  <c r="AB380" i="1"/>
  <c r="AB396" i="1"/>
  <c r="AB415" i="1"/>
  <c r="AB432" i="1"/>
  <c r="AB451" i="1"/>
  <c r="AB468" i="1"/>
  <c r="AB487" i="1"/>
  <c r="AB504" i="1"/>
  <c r="AB523" i="1"/>
  <c r="AB540" i="1"/>
  <c r="AB559" i="1"/>
  <c r="AB576" i="1"/>
  <c r="AB595" i="1"/>
  <c r="AB612" i="1"/>
  <c r="AB631" i="1"/>
  <c r="AB648" i="1"/>
  <c r="AB667" i="1"/>
  <c r="AB684" i="1"/>
  <c r="AB703" i="1"/>
  <c r="AB720" i="1"/>
  <c r="AB739" i="1"/>
  <c r="AB756" i="1"/>
  <c r="AB775" i="1"/>
  <c r="AB792" i="1"/>
  <c r="AB811" i="1"/>
  <c r="AB828" i="1"/>
  <c r="AB847" i="1"/>
  <c r="AB864" i="1"/>
  <c r="AB883" i="1"/>
  <c r="AB900" i="1"/>
  <c r="AB919" i="1"/>
  <c r="AB936" i="1"/>
  <c r="AB955" i="1"/>
  <c r="AB972" i="1"/>
  <c r="AB991" i="1"/>
  <c r="AB1008" i="1"/>
  <c r="AB1027" i="1"/>
  <c r="AB1044" i="1"/>
  <c r="AB1063" i="1"/>
  <c r="AB301" i="1"/>
  <c r="AB318" i="1"/>
  <c r="AB333" i="1"/>
  <c r="AB349" i="1"/>
  <c r="AB366" i="1"/>
  <c r="AB381" i="1"/>
  <c r="AB397" i="1"/>
  <c r="AB416" i="1"/>
  <c r="AB433" i="1"/>
  <c r="AB452" i="1"/>
  <c r="AB469" i="1"/>
  <c r="AB488" i="1"/>
  <c r="AB505" i="1"/>
  <c r="AB524" i="1"/>
  <c r="AB541" i="1"/>
  <c r="AB560" i="1"/>
  <c r="AB577" i="1"/>
  <c r="AB596" i="1"/>
  <c r="AB613" i="1"/>
  <c r="AB632" i="1"/>
  <c r="AB649" i="1"/>
  <c r="AB668" i="1"/>
  <c r="AB685" i="1"/>
  <c r="AB704" i="1"/>
  <c r="AB721" i="1"/>
  <c r="AB740" i="1"/>
  <c r="AB757" i="1"/>
  <c r="AB776" i="1"/>
  <c r="AB793" i="1"/>
  <c r="AB812" i="1"/>
  <c r="AB829" i="1"/>
  <c r="AB848" i="1"/>
  <c r="AB865" i="1"/>
  <c r="AB884" i="1"/>
  <c r="AB901" i="1"/>
  <c r="AB920" i="1"/>
  <c r="AB937" i="1"/>
  <c r="AB956" i="1"/>
  <c r="AB973" i="1"/>
  <c r="AB992" i="1"/>
  <c r="AB1009" i="1"/>
  <c r="AB1028" i="1"/>
  <c r="AB1045" i="1"/>
  <c r="AB1064" i="1"/>
  <c r="AB287" i="1"/>
  <c r="AB302" i="1"/>
  <c r="AB319" i="1"/>
  <c r="AB335" i="1"/>
  <c r="AB350" i="1"/>
  <c r="AB367" i="1"/>
  <c r="AB383" i="1"/>
  <c r="AB398" i="1"/>
  <c r="AB417" i="1"/>
  <c r="AB434" i="1"/>
  <c r="AB453" i="1"/>
  <c r="AB470" i="1"/>
  <c r="AB489" i="1"/>
  <c r="AB506" i="1"/>
  <c r="AB525" i="1"/>
  <c r="AB542" i="1"/>
  <c r="AB561" i="1"/>
  <c r="AB578" i="1"/>
  <c r="AB597" i="1"/>
  <c r="AB614" i="1"/>
  <c r="AB633" i="1"/>
  <c r="AB650" i="1"/>
  <c r="AB669" i="1"/>
  <c r="AB686" i="1"/>
  <c r="AB705" i="1"/>
  <c r="AB722" i="1"/>
  <c r="AB741" i="1"/>
  <c r="AB758" i="1"/>
  <c r="AB777" i="1"/>
  <c r="AB794" i="1"/>
  <c r="AB813" i="1"/>
  <c r="AB830" i="1"/>
  <c r="AB849" i="1"/>
  <c r="AB866" i="1"/>
  <c r="AB885" i="1"/>
  <c r="AB902" i="1"/>
  <c r="AB921" i="1"/>
  <c r="AB938" i="1"/>
  <c r="AB957" i="1"/>
  <c r="AB974" i="1"/>
  <c r="AB993" i="1"/>
  <c r="AB1010" i="1"/>
  <c r="AB1029" i="1"/>
  <c r="AB1046" i="1"/>
  <c r="AB1065" i="1"/>
  <c r="AB11" i="1"/>
  <c r="AB23" i="1"/>
  <c r="AB35" i="1"/>
  <c r="AB47" i="1"/>
  <c r="AB60" i="1"/>
  <c r="AB74" i="1"/>
  <c r="AB89" i="1"/>
  <c r="AB103" i="1"/>
  <c r="AB117" i="1"/>
  <c r="AB132" i="1"/>
  <c r="AB146" i="1"/>
  <c r="AB161" i="1"/>
  <c r="AB176" i="1"/>
  <c r="AB192" i="1"/>
  <c r="AB209" i="1"/>
  <c r="AB224" i="1"/>
  <c r="AB240" i="1"/>
  <c r="AB257" i="1"/>
  <c r="AB272" i="1"/>
  <c r="AB288" i="1"/>
  <c r="AB305" i="1"/>
  <c r="AB320" i="1"/>
  <c r="AB336" i="1"/>
  <c r="AB353" i="1"/>
  <c r="AB368" i="1"/>
  <c r="AB384" i="1"/>
  <c r="AB402" i="1"/>
  <c r="AB419" i="1"/>
  <c r="AB438" i="1"/>
  <c r="AB455" i="1"/>
  <c r="AB474" i="1"/>
  <c r="AB491" i="1"/>
  <c r="AB510" i="1"/>
  <c r="AB527" i="1"/>
  <c r="AB546" i="1"/>
  <c r="AB563" i="1"/>
  <c r="AB582" i="1"/>
  <c r="AB599" i="1"/>
  <c r="AB618" i="1"/>
  <c r="AB635" i="1"/>
  <c r="AB654" i="1"/>
  <c r="AB671" i="1"/>
  <c r="AB690" i="1"/>
  <c r="AB707" i="1"/>
  <c r="AB726" i="1"/>
  <c r="AB743" i="1"/>
  <c r="AB762" i="1"/>
  <c r="AB779" i="1"/>
  <c r="AB798" i="1"/>
  <c r="AB815" i="1"/>
  <c r="AB834" i="1"/>
  <c r="AB851" i="1"/>
  <c r="AB870" i="1"/>
  <c r="AB887" i="1"/>
  <c r="AB906" i="1"/>
  <c r="AB923" i="1"/>
  <c r="AB942" i="1"/>
  <c r="AB959" i="1"/>
  <c r="AB978" i="1"/>
  <c r="AB995" i="1"/>
  <c r="AB1014" i="1"/>
  <c r="AB1031" i="1"/>
  <c r="AB1050" i="1"/>
  <c r="AB1067" i="1"/>
  <c r="AB12" i="1"/>
  <c r="AB24" i="1"/>
  <c r="AB36" i="1"/>
  <c r="AB48" i="1"/>
  <c r="AB61" i="1"/>
  <c r="AB75" i="1"/>
  <c r="AB90" i="1"/>
  <c r="AB104" i="1"/>
  <c r="AB119" i="1"/>
  <c r="AB133" i="1"/>
  <c r="AB147" i="1"/>
  <c r="AB162" i="1"/>
  <c r="AB177" i="1"/>
  <c r="AB193" i="1"/>
  <c r="AB210" i="1"/>
  <c r="AB225" i="1"/>
  <c r="AB241" i="1"/>
  <c r="AB258" i="1"/>
  <c r="AB273" i="1"/>
  <c r="AB289" i="1"/>
  <c r="AB306" i="1"/>
  <c r="AB321" i="1"/>
  <c r="AB337" i="1"/>
  <c r="AB354" i="1"/>
  <c r="AB369" i="1"/>
  <c r="AB385" i="1"/>
  <c r="AB403" i="1"/>
  <c r="AB420" i="1"/>
  <c r="AB439" i="1"/>
  <c r="AB456" i="1"/>
  <c r="AB475" i="1"/>
  <c r="AB492" i="1"/>
  <c r="AB511" i="1"/>
  <c r="AB528" i="1"/>
  <c r="AB547" i="1"/>
  <c r="AB564" i="1"/>
  <c r="AB583" i="1"/>
  <c r="AB600" i="1"/>
  <c r="AB619" i="1"/>
  <c r="AB636" i="1"/>
  <c r="AB655" i="1"/>
  <c r="AB672" i="1"/>
  <c r="AB691" i="1"/>
  <c r="AB708" i="1"/>
  <c r="AB727" i="1"/>
  <c r="AB744" i="1"/>
  <c r="AB763" i="1"/>
  <c r="AB780" i="1"/>
  <c r="AB799" i="1"/>
  <c r="AB816" i="1"/>
  <c r="AB835" i="1"/>
  <c r="AB852" i="1"/>
  <c r="AB871" i="1"/>
  <c r="AB888" i="1"/>
  <c r="AB907" i="1"/>
  <c r="AB924" i="1"/>
  <c r="AB943" i="1"/>
  <c r="AB960" i="1"/>
  <c r="AB979" i="1"/>
  <c r="AB996" i="1"/>
  <c r="AB1015" i="1"/>
  <c r="AB1032" i="1"/>
  <c r="AB1051" i="1"/>
  <c r="AB1068" i="1"/>
  <c r="AB13" i="1"/>
  <c r="AB25" i="1"/>
  <c r="AB37" i="1"/>
  <c r="AB49" i="1"/>
  <c r="AB62" i="1"/>
  <c r="AB77" i="1"/>
  <c r="AB91" i="1"/>
  <c r="AB105" i="1"/>
  <c r="AB120" i="1"/>
  <c r="AB134" i="1"/>
  <c r="AB149" i="1"/>
  <c r="AB163" i="1"/>
  <c r="AB179" i="1"/>
  <c r="AB194" i="1"/>
  <c r="AB211" i="1"/>
  <c r="AB227" i="1"/>
  <c r="AB242" i="1"/>
  <c r="AB259" i="1"/>
  <c r="AB275" i="1"/>
  <c r="AB290" i="1"/>
  <c r="AB307" i="1"/>
  <c r="AB323" i="1"/>
  <c r="AB338" i="1"/>
  <c r="AB355" i="1"/>
  <c r="AB371" i="1"/>
  <c r="AB386" i="1"/>
  <c r="AB404" i="1"/>
  <c r="AB421" i="1"/>
  <c r="AB440" i="1"/>
  <c r="AB457" i="1"/>
  <c r="AB476" i="1"/>
  <c r="AB493" i="1"/>
  <c r="AB512" i="1"/>
  <c r="AB529" i="1"/>
  <c r="AB548" i="1"/>
  <c r="AB565" i="1"/>
  <c r="AB584" i="1"/>
  <c r="AB601" i="1"/>
  <c r="AB620" i="1"/>
  <c r="AB637" i="1"/>
  <c r="AB656" i="1"/>
  <c r="AB673" i="1"/>
  <c r="AB692" i="1"/>
  <c r="AB709" i="1"/>
  <c r="AB728" i="1"/>
  <c r="AB745" i="1"/>
  <c r="AB764" i="1"/>
  <c r="AB781" i="1"/>
  <c r="AB800" i="1"/>
  <c r="AB817" i="1"/>
  <c r="AB836" i="1"/>
  <c r="AB853" i="1"/>
  <c r="AB872" i="1"/>
  <c r="AB889" i="1"/>
  <c r="AB908" i="1"/>
  <c r="AB925" i="1"/>
  <c r="AB944" i="1"/>
  <c r="AB961" i="1"/>
  <c r="AB980" i="1"/>
  <c r="AB997" i="1"/>
  <c r="AB1016" i="1"/>
  <c r="AB1033" i="1"/>
  <c r="AB1052" i="1"/>
  <c r="AB1073" i="1"/>
  <c r="AB1061" i="1"/>
  <c r="AB1049" i="1"/>
  <c r="AB1037" i="1"/>
  <c r="AB1025" i="1"/>
  <c r="AB1013" i="1"/>
  <c r="AB1001" i="1"/>
  <c r="AB989" i="1"/>
  <c r="AB977" i="1"/>
  <c r="AB965" i="1"/>
  <c r="AB953" i="1"/>
  <c r="AB941" i="1"/>
  <c r="AB929" i="1"/>
  <c r="AB917" i="1"/>
  <c r="AB905" i="1"/>
  <c r="AB893" i="1"/>
  <c r="AB881" i="1"/>
  <c r="AB869" i="1"/>
  <c r="AB857" i="1"/>
  <c r="AB845" i="1"/>
  <c r="AB833" i="1"/>
  <c r="AB821" i="1"/>
  <c r="AB809" i="1"/>
  <c r="AB797" i="1"/>
  <c r="AB785" i="1"/>
  <c r="AB773" i="1"/>
  <c r="AB761" i="1"/>
  <c r="AB749" i="1"/>
  <c r="AB737" i="1"/>
  <c r="AB725" i="1"/>
  <c r="AB713" i="1"/>
  <c r="AB701" i="1"/>
  <c r="AB689" i="1"/>
  <c r="AB677" i="1"/>
  <c r="AB665" i="1"/>
  <c r="AB653" i="1"/>
  <c r="AB641" i="1"/>
  <c r="AB629" i="1"/>
  <c r="AB617" i="1"/>
  <c r="AB605" i="1"/>
  <c r="AB593" i="1"/>
  <c r="AB581" i="1"/>
  <c r="AB569" i="1"/>
  <c r="AB557" i="1"/>
  <c r="AB545" i="1"/>
  <c r="AB533" i="1"/>
  <c r="AB521" i="1"/>
  <c r="AB509" i="1"/>
  <c r="AB497" i="1"/>
  <c r="AB485" i="1"/>
  <c r="AB473" i="1"/>
  <c r="AB461" i="1"/>
  <c r="AB449" i="1"/>
  <c r="AB437" i="1"/>
  <c r="AB425" i="1"/>
  <c r="AB413" i="1"/>
  <c r="AB401" i="1"/>
  <c r="AB1072" i="1"/>
  <c r="AB1060" i="1"/>
  <c r="AB1048" i="1"/>
  <c r="AB1036" i="1"/>
  <c r="AB1024" i="1"/>
  <c r="AB1012" i="1"/>
  <c r="AB1000" i="1"/>
  <c r="AB988" i="1"/>
  <c r="AB976" i="1"/>
  <c r="AB964" i="1"/>
  <c r="AB952" i="1"/>
  <c r="AB940" i="1"/>
  <c r="AB928" i="1"/>
  <c r="AB916" i="1"/>
  <c r="AB904" i="1"/>
  <c r="AB892" i="1"/>
  <c r="AB880" i="1"/>
  <c r="AB868" i="1"/>
  <c r="AB856" i="1"/>
  <c r="AB844" i="1"/>
  <c r="AB832" i="1"/>
  <c r="AB820" i="1"/>
  <c r="AB808" i="1"/>
  <c r="AB796" i="1"/>
  <c r="AB784" i="1"/>
  <c r="AB772" i="1"/>
  <c r="AB760" i="1"/>
  <c r="AB748" i="1"/>
  <c r="AB736" i="1"/>
  <c r="AB724" i="1"/>
  <c r="AB712" i="1"/>
  <c r="AB700" i="1"/>
  <c r="AB688" i="1"/>
  <c r="AB676" i="1"/>
  <c r="AB664" i="1"/>
  <c r="AB652" i="1"/>
  <c r="AB640" i="1"/>
  <c r="AB628" i="1"/>
  <c r="AB616" i="1"/>
  <c r="AB604" i="1"/>
  <c r="AB592" i="1"/>
  <c r="AB580" i="1"/>
  <c r="AB568" i="1"/>
  <c r="AB556" i="1"/>
  <c r="AB544" i="1"/>
  <c r="AB532" i="1"/>
  <c r="AB520" i="1"/>
  <c r="AB508" i="1"/>
  <c r="AB496" i="1"/>
  <c r="AB484" i="1"/>
  <c r="AB472" i="1"/>
  <c r="AB460" i="1"/>
  <c r="AB448" i="1"/>
  <c r="AB436" i="1"/>
  <c r="AB424" i="1"/>
  <c r="AB412" i="1"/>
  <c r="AB400" i="1"/>
  <c r="AB388" i="1"/>
  <c r="AB376" i="1"/>
  <c r="AB364" i="1"/>
  <c r="AB352" i="1"/>
  <c r="AB340" i="1"/>
  <c r="AB328" i="1"/>
  <c r="AB316" i="1"/>
  <c r="AB304" i="1"/>
  <c r="AB292" i="1"/>
  <c r="AB280" i="1"/>
  <c r="AB268" i="1"/>
  <c r="AB256" i="1"/>
  <c r="AB244" i="1"/>
  <c r="AB232" i="1"/>
  <c r="AB220" i="1"/>
  <c r="AB208" i="1"/>
  <c r="AB196" i="1"/>
  <c r="AB184" i="1"/>
  <c r="AB172" i="1"/>
  <c r="AB160" i="1"/>
  <c r="AB148" i="1"/>
  <c r="AB136" i="1"/>
  <c r="AB124" i="1"/>
  <c r="AB112" i="1"/>
  <c r="AB100" i="1"/>
  <c r="AB88" i="1"/>
  <c r="AB76" i="1"/>
  <c r="AB64" i="1"/>
  <c r="AB1071" i="1"/>
  <c r="AB1059" i="1"/>
  <c r="AB1047" i="1"/>
  <c r="AB1035" i="1"/>
  <c r="AB1023" i="1"/>
  <c r="AB1011" i="1"/>
  <c r="AB999" i="1"/>
  <c r="AB987" i="1"/>
  <c r="AB975" i="1"/>
  <c r="AB963" i="1"/>
  <c r="AB951" i="1"/>
  <c r="AB939" i="1"/>
  <c r="AB927" i="1"/>
  <c r="AB915" i="1"/>
  <c r="AB903" i="1"/>
  <c r="AB891" i="1"/>
  <c r="AB879" i="1"/>
  <c r="AB867" i="1"/>
  <c r="AB855" i="1"/>
  <c r="AB843" i="1"/>
  <c r="AB831" i="1"/>
  <c r="AB819" i="1"/>
  <c r="AB807" i="1"/>
  <c r="AB795" i="1"/>
  <c r="AB783" i="1"/>
  <c r="AB771" i="1"/>
  <c r="AB759" i="1"/>
  <c r="AB747" i="1"/>
  <c r="AB735" i="1"/>
  <c r="AB723" i="1"/>
  <c r="AB711" i="1"/>
  <c r="AB699" i="1"/>
  <c r="AB687" i="1"/>
  <c r="AB675" i="1"/>
  <c r="AB663" i="1"/>
  <c r="AB651" i="1"/>
  <c r="AB639" i="1"/>
  <c r="AB627" i="1"/>
  <c r="AB615" i="1"/>
  <c r="AB603" i="1"/>
  <c r="AB591" i="1"/>
  <c r="AB579" i="1"/>
  <c r="AB567" i="1"/>
  <c r="AB555" i="1"/>
  <c r="AB543" i="1"/>
  <c r="AB531" i="1"/>
  <c r="AB519" i="1"/>
  <c r="AB507" i="1"/>
  <c r="AB495" i="1"/>
  <c r="AB483" i="1"/>
  <c r="AB471" i="1"/>
  <c r="AB459" i="1"/>
  <c r="AB447" i="1"/>
  <c r="AB435" i="1"/>
  <c r="AB423" i="1"/>
  <c r="AB411" i="1"/>
  <c r="AB399" i="1"/>
  <c r="AB387" i="1"/>
  <c r="AB375" i="1"/>
  <c r="AB363" i="1"/>
  <c r="AB351" i="1"/>
  <c r="AB339" i="1"/>
  <c r="AB327" i="1"/>
  <c r="AB315" i="1"/>
  <c r="AB303" i="1"/>
  <c r="AB291" i="1"/>
  <c r="AB279" i="1"/>
  <c r="AB267" i="1"/>
  <c r="AB255" i="1"/>
  <c r="AB243" i="1"/>
  <c r="AB231" i="1"/>
  <c r="AB219" i="1"/>
  <c r="AB207" i="1"/>
  <c r="AB195" i="1"/>
  <c r="AB183" i="1"/>
  <c r="AB171" i="1"/>
  <c r="AB1066" i="1"/>
  <c r="AB1054" i="1"/>
  <c r="AB1042" i="1"/>
  <c r="AB1030" i="1"/>
  <c r="AB1018" i="1"/>
  <c r="AB1006" i="1"/>
  <c r="AB994" i="1"/>
  <c r="AB982" i="1"/>
  <c r="AB970" i="1"/>
  <c r="AB958" i="1"/>
  <c r="AB946" i="1"/>
  <c r="AB934" i="1"/>
  <c r="AB922" i="1"/>
  <c r="AB910" i="1"/>
  <c r="AB898" i="1"/>
  <c r="AB886" i="1"/>
  <c r="AB874" i="1"/>
  <c r="AB862" i="1"/>
  <c r="AB850" i="1"/>
  <c r="AB838" i="1"/>
  <c r="AB826" i="1"/>
  <c r="AB814" i="1"/>
  <c r="AB802" i="1"/>
  <c r="AB790" i="1"/>
  <c r="AB778" i="1"/>
  <c r="AB766" i="1"/>
  <c r="AB754" i="1"/>
  <c r="AB742" i="1"/>
  <c r="AB730" i="1"/>
  <c r="AB718" i="1"/>
  <c r="AB706" i="1"/>
  <c r="AB694" i="1"/>
  <c r="AB682" i="1"/>
  <c r="AB670" i="1"/>
  <c r="AB658" i="1"/>
  <c r="AB646" i="1"/>
  <c r="AB634" i="1"/>
  <c r="AB622" i="1"/>
  <c r="AB610" i="1"/>
  <c r="AB598" i="1"/>
  <c r="AB586" i="1"/>
  <c r="AB574" i="1"/>
  <c r="AB562" i="1"/>
  <c r="AB550" i="1"/>
  <c r="AB538" i="1"/>
  <c r="AB526" i="1"/>
  <c r="AB514" i="1"/>
  <c r="AB502" i="1"/>
  <c r="AB490" i="1"/>
  <c r="AB478" i="1"/>
  <c r="AB466" i="1"/>
  <c r="AB454" i="1"/>
  <c r="AB442" i="1"/>
  <c r="AB430" i="1"/>
  <c r="AB418" i="1"/>
  <c r="AB406" i="1"/>
  <c r="AB394" i="1"/>
  <c r="AB382" i="1"/>
  <c r="AB370" i="1"/>
  <c r="AB358" i="1"/>
  <c r="AB346" i="1"/>
  <c r="AB334" i="1"/>
  <c r="AB322" i="1"/>
  <c r="AB310" i="1"/>
  <c r="AB298" i="1"/>
  <c r="AB286" i="1"/>
  <c r="AB274" i="1"/>
  <c r="AB262" i="1"/>
  <c r="AB250" i="1"/>
  <c r="AB238" i="1"/>
  <c r="AB226" i="1"/>
  <c r="AB214" i="1"/>
  <c r="AB202" i="1"/>
  <c r="AB190" i="1"/>
  <c r="AB178" i="1"/>
  <c r="AB166" i="1"/>
  <c r="AB154" i="1"/>
  <c r="AB142" i="1"/>
  <c r="AB130" i="1"/>
  <c r="AB118" i="1"/>
  <c r="AB106" i="1"/>
  <c r="AB94" i="1"/>
  <c r="AB82" i="1"/>
  <c r="AB70" i="1"/>
  <c r="AB58" i="1"/>
  <c r="AB14" i="1"/>
  <c r="AB26" i="1"/>
  <c r="AB38" i="1"/>
  <c r="AB50" i="1"/>
  <c r="AB63" i="1"/>
  <c r="AB78" i="1"/>
  <c r="AB92" i="1"/>
  <c r="AB107" i="1"/>
  <c r="AB121" i="1"/>
  <c r="AB135" i="1"/>
  <c r="AB150" i="1"/>
  <c r="AB164" i="1"/>
  <c r="AB180" i="1"/>
  <c r="AB197" i="1"/>
  <c r="AB212" i="1"/>
  <c r="AB228" i="1"/>
  <c r="AB245" i="1"/>
  <c r="AB260" i="1"/>
  <c r="AB276" i="1"/>
  <c r="AB293" i="1"/>
  <c r="AB308" i="1"/>
  <c r="AB324" i="1"/>
  <c r="AB341" i="1"/>
  <c r="AB356" i="1"/>
  <c r="AB372" i="1"/>
  <c r="AB389" i="1"/>
  <c r="AB405" i="1"/>
  <c r="AB422" i="1"/>
  <c r="AB441" i="1"/>
  <c r="AB458" i="1"/>
  <c r="AB477" i="1"/>
  <c r="AB494" i="1"/>
  <c r="AB513" i="1"/>
  <c r="AB530" i="1"/>
  <c r="AB549" i="1"/>
  <c r="AB566" i="1"/>
  <c r="AB585" i="1"/>
  <c r="AB602" i="1"/>
  <c r="AB621" i="1"/>
  <c r="AB638" i="1"/>
  <c r="AB657" i="1"/>
  <c r="AB674" i="1"/>
  <c r="AB693" i="1"/>
  <c r="AB710" i="1"/>
  <c r="AB729" i="1"/>
  <c r="AB746" i="1"/>
  <c r="AB765" i="1"/>
  <c r="AB782" i="1"/>
  <c r="AB801" i="1"/>
  <c r="AB818" i="1"/>
  <c r="AB837" i="1"/>
  <c r="AB854" i="1"/>
  <c r="AB873" i="1"/>
  <c r="AB890" i="1"/>
  <c r="AB909" i="1"/>
  <c r="AB926" i="1"/>
  <c r="AB945" i="1"/>
  <c r="AB962" i="1"/>
  <c r="AB981" i="1"/>
  <c r="AB998" i="1"/>
  <c r="AB1017" i="1"/>
  <c r="AB1034" i="1"/>
  <c r="AB1053" i="1"/>
  <c r="AB1070" i="1"/>
  <c r="K12" i="5" l="1" a="1"/>
  <c r="K12" i="5" s="1"/>
  <c r="K11" i="5"/>
  <c r="N6" i="5"/>
  <c r="K14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<sst xmlns="http://schemas.openxmlformats.org/spreadsheetml/2006/main" count="111" uniqueCount="62">
  <si>
    <t>Abbot</t>
  </si>
  <si>
    <t>date</t>
  </si>
  <si>
    <t>time</t>
  </si>
  <si>
    <t>open</t>
  </si>
  <si>
    <t>high</t>
  </si>
  <si>
    <t>low</t>
  </si>
  <si>
    <t>close</t>
  </si>
  <si>
    <t>vol</t>
  </si>
  <si>
    <t>Unilever</t>
  </si>
  <si>
    <t>Attock Refinery</t>
  </si>
  <si>
    <t>Return of Portfolio Rp = w1r1 +w2r2</t>
  </si>
  <si>
    <t>Risk of Portfolio - S.D of Portfolio, sigma(p)</t>
  </si>
  <si>
    <t>σp=square root σ^2p</t>
  </si>
  <si>
    <t>σp^2 = variance of portfolio</t>
  </si>
  <si>
    <t>σ^2p = w1^2σ1^2+w2^2σ2^2+2w1w2 * Cov(1,2)</t>
  </si>
  <si>
    <t>σ^2 =  value of each portfolio/asset</t>
  </si>
  <si>
    <t>w=%age of wealth investment in each portofolio/asset</t>
  </si>
  <si>
    <t>r= Avg return of each portfolio/asset</t>
  </si>
  <si>
    <t>σ= S.D of each Portfolio/asset</t>
  </si>
  <si>
    <t>w1^2σ1^2+w2^2σ2^2+2w1w2σ1σ2r1,2</t>
  </si>
  <si>
    <t>since σ1σ2r1,2=Cov(1,2)</t>
  </si>
  <si>
    <t>r1,2 = Correlation Coefficient between Portfolio/asset 1 &amp; 2</t>
  </si>
  <si>
    <t>Cov (1,2) = Covariance between portfolio/asset 1&amp;2</t>
  </si>
  <si>
    <t>Markowitz mean variance theory</t>
  </si>
  <si>
    <t>Sharp Ratio = Rp-Rf/Sigmap</t>
  </si>
  <si>
    <t>ATRL</t>
  </si>
  <si>
    <t>ABBT</t>
  </si>
  <si>
    <t>carry only 2010 data in next tab</t>
  </si>
  <si>
    <t>pav</t>
  </si>
  <si>
    <t>removed #n/a</t>
  </si>
  <si>
    <t>unilever is base. Dates and close</t>
  </si>
  <si>
    <t>252 trading days in a year worldwide. We have net (246-1) 245 observations</t>
  </si>
  <si>
    <t>245 is used in annualization</t>
  </si>
  <si>
    <t>Returns</t>
  </si>
  <si>
    <t>Summary Stats</t>
  </si>
  <si>
    <t>Average Return</t>
  </si>
  <si>
    <t>Standard Deviation</t>
  </si>
  <si>
    <t>Covariance</t>
  </si>
  <si>
    <t>*Refer: 12-month T-Bills data from SBP (Pick the latest in 2010). It will be annualized. Convert to daily as we have daily data.</t>
  </si>
  <si>
    <t>Daily Risk Free Rate*</t>
  </si>
  <si>
    <t>Portfolio Weights</t>
  </si>
  <si>
    <t>W1</t>
  </si>
  <si>
    <t>W2</t>
  </si>
  <si>
    <t>Portfolio</t>
  </si>
  <si>
    <t>RP</t>
  </si>
  <si>
    <t>SD</t>
  </si>
  <si>
    <t>Sharpe Ratio</t>
  </si>
  <si>
    <t>Optimal Portfolio</t>
  </si>
  <si>
    <t>Capital Allocation Line</t>
  </si>
  <si>
    <t>Rp</t>
  </si>
  <si>
    <t>SDp</t>
  </si>
  <si>
    <t>Stocks Summary</t>
  </si>
  <si>
    <t>Annual Return</t>
  </si>
  <si>
    <t>Annual SD</t>
  </si>
  <si>
    <t>Weights</t>
  </si>
  <si>
    <t>Random</t>
  </si>
  <si>
    <t>Portfolio Summary</t>
  </si>
  <si>
    <t>Expected Return of PF</t>
  </si>
  <si>
    <t>Rf</t>
  </si>
  <si>
    <t>Var CoVar Matrix</t>
  </si>
  <si>
    <t>SDP</t>
  </si>
  <si>
    <t>Simulations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</si>
</sst>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#,##0.000000000"/>
    <numFmt numFmtId="166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Fill="1"/>
    <xf numFmtId="0" fontId="0" fillId="0" borderId="0" xfId="0" applyFont="1"/>
    <xf numFmtId="0" fontId="1" fillId="0" borderId="0" xfId="0" applyFont="1" applyFill="1" applyBorder="1"/>
    <xf numFmtId="0" fontId="0" fillId="0" borderId="0" xfId="0" applyFill="1" applyBorder="1"/>
    <xf numFmtId="14" fontId="0" fillId="0" borderId="0" xfId="0" applyNumberFormat="1" applyFill="1" applyBorder="1"/>
    <xf numFmtId="20" fontId="0" fillId="0" borderId="0" xfId="0" applyNumberFormat="1" applyFill="1" applyBorder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9" fontId="0" fillId="0" borderId="0" xfId="0" applyNumberFormat="1"/>
    <xf numFmtId="10" fontId="1" fillId="0" borderId="0" xfId="0" applyNumberFormat="1" applyFont="1"/>
    <xf numFmtId="0" fontId="1" fillId="0" borderId="0" xfId="0" applyFont="1" applyFill="1" applyBorder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0" xfId="0" applyFill="1" applyBorder="1" applyAlignment="1"/>
    <xf numFmtId="0" fontId="3" fillId="0" borderId="2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stock optimal portfolio'!$K$23:$K$5023</c:f>
              <c:numCache>
                <c:formatCode>0.00%</c:formatCode>
                <c:ptCount val="5001"/>
                <c:pt idx="0">
                  <c:v>0.21618771598878003</c:v>
                </c:pt>
                <c:pt idx="1">
                  <c:v>0.26063739685616577</c:v>
                </c:pt>
                <c:pt idx="2">
                  <c:v>0.19589306867647482</c:v>
                </c:pt>
                <c:pt idx="3">
                  <c:v>0.20847819902128809</c:v>
                </c:pt>
                <c:pt idx="4">
                  <c:v>0.2738257556049925</c:v>
                </c:pt>
                <c:pt idx="5">
                  <c:v>0.19362981968706083</c:v>
                </c:pt>
                <c:pt idx="6">
                  <c:v>0.18903204735750093</c:v>
                </c:pt>
                <c:pt idx="7">
                  <c:v>0.23120889493955205</c:v>
                </c:pt>
                <c:pt idx="8">
                  <c:v>0.19033314897747372</c:v>
                </c:pt>
                <c:pt idx="9">
                  <c:v>0.21569597646178912</c:v>
                </c:pt>
                <c:pt idx="10">
                  <c:v>0.20058472507270259</c:v>
                </c:pt>
                <c:pt idx="11">
                  <c:v>0.19260547863970309</c:v>
                </c:pt>
                <c:pt idx="12">
                  <c:v>0.21837450130905664</c:v>
                </c:pt>
                <c:pt idx="13">
                  <c:v>0.1959693232922386</c:v>
                </c:pt>
                <c:pt idx="14">
                  <c:v>0.19015759329824994</c:v>
                </c:pt>
                <c:pt idx="15">
                  <c:v>0.21576216173189944</c:v>
                </c:pt>
                <c:pt idx="16">
                  <c:v>0.19946627465262104</c:v>
                </c:pt>
                <c:pt idx="17">
                  <c:v>0.19262642664439522</c:v>
                </c:pt>
                <c:pt idx="18">
                  <c:v>0.20293680143156614</c:v>
                </c:pt>
                <c:pt idx="19">
                  <c:v>0.20975899243481502</c:v>
                </c:pt>
                <c:pt idx="20">
                  <c:v>0.19162075435356421</c:v>
                </c:pt>
                <c:pt idx="21">
                  <c:v>0.22120459809424889</c:v>
                </c:pt>
                <c:pt idx="22">
                  <c:v>0.19164690909864543</c:v>
                </c:pt>
                <c:pt idx="23">
                  <c:v>0.20046946433657026</c:v>
                </c:pt>
                <c:pt idx="24">
                  <c:v>0.19472502268032829</c:v>
                </c:pt>
                <c:pt idx="25">
                  <c:v>0.20252780997183767</c:v>
                </c:pt>
                <c:pt idx="26">
                  <c:v>0.22552207275066224</c:v>
                </c:pt>
                <c:pt idx="27">
                  <c:v>0.20648182851518504</c:v>
                </c:pt>
                <c:pt idx="28">
                  <c:v>0.18887703050718807</c:v>
                </c:pt>
                <c:pt idx="29">
                  <c:v>0.26286058653352273</c:v>
                </c:pt>
                <c:pt idx="30">
                  <c:v>0.20457819158030183</c:v>
                </c:pt>
                <c:pt idx="31">
                  <c:v>0.2483844507925978</c:v>
                </c:pt>
                <c:pt idx="32">
                  <c:v>0.22247664761881622</c:v>
                </c:pt>
                <c:pt idx="33">
                  <c:v>0.22565331261044383</c:v>
                </c:pt>
                <c:pt idx="34">
                  <c:v>0.22320520788197515</c:v>
                </c:pt>
                <c:pt idx="35">
                  <c:v>0.18981488082573783</c:v>
                </c:pt>
                <c:pt idx="36">
                  <c:v>0.22579224301049391</c:v>
                </c:pt>
                <c:pt idx="37">
                  <c:v>0.2123272777136643</c:v>
                </c:pt>
                <c:pt idx="38">
                  <c:v>0.19204834743716037</c:v>
                </c:pt>
                <c:pt idx="39">
                  <c:v>0.22525117970241529</c:v>
                </c:pt>
                <c:pt idx="40">
                  <c:v>0.19915883845946927</c:v>
                </c:pt>
                <c:pt idx="41">
                  <c:v>0.25603292428299612</c:v>
                </c:pt>
                <c:pt idx="42">
                  <c:v>0.19639174164789466</c:v>
                </c:pt>
                <c:pt idx="43">
                  <c:v>0.18966952506739207</c:v>
                </c:pt>
                <c:pt idx="44">
                  <c:v>0.20466425597807333</c:v>
                </c:pt>
                <c:pt idx="45">
                  <c:v>0.24977015783835799</c:v>
                </c:pt>
                <c:pt idx="46">
                  <c:v>0.19263949607456696</c:v>
                </c:pt>
                <c:pt idx="47">
                  <c:v>0.20340308830405796</c:v>
                </c:pt>
                <c:pt idx="48">
                  <c:v>0.1949447894253972</c:v>
                </c:pt>
                <c:pt idx="49">
                  <c:v>0.19270223331774919</c:v>
                </c:pt>
                <c:pt idx="50">
                  <c:v>0.21283637649707496</c:v>
                </c:pt>
                <c:pt idx="51">
                  <c:v>0.19417622551041458</c:v>
                </c:pt>
                <c:pt idx="52">
                  <c:v>0.22245488322033913</c:v>
                </c:pt>
                <c:pt idx="53">
                  <c:v>0.19078770654761162</c:v>
                </c:pt>
                <c:pt idx="54">
                  <c:v>0.22509978427879454</c:v>
                </c:pt>
                <c:pt idx="55">
                  <c:v>0.19693089315145956</c:v>
                </c:pt>
                <c:pt idx="56">
                  <c:v>0.20800016413338079</c:v>
                </c:pt>
                <c:pt idx="57">
                  <c:v>0.25256190001626133</c:v>
                </c:pt>
                <c:pt idx="58">
                  <c:v>0.23296636546614649</c:v>
                </c:pt>
                <c:pt idx="59">
                  <c:v>0.20256333243935171</c:v>
                </c:pt>
                <c:pt idx="60">
                  <c:v>0.24524851017568222</c:v>
                </c:pt>
                <c:pt idx="61">
                  <c:v>0.20146817376246706</c:v>
                </c:pt>
                <c:pt idx="62">
                  <c:v>0.20258696086982694</c:v>
                </c:pt>
                <c:pt idx="63">
                  <c:v>0.2651707097694061</c:v>
                </c:pt>
                <c:pt idx="64">
                  <c:v>0.21177583777699108</c:v>
                </c:pt>
                <c:pt idx="65">
                  <c:v>0.21948505770880047</c:v>
                </c:pt>
                <c:pt idx="66">
                  <c:v>0.20692021227466398</c:v>
                </c:pt>
                <c:pt idx="67">
                  <c:v>0.19057545835600323</c:v>
                </c:pt>
                <c:pt idx="68">
                  <c:v>0.2189554719101405</c:v>
                </c:pt>
                <c:pt idx="69">
                  <c:v>0.19643706659758489</c:v>
                </c:pt>
                <c:pt idx="70">
                  <c:v>0.2931126753049399</c:v>
                </c:pt>
                <c:pt idx="71">
                  <c:v>0.18912013344115888</c:v>
                </c:pt>
                <c:pt idx="72">
                  <c:v>0.27172909986652005</c:v>
                </c:pt>
                <c:pt idx="73">
                  <c:v>0.21437951727145327</c:v>
                </c:pt>
                <c:pt idx="74">
                  <c:v>0.25133036020785871</c:v>
                </c:pt>
                <c:pt idx="75">
                  <c:v>0.28014499238242946</c:v>
                </c:pt>
                <c:pt idx="76">
                  <c:v>0.30023592995894272</c:v>
                </c:pt>
                <c:pt idx="77">
                  <c:v>0.28886980770240134</c:v>
                </c:pt>
                <c:pt idx="78">
                  <c:v>0.24910481996781828</c:v>
                </c:pt>
                <c:pt idx="79">
                  <c:v>0.21028375313645842</c:v>
                </c:pt>
                <c:pt idx="80">
                  <c:v>0.20882329530730093</c:v>
                </c:pt>
                <c:pt idx="81">
                  <c:v>0.21452448644729394</c:v>
                </c:pt>
                <c:pt idx="82">
                  <c:v>0.2037078193203907</c:v>
                </c:pt>
                <c:pt idx="83">
                  <c:v>0.1992665124764946</c:v>
                </c:pt>
                <c:pt idx="84">
                  <c:v>0.21148070804120003</c:v>
                </c:pt>
                <c:pt idx="85">
                  <c:v>0.20992950051503681</c:v>
                </c:pt>
                <c:pt idx="86">
                  <c:v>0.26257543234519076</c:v>
                </c:pt>
                <c:pt idx="87">
                  <c:v>0.23665473705257251</c:v>
                </c:pt>
                <c:pt idx="88">
                  <c:v>0.24239357408977255</c:v>
                </c:pt>
                <c:pt idx="89">
                  <c:v>0.21339181812711475</c:v>
                </c:pt>
                <c:pt idx="90">
                  <c:v>0.23452206621364366</c:v>
                </c:pt>
                <c:pt idx="91">
                  <c:v>0.21813647482639498</c:v>
                </c:pt>
                <c:pt idx="92">
                  <c:v>0.19296984836856618</c:v>
                </c:pt>
                <c:pt idx="93">
                  <c:v>0.21633100934966215</c:v>
                </c:pt>
                <c:pt idx="94">
                  <c:v>0.19904459886990419</c:v>
                </c:pt>
                <c:pt idx="95">
                  <c:v>0.19072915710117933</c:v>
                </c:pt>
                <c:pt idx="96">
                  <c:v>0.28787854711544186</c:v>
                </c:pt>
                <c:pt idx="97">
                  <c:v>0.1913927881658595</c:v>
                </c:pt>
                <c:pt idx="98">
                  <c:v>0.19223934451442182</c:v>
                </c:pt>
                <c:pt idx="99">
                  <c:v>0.20193167248639496</c:v>
                </c:pt>
                <c:pt idx="100">
                  <c:v>0.19708278695502679</c:v>
                </c:pt>
                <c:pt idx="101">
                  <c:v>0.22855381770226252</c:v>
                </c:pt>
                <c:pt idx="102">
                  <c:v>0.21379371568209024</c:v>
                </c:pt>
                <c:pt idx="103">
                  <c:v>0.2106531188996415</c:v>
                </c:pt>
                <c:pt idx="104">
                  <c:v>0.1915143699492815</c:v>
                </c:pt>
                <c:pt idx="105">
                  <c:v>0.19087793472242687</c:v>
                </c:pt>
                <c:pt idx="106">
                  <c:v>0.19063370453383593</c:v>
                </c:pt>
                <c:pt idx="107">
                  <c:v>0.285552557601985</c:v>
                </c:pt>
                <c:pt idx="108">
                  <c:v>0.2190104347801341</c:v>
                </c:pt>
                <c:pt idx="109">
                  <c:v>0.21671170128731165</c:v>
                </c:pt>
                <c:pt idx="110">
                  <c:v>0.23188738683694538</c:v>
                </c:pt>
                <c:pt idx="111">
                  <c:v>0.22240544380637786</c:v>
                </c:pt>
                <c:pt idx="112">
                  <c:v>0.26005130055764936</c:v>
                </c:pt>
                <c:pt idx="113">
                  <c:v>0.19077357814070811</c:v>
                </c:pt>
                <c:pt idx="114">
                  <c:v>0.20435302598067698</c:v>
                </c:pt>
                <c:pt idx="115">
                  <c:v>0.19134338331360207</c:v>
                </c:pt>
                <c:pt idx="116">
                  <c:v>0.2874478504374206</c:v>
                </c:pt>
                <c:pt idx="117">
                  <c:v>0.18945085246565641</c:v>
                </c:pt>
                <c:pt idx="118">
                  <c:v>0.19059592985667859</c:v>
                </c:pt>
                <c:pt idx="119">
                  <c:v>0.21933154283781395</c:v>
                </c:pt>
                <c:pt idx="120">
                  <c:v>0.2024257889485401</c:v>
                </c:pt>
                <c:pt idx="121">
                  <c:v>0.18931137875342491</c:v>
                </c:pt>
                <c:pt idx="122">
                  <c:v>0.20249305099348031</c:v>
                </c:pt>
                <c:pt idx="123">
                  <c:v>0.25512906552955833</c:v>
                </c:pt>
                <c:pt idx="124">
                  <c:v>0.188703421131838</c:v>
                </c:pt>
                <c:pt idx="125">
                  <c:v>0.19792897809857313</c:v>
                </c:pt>
                <c:pt idx="126">
                  <c:v>0.21388244468445883</c:v>
                </c:pt>
                <c:pt idx="127">
                  <c:v>0.19279187569827574</c:v>
                </c:pt>
                <c:pt idx="128">
                  <c:v>0.22157034174051218</c:v>
                </c:pt>
                <c:pt idx="129">
                  <c:v>0.19858610495550344</c:v>
                </c:pt>
                <c:pt idx="130">
                  <c:v>0.21928602973129496</c:v>
                </c:pt>
                <c:pt idx="131">
                  <c:v>0.22856112100106193</c:v>
                </c:pt>
                <c:pt idx="132">
                  <c:v>0.20920903648084366</c:v>
                </c:pt>
                <c:pt idx="133">
                  <c:v>0.22498898911068485</c:v>
                </c:pt>
                <c:pt idx="134">
                  <c:v>0.19324334067242957</c:v>
                </c:pt>
                <c:pt idx="135">
                  <c:v>0.22589326077145522</c:v>
                </c:pt>
                <c:pt idx="136">
                  <c:v>0.19506420602763228</c:v>
                </c:pt>
                <c:pt idx="137">
                  <c:v>0.19228679260111506</c:v>
                </c:pt>
                <c:pt idx="138">
                  <c:v>0.2526549737936204</c:v>
                </c:pt>
                <c:pt idx="139">
                  <c:v>0.18897961170343949</c:v>
                </c:pt>
                <c:pt idx="140">
                  <c:v>0.26323659318990816</c:v>
                </c:pt>
                <c:pt idx="141">
                  <c:v>0.22708207795775429</c:v>
                </c:pt>
                <c:pt idx="142">
                  <c:v>0.20881887182665348</c:v>
                </c:pt>
                <c:pt idx="143">
                  <c:v>0.19199442783874784</c:v>
                </c:pt>
                <c:pt idx="144">
                  <c:v>0.26766294614445019</c:v>
                </c:pt>
                <c:pt idx="145">
                  <c:v>0.19368951299391943</c:v>
                </c:pt>
                <c:pt idx="146">
                  <c:v>0.19746932734116898</c:v>
                </c:pt>
                <c:pt idx="147">
                  <c:v>0.19030872557971945</c:v>
                </c:pt>
                <c:pt idx="148">
                  <c:v>0.19663632197338377</c:v>
                </c:pt>
                <c:pt idx="149">
                  <c:v>0.20460156197177887</c:v>
                </c:pt>
                <c:pt idx="150">
                  <c:v>0.19408146279180077</c:v>
                </c:pt>
                <c:pt idx="151">
                  <c:v>0.20918465199306296</c:v>
                </c:pt>
                <c:pt idx="152">
                  <c:v>0.20567030548085907</c:v>
                </c:pt>
                <c:pt idx="153">
                  <c:v>0.1926535156048742</c:v>
                </c:pt>
                <c:pt idx="154">
                  <c:v>0.26015697175122215</c:v>
                </c:pt>
                <c:pt idx="155">
                  <c:v>0.19651217755816777</c:v>
                </c:pt>
                <c:pt idx="156">
                  <c:v>0.33964133719274064</c:v>
                </c:pt>
                <c:pt idx="157">
                  <c:v>0.22661586327336927</c:v>
                </c:pt>
                <c:pt idx="158">
                  <c:v>0.20828054557754061</c:v>
                </c:pt>
                <c:pt idx="159">
                  <c:v>0.21243105197969606</c:v>
                </c:pt>
                <c:pt idx="160">
                  <c:v>0.19309879549490466</c:v>
                </c:pt>
                <c:pt idx="161">
                  <c:v>0.22453843206144625</c:v>
                </c:pt>
                <c:pt idx="162">
                  <c:v>0.20738290978878815</c:v>
                </c:pt>
                <c:pt idx="163">
                  <c:v>0.20310357247963007</c:v>
                </c:pt>
                <c:pt idx="164">
                  <c:v>0.22708400537157347</c:v>
                </c:pt>
                <c:pt idx="165">
                  <c:v>0.22826499733716085</c:v>
                </c:pt>
                <c:pt idx="166">
                  <c:v>0.2151903471361562</c:v>
                </c:pt>
                <c:pt idx="167">
                  <c:v>0.28872847179493738</c:v>
                </c:pt>
                <c:pt idx="168">
                  <c:v>0.21719413756129613</c:v>
                </c:pt>
                <c:pt idx="169">
                  <c:v>0.24297722629485188</c:v>
                </c:pt>
                <c:pt idx="170">
                  <c:v>0.20673251499164794</c:v>
                </c:pt>
                <c:pt idx="171">
                  <c:v>0.21921882507215687</c:v>
                </c:pt>
                <c:pt idx="172">
                  <c:v>0.22868674125073363</c:v>
                </c:pt>
                <c:pt idx="173">
                  <c:v>0.20394312992369482</c:v>
                </c:pt>
                <c:pt idx="174">
                  <c:v>0.19542370469127338</c:v>
                </c:pt>
                <c:pt idx="175">
                  <c:v>0.18924570511421174</c:v>
                </c:pt>
                <c:pt idx="176">
                  <c:v>0.27543758657027867</c:v>
                </c:pt>
                <c:pt idx="177">
                  <c:v>0.21604884362149723</c:v>
                </c:pt>
                <c:pt idx="178">
                  <c:v>0.1894585971286063</c:v>
                </c:pt>
                <c:pt idx="179">
                  <c:v>0.18954328422263869</c:v>
                </c:pt>
                <c:pt idx="180">
                  <c:v>0.24359344121497434</c:v>
                </c:pt>
                <c:pt idx="181">
                  <c:v>0.21307267180891012</c:v>
                </c:pt>
                <c:pt idx="182">
                  <c:v>0.23924556569791278</c:v>
                </c:pt>
                <c:pt idx="183">
                  <c:v>0.21255728658440887</c:v>
                </c:pt>
                <c:pt idx="184">
                  <c:v>0.21170245513536687</c:v>
                </c:pt>
                <c:pt idx="185">
                  <c:v>0.26867807182394216</c:v>
                </c:pt>
                <c:pt idx="186">
                  <c:v>0.2507909294155784</c:v>
                </c:pt>
                <c:pt idx="187">
                  <c:v>0.25416021800194888</c:v>
                </c:pt>
                <c:pt idx="188">
                  <c:v>0.21681248663016728</c:v>
                </c:pt>
                <c:pt idx="189">
                  <c:v>0.27969075663227855</c:v>
                </c:pt>
                <c:pt idx="190">
                  <c:v>0.21831035349485955</c:v>
                </c:pt>
                <c:pt idx="191">
                  <c:v>0.20664231041760836</c:v>
                </c:pt>
                <c:pt idx="192">
                  <c:v>0.22099940443423305</c:v>
                </c:pt>
                <c:pt idx="193">
                  <c:v>0.26980116363687889</c:v>
                </c:pt>
                <c:pt idx="194">
                  <c:v>0.32483611644102839</c:v>
                </c:pt>
                <c:pt idx="195">
                  <c:v>0.22881942840833563</c:v>
                </c:pt>
                <c:pt idx="196">
                  <c:v>0.19553487142829981</c:v>
                </c:pt>
                <c:pt idx="197">
                  <c:v>0.229300834486004</c:v>
                </c:pt>
                <c:pt idx="198">
                  <c:v>0.19438435067547474</c:v>
                </c:pt>
                <c:pt idx="199">
                  <c:v>0.20874024618797554</c:v>
                </c:pt>
                <c:pt idx="200">
                  <c:v>0.20565655937451696</c:v>
                </c:pt>
                <c:pt idx="201">
                  <c:v>0.23564527995136331</c:v>
                </c:pt>
                <c:pt idx="202">
                  <c:v>0.24024913207613952</c:v>
                </c:pt>
                <c:pt idx="203">
                  <c:v>0.19510276396172191</c:v>
                </c:pt>
                <c:pt idx="204">
                  <c:v>0.242078280173117</c:v>
                </c:pt>
                <c:pt idx="205">
                  <c:v>0.20849607382662963</c:v>
                </c:pt>
                <c:pt idx="206">
                  <c:v>0.2879593531524885</c:v>
                </c:pt>
                <c:pt idx="207">
                  <c:v>0.21538268530873728</c:v>
                </c:pt>
                <c:pt idx="208">
                  <c:v>0.2255354882741209</c:v>
                </c:pt>
                <c:pt idx="209">
                  <c:v>0.26276722184312573</c:v>
                </c:pt>
                <c:pt idx="210">
                  <c:v>0.25870300834211585</c:v>
                </c:pt>
                <c:pt idx="211">
                  <c:v>0.27359815352991201</c:v>
                </c:pt>
                <c:pt idx="212">
                  <c:v>0.19783565066945727</c:v>
                </c:pt>
                <c:pt idx="213">
                  <c:v>0.1986906727952924</c:v>
                </c:pt>
                <c:pt idx="214">
                  <c:v>0.19881275743209448</c:v>
                </c:pt>
                <c:pt idx="215">
                  <c:v>0.29175536213196396</c:v>
                </c:pt>
                <c:pt idx="216">
                  <c:v>0.19031000548490867</c:v>
                </c:pt>
                <c:pt idx="217">
                  <c:v>0.21039510206595077</c:v>
                </c:pt>
                <c:pt idx="218">
                  <c:v>0.20353142025133766</c:v>
                </c:pt>
                <c:pt idx="219">
                  <c:v>0.24383082780530815</c:v>
                </c:pt>
                <c:pt idx="220">
                  <c:v>0.19150439239420883</c:v>
                </c:pt>
                <c:pt idx="221">
                  <c:v>0.19153115455644221</c:v>
                </c:pt>
                <c:pt idx="222">
                  <c:v>0.23502456653455198</c:v>
                </c:pt>
                <c:pt idx="223">
                  <c:v>0.25702651868676302</c:v>
                </c:pt>
                <c:pt idx="224">
                  <c:v>0.19427024019574229</c:v>
                </c:pt>
                <c:pt idx="225">
                  <c:v>0.2347943235287045</c:v>
                </c:pt>
                <c:pt idx="226">
                  <c:v>0.20877486261870135</c:v>
                </c:pt>
                <c:pt idx="227">
                  <c:v>0.23094837892807721</c:v>
                </c:pt>
                <c:pt idx="228">
                  <c:v>0.19563146796749217</c:v>
                </c:pt>
                <c:pt idx="229">
                  <c:v>0.20171290575473699</c:v>
                </c:pt>
                <c:pt idx="230">
                  <c:v>0.23681489684921456</c:v>
                </c:pt>
                <c:pt idx="231">
                  <c:v>0.22544509605168817</c:v>
                </c:pt>
                <c:pt idx="232">
                  <c:v>0.19326506241381569</c:v>
                </c:pt>
                <c:pt idx="233">
                  <c:v>0.24114310800886202</c:v>
                </c:pt>
                <c:pt idx="234">
                  <c:v>0.26248096570045731</c:v>
                </c:pt>
                <c:pt idx="235">
                  <c:v>0.18996777697199765</c:v>
                </c:pt>
                <c:pt idx="236">
                  <c:v>0.19778060627453878</c:v>
                </c:pt>
                <c:pt idx="237">
                  <c:v>0.23445697407761465</c:v>
                </c:pt>
                <c:pt idx="238">
                  <c:v>0.21359290095739872</c:v>
                </c:pt>
                <c:pt idx="239">
                  <c:v>0.20202000840241796</c:v>
                </c:pt>
                <c:pt idx="240">
                  <c:v>0.21901377940743255</c:v>
                </c:pt>
                <c:pt idx="241">
                  <c:v>0.1935562547067772</c:v>
                </c:pt>
                <c:pt idx="242">
                  <c:v>0.25612204563786983</c:v>
                </c:pt>
                <c:pt idx="243">
                  <c:v>0.18980205271463133</c:v>
                </c:pt>
                <c:pt idx="244">
                  <c:v>0.19847259019792723</c:v>
                </c:pt>
                <c:pt idx="245">
                  <c:v>0.22806861201700268</c:v>
                </c:pt>
                <c:pt idx="246">
                  <c:v>0.19073314681559828</c:v>
                </c:pt>
                <c:pt idx="247">
                  <c:v>0.2232797621429656</c:v>
                </c:pt>
                <c:pt idx="248">
                  <c:v>0.20345797836867699</c:v>
                </c:pt>
                <c:pt idx="249">
                  <c:v>0.2079355592928607</c:v>
                </c:pt>
                <c:pt idx="250">
                  <c:v>0.28332038055944958</c:v>
                </c:pt>
                <c:pt idx="251">
                  <c:v>0.20679901074586859</c:v>
                </c:pt>
                <c:pt idx="252">
                  <c:v>0.2080350547351171</c:v>
                </c:pt>
                <c:pt idx="253">
                  <c:v>0.24882228806739243</c:v>
                </c:pt>
                <c:pt idx="254">
                  <c:v>0.22808422223183838</c:v>
                </c:pt>
                <c:pt idx="255">
                  <c:v>0.19001356550001663</c:v>
                </c:pt>
                <c:pt idx="256">
                  <c:v>0.21827739799476439</c:v>
                </c:pt>
                <c:pt idx="257">
                  <c:v>0.21210577410130982</c:v>
                </c:pt>
                <c:pt idx="258">
                  <c:v>0.20003431788502521</c:v>
                </c:pt>
                <c:pt idx="259">
                  <c:v>0.20738229198290559</c:v>
                </c:pt>
                <c:pt idx="260">
                  <c:v>0.24848952871334562</c:v>
                </c:pt>
                <c:pt idx="261">
                  <c:v>0.24057963240924476</c:v>
                </c:pt>
                <c:pt idx="262">
                  <c:v>0.22529274908277272</c:v>
                </c:pt>
                <c:pt idx="263">
                  <c:v>0.19647446786619344</c:v>
                </c:pt>
                <c:pt idx="264">
                  <c:v>0.20895970889221974</c:v>
                </c:pt>
                <c:pt idx="265">
                  <c:v>0.20233699534210756</c:v>
                </c:pt>
                <c:pt idx="266">
                  <c:v>0.20137984486196492</c:v>
                </c:pt>
                <c:pt idx="267">
                  <c:v>0.20113410091549308</c:v>
                </c:pt>
                <c:pt idx="268">
                  <c:v>0.24674840341760224</c:v>
                </c:pt>
                <c:pt idx="269">
                  <c:v>0.22553629531926747</c:v>
                </c:pt>
                <c:pt idx="270">
                  <c:v>0.19996310798548458</c:v>
                </c:pt>
                <c:pt idx="271">
                  <c:v>0.19732699955947475</c:v>
                </c:pt>
                <c:pt idx="272">
                  <c:v>0.33056059349863687</c:v>
                </c:pt>
                <c:pt idx="273">
                  <c:v>0.19955101904173059</c:v>
                </c:pt>
                <c:pt idx="274">
                  <c:v>0.21724277366967623</c:v>
                </c:pt>
                <c:pt idx="275">
                  <c:v>0.250142075086912</c:v>
                </c:pt>
                <c:pt idx="276">
                  <c:v>0.21718578897193908</c:v>
                </c:pt>
                <c:pt idx="277">
                  <c:v>0.19683887875168371</c:v>
                </c:pt>
                <c:pt idx="278">
                  <c:v>0.25220641611402361</c:v>
                </c:pt>
                <c:pt idx="279">
                  <c:v>0.21086527704425989</c:v>
                </c:pt>
                <c:pt idx="280">
                  <c:v>0.2460895754651487</c:v>
                </c:pt>
                <c:pt idx="281">
                  <c:v>0.21441642064757699</c:v>
                </c:pt>
                <c:pt idx="282">
                  <c:v>0.22742204515619227</c:v>
                </c:pt>
                <c:pt idx="283">
                  <c:v>0.19544283779956431</c:v>
                </c:pt>
                <c:pt idx="284">
                  <c:v>0.2297936996387302</c:v>
                </c:pt>
                <c:pt idx="285">
                  <c:v>0.2121996779520085</c:v>
                </c:pt>
                <c:pt idx="286">
                  <c:v>0.21568488561599569</c:v>
                </c:pt>
                <c:pt idx="287">
                  <c:v>0.1987731799615938</c:v>
                </c:pt>
                <c:pt idx="288">
                  <c:v>0.20900945426406176</c:v>
                </c:pt>
                <c:pt idx="289">
                  <c:v>0.20095493006367007</c:v>
                </c:pt>
                <c:pt idx="290">
                  <c:v>0.1955355791147888</c:v>
                </c:pt>
                <c:pt idx="291">
                  <c:v>0.2137615651200335</c:v>
                </c:pt>
                <c:pt idx="292">
                  <c:v>0.20924747696472934</c:v>
                </c:pt>
                <c:pt idx="293">
                  <c:v>0.25604346702517422</c:v>
                </c:pt>
                <c:pt idx="294">
                  <c:v>0.31333013805737053</c:v>
                </c:pt>
                <c:pt idx="295">
                  <c:v>0.21807934496795597</c:v>
                </c:pt>
                <c:pt idx="296">
                  <c:v>0.25719119521178652</c:v>
                </c:pt>
                <c:pt idx="297">
                  <c:v>0.27156815648057575</c:v>
                </c:pt>
                <c:pt idx="298">
                  <c:v>0.19694723253191915</c:v>
                </c:pt>
                <c:pt idx="299">
                  <c:v>0.23605010420086603</c:v>
                </c:pt>
                <c:pt idx="300">
                  <c:v>0.25104716551660494</c:v>
                </c:pt>
                <c:pt idx="301">
                  <c:v>0.24324037561563927</c:v>
                </c:pt>
                <c:pt idx="302">
                  <c:v>0.19004576798460793</c:v>
                </c:pt>
                <c:pt idx="303">
                  <c:v>0.20455808057698946</c:v>
                </c:pt>
                <c:pt idx="304">
                  <c:v>0.19116210708489181</c:v>
                </c:pt>
                <c:pt idx="305">
                  <c:v>0.22766692993140433</c:v>
                </c:pt>
                <c:pt idx="306">
                  <c:v>0.20130220746630573</c:v>
                </c:pt>
                <c:pt idx="307">
                  <c:v>0.19165020968911628</c:v>
                </c:pt>
                <c:pt idx="308">
                  <c:v>0.25490809766310873</c:v>
                </c:pt>
                <c:pt idx="309">
                  <c:v>0.21717543410198992</c:v>
                </c:pt>
                <c:pt idx="310">
                  <c:v>0.19002568280696883</c:v>
                </c:pt>
                <c:pt idx="311">
                  <c:v>0.22591323346618392</c:v>
                </c:pt>
                <c:pt idx="312">
                  <c:v>0.23081550500823289</c:v>
                </c:pt>
                <c:pt idx="313">
                  <c:v>0.22175449989645218</c:v>
                </c:pt>
                <c:pt idx="314">
                  <c:v>0.190224276631204</c:v>
                </c:pt>
                <c:pt idx="315">
                  <c:v>0.19818469961674171</c:v>
                </c:pt>
                <c:pt idx="316">
                  <c:v>0.18927509610946175</c:v>
                </c:pt>
                <c:pt idx="317">
                  <c:v>0.26608182393802254</c:v>
                </c:pt>
                <c:pt idx="318">
                  <c:v>0.26057125150155952</c:v>
                </c:pt>
                <c:pt idx="319">
                  <c:v>0.19983078142812974</c:v>
                </c:pt>
                <c:pt idx="320">
                  <c:v>0.19410191606133423</c:v>
                </c:pt>
                <c:pt idx="321">
                  <c:v>0.30118689819958344</c:v>
                </c:pt>
                <c:pt idx="322">
                  <c:v>0.19048796053076233</c:v>
                </c:pt>
                <c:pt idx="323">
                  <c:v>0.24401895638343035</c:v>
                </c:pt>
                <c:pt idx="324">
                  <c:v>0.22700250377304582</c:v>
                </c:pt>
                <c:pt idx="325">
                  <c:v>0.21610059267803203</c:v>
                </c:pt>
                <c:pt idx="326">
                  <c:v>0.25658558425590156</c:v>
                </c:pt>
                <c:pt idx="327">
                  <c:v>0.19169806504189135</c:v>
                </c:pt>
                <c:pt idx="328">
                  <c:v>0.20403396805133026</c:v>
                </c:pt>
                <c:pt idx="329">
                  <c:v>0.19738163977917128</c:v>
                </c:pt>
                <c:pt idx="330">
                  <c:v>0.19198313366022909</c:v>
                </c:pt>
                <c:pt idx="331">
                  <c:v>0.20581188233596584</c:v>
                </c:pt>
                <c:pt idx="332">
                  <c:v>0.23549488754670844</c:v>
                </c:pt>
                <c:pt idx="333">
                  <c:v>0.20675388552326615</c:v>
                </c:pt>
                <c:pt idx="334">
                  <c:v>0.19595526803191129</c:v>
                </c:pt>
                <c:pt idx="335">
                  <c:v>0.19757579274271492</c:v>
                </c:pt>
                <c:pt idx="336">
                  <c:v>0.19532421898229069</c:v>
                </c:pt>
                <c:pt idx="337">
                  <c:v>0.19852579797864497</c:v>
                </c:pt>
                <c:pt idx="338">
                  <c:v>0.20404844213985093</c:v>
                </c:pt>
                <c:pt idx="339">
                  <c:v>0.22263679115643009</c:v>
                </c:pt>
                <c:pt idx="340">
                  <c:v>0.25246313560325195</c:v>
                </c:pt>
                <c:pt idx="341">
                  <c:v>0.21389195119552201</c:v>
                </c:pt>
                <c:pt idx="342">
                  <c:v>0.23741168332027979</c:v>
                </c:pt>
                <c:pt idx="343">
                  <c:v>0.20575690134885494</c:v>
                </c:pt>
                <c:pt idx="344">
                  <c:v>0.19553326132455204</c:v>
                </c:pt>
                <c:pt idx="345">
                  <c:v>0.21766864856910145</c:v>
                </c:pt>
                <c:pt idx="346">
                  <c:v>0.19909039510965387</c:v>
                </c:pt>
                <c:pt idx="347">
                  <c:v>0.20045774824666082</c:v>
                </c:pt>
                <c:pt idx="348">
                  <c:v>0.19365213897526959</c:v>
                </c:pt>
                <c:pt idx="349">
                  <c:v>0.20501006417215339</c:v>
                </c:pt>
                <c:pt idx="350">
                  <c:v>0.21557919600788206</c:v>
                </c:pt>
                <c:pt idx="351">
                  <c:v>0.22269384910760501</c:v>
                </c:pt>
                <c:pt idx="352">
                  <c:v>0.20457519603775406</c:v>
                </c:pt>
                <c:pt idx="353">
                  <c:v>0.22027941322167821</c:v>
                </c:pt>
                <c:pt idx="354">
                  <c:v>0.1964477214925332</c:v>
                </c:pt>
                <c:pt idx="355">
                  <c:v>0.25349950054141496</c:v>
                </c:pt>
                <c:pt idx="356">
                  <c:v>0.18892999444846756</c:v>
                </c:pt>
                <c:pt idx="357">
                  <c:v>0.22618614308950474</c:v>
                </c:pt>
                <c:pt idx="358">
                  <c:v>0.19659992303816293</c:v>
                </c:pt>
                <c:pt idx="359">
                  <c:v>0.23999085742820536</c:v>
                </c:pt>
                <c:pt idx="360">
                  <c:v>0.20639774863871785</c:v>
                </c:pt>
                <c:pt idx="361">
                  <c:v>0.18877666460490852</c:v>
                </c:pt>
                <c:pt idx="362">
                  <c:v>0.19775613844651002</c:v>
                </c:pt>
                <c:pt idx="363">
                  <c:v>0.19652030989959596</c:v>
                </c:pt>
                <c:pt idx="364">
                  <c:v>0.20850809219095467</c:v>
                </c:pt>
                <c:pt idx="365">
                  <c:v>0.21509943451414126</c:v>
                </c:pt>
                <c:pt idx="366">
                  <c:v>0.20313734351176682</c:v>
                </c:pt>
                <c:pt idx="367">
                  <c:v>0.20425774902635505</c:v>
                </c:pt>
                <c:pt idx="368">
                  <c:v>0.18915381766542444</c:v>
                </c:pt>
                <c:pt idx="369">
                  <c:v>0.20907036490539443</c:v>
                </c:pt>
                <c:pt idx="370">
                  <c:v>0.20427126745131027</c:v>
                </c:pt>
                <c:pt idx="371">
                  <c:v>0.19084245607237668</c:v>
                </c:pt>
                <c:pt idx="372">
                  <c:v>0.27951277581280032</c:v>
                </c:pt>
                <c:pt idx="373">
                  <c:v>0.20922756250053934</c:v>
                </c:pt>
                <c:pt idx="374">
                  <c:v>0.1977063146948275</c:v>
                </c:pt>
                <c:pt idx="375">
                  <c:v>0.20884276787488512</c:v>
                </c:pt>
                <c:pt idx="376">
                  <c:v>0.19213795710193338</c:v>
                </c:pt>
                <c:pt idx="377">
                  <c:v>0.20051640405628976</c:v>
                </c:pt>
                <c:pt idx="378">
                  <c:v>0.29841078581634334</c:v>
                </c:pt>
                <c:pt idx="379">
                  <c:v>0.1960223195622503</c:v>
                </c:pt>
                <c:pt idx="380">
                  <c:v>0.19663982761608692</c:v>
                </c:pt>
                <c:pt idx="381">
                  <c:v>0.19148549884863825</c:v>
                </c:pt>
                <c:pt idx="382">
                  <c:v>0.19847105863724307</c:v>
                </c:pt>
                <c:pt idx="383">
                  <c:v>0.19470713581647356</c:v>
                </c:pt>
                <c:pt idx="384">
                  <c:v>0.19408763868473197</c:v>
                </c:pt>
                <c:pt idx="385">
                  <c:v>0.24960218422503336</c:v>
                </c:pt>
                <c:pt idx="386">
                  <c:v>0.20494984718585696</c:v>
                </c:pt>
                <c:pt idx="387">
                  <c:v>0.23156223899924638</c:v>
                </c:pt>
                <c:pt idx="388">
                  <c:v>0.20059955896892992</c:v>
                </c:pt>
                <c:pt idx="389">
                  <c:v>0.20315678705404858</c:v>
                </c:pt>
                <c:pt idx="390">
                  <c:v>0.22389560035457579</c:v>
                </c:pt>
                <c:pt idx="391">
                  <c:v>0.23591715812840067</c:v>
                </c:pt>
                <c:pt idx="392">
                  <c:v>0.21627043884194608</c:v>
                </c:pt>
                <c:pt idx="393">
                  <c:v>0.23793501285367341</c:v>
                </c:pt>
                <c:pt idx="394">
                  <c:v>0.21145598416606956</c:v>
                </c:pt>
                <c:pt idx="395">
                  <c:v>0.20336526501532579</c:v>
                </c:pt>
                <c:pt idx="396">
                  <c:v>0.23858511718978181</c:v>
                </c:pt>
                <c:pt idx="397">
                  <c:v>0.21058051437998054</c:v>
                </c:pt>
                <c:pt idx="398">
                  <c:v>0.18896920992427371</c:v>
                </c:pt>
                <c:pt idx="399">
                  <c:v>0.21700732346000268</c:v>
                </c:pt>
                <c:pt idx="400">
                  <c:v>0.24109260411413247</c:v>
                </c:pt>
                <c:pt idx="401">
                  <c:v>0.19408581809052286</c:v>
                </c:pt>
                <c:pt idx="402">
                  <c:v>0.2105312790421118</c:v>
                </c:pt>
                <c:pt idx="403">
                  <c:v>0.22348155408117013</c:v>
                </c:pt>
                <c:pt idx="404">
                  <c:v>0.19370623668397044</c:v>
                </c:pt>
                <c:pt idx="405">
                  <c:v>0.1950103876842329</c:v>
                </c:pt>
                <c:pt idx="406">
                  <c:v>0.21789885769179784</c:v>
                </c:pt>
                <c:pt idx="407">
                  <c:v>0.21307928300039791</c:v>
                </c:pt>
                <c:pt idx="408">
                  <c:v>0.188903722844353</c:v>
                </c:pt>
                <c:pt idx="409">
                  <c:v>0.20783533724987252</c:v>
                </c:pt>
                <c:pt idx="410">
                  <c:v>0.20415008345829039</c:v>
                </c:pt>
                <c:pt idx="411">
                  <c:v>0.20118943983414958</c:v>
                </c:pt>
                <c:pt idx="412">
                  <c:v>0.19006633352784991</c:v>
                </c:pt>
                <c:pt idx="413">
                  <c:v>0.24463239213017618</c:v>
                </c:pt>
                <c:pt idx="414">
                  <c:v>0.20924390787380184</c:v>
                </c:pt>
                <c:pt idx="415">
                  <c:v>0.19601975246651482</c:v>
                </c:pt>
                <c:pt idx="416">
                  <c:v>0.19307872955154143</c:v>
                </c:pt>
                <c:pt idx="417">
                  <c:v>0.22884693723400815</c:v>
                </c:pt>
                <c:pt idx="418">
                  <c:v>0.2138691946589388</c:v>
                </c:pt>
                <c:pt idx="419">
                  <c:v>0.19898256067061895</c:v>
                </c:pt>
                <c:pt idx="420">
                  <c:v>0.19197827426723832</c:v>
                </c:pt>
                <c:pt idx="421">
                  <c:v>0.19113440726137221</c:v>
                </c:pt>
                <c:pt idx="422">
                  <c:v>0.22697340969652396</c:v>
                </c:pt>
                <c:pt idx="423">
                  <c:v>0.19641643973619766</c:v>
                </c:pt>
                <c:pt idx="424">
                  <c:v>0.2376861133362021</c:v>
                </c:pt>
                <c:pt idx="425">
                  <c:v>0.19134411860699985</c:v>
                </c:pt>
                <c:pt idx="426">
                  <c:v>0.22308076583959713</c:v>
                </c:pt>
                <c:pt idx="427">
                  <c:v>0.22299990644719669</c:v>
                </c:pt>
                <c:pt idx="428">
                  <c:v>0.22641594602462242</c:v>
                </c:pt>
                <c:pt idx="429">
                  <c:v>0.19246425407693166</c:v>
                </c:pt>
                <c:pt idx="430">
                  <c:v>0.23576948906517645</c:v>
                </c:pt>
                <c:pt idx="431">
                  <c:v>0.20979989549004777</c:v>
                </c:pt>
                <c:pt idx="432">
                  <c:v>0.1989191498521487</c:v>
                </c:pt>
                <c:pt idx="433">
                  <c:v>0.21046558459406522</c:v>
                </c:pt>
                <c:pt idx="434">
                  <c:v>0.25349358580236919</c:v>
                </c:pt>
                <c:pt idx="435">
                  <c:v>0.26999586466833153</c:v>
                </c:pt>
                <c:pt idx="436">
                  <c:v>0.22535434922953101</c:v>
                </c:pt>
                <c:pt idx="437">
                  <c:v>0.20437469797996782</c:v>
                </c:pt>
                <c:pt idx="438">
                  <c:v>0.25411138927559801</c:v>
                </c:pt>
                <c:pt idx="439">
                  <c:v>0.21145508896956172</c:v>
                </c:pt>
                <c:pt idx="440">
                  <c:v>0.19734828183420572</c:v>
                </c:pt>
                <c:pt idx="441">
                  <c:v>0.21024174848328217</c:v>
                </c:pt>
                <c:pt idx="442">
                  <c:v>0.18985879959587254</c:v>
                </c:pt>
                <c:pt idx="443">
                  <c:v>0.1915871435860011</c:v>
                </c:pt>
                <c:pt idx="444">
                  <c:v>0.24325284807509115</c:v>
                </c:pt>
                <c:pt idx="445">
                  <c:v>0.2009650181825674</c:v>
                </c:pt>
                <c:pt idx="446">
                  <c:v>0.19909654584923053</c:v>
                </c:pt>
                <c:pt idx="447">
                  <c:v>0.24044194051201498</c:v>
                </c:pt>
                <c:pt idx="448">
                  <c:v>0.20043330590199124</c:v>
                </c:pt>
                <c:pt idx="449">
                  <c:v>0.21701378030417939</c:v>
                </c:pt>
                <c:pt idx="450">
                  <c:v>0.18897922638502687</c:v>
                </c:pt>
                <c:pt idx="451">
                  <c:v>0.19477873274837706</c:v>
                </c:pt>
                <c:pt idx="452">
                  <c:v>0.24516951937604581</c:v>
                </c:pt>
                <c:pt idx="453">
                  <c:v>0.1887403211591033</c:v>
                </c:pt>
                <c:pt idx="454">
                  <c:v>0.23205533362144581</c:v>
                </c:pt>
                <c:pt idx="455">
                  <c:v>0.22453505814404059</c:v>
                </c:pt>
                <c:pt idx="456">
                  <c:v>0.19601964741924793</c:v>
                </c:pt>
                <c:pt idx="457">
                  <c:v>0.21348487953754802</c:v>
                </c:pt>
                <c:pt idx="458">
                  <c:v>0.2728705145228954</c:v>
                </c:pt>
                <c:pt idx="459">
                  <c:v>0.19296131972632011</c:v>
                </c:pt>
                <c:pt idx="460">
                  <c:v>0.25102510417004908</c:v>
                </c:pt>
                <c:pt idx="461">
                  <c:v>0.2194692709680604</c:v>
                </c:pt>
                <c:pt idx="462">
                  <c:v>0.26475703160237735</c:v>
                </c:pt>
                <c:pt idx="463">
                  <c:v>0.24929578438432271</c:v>
                </c:pt>
                <c:pt idx="464">
                  <c:v>0.26224868643044574</c:v>
                </c:pt>
                <c:pt idx="465">
                  <c:v>0.20283524692133487</c:v>
                </c:pt>
                <c:pt idx="466">
                  <c:v>0.2083377734470907</c:v>
                </c:pt>
                <c:pt idx="467">
                  <c:v>0.25874115696816813</c:v>
                </c:pt>
                <c:pt idx="468">
                  <c:v>0.19645907520200781</c:v>
                </c:pt>
                <c:pt idx="469">
                  <c:v>0.21723694456977127</c:v>
                </c:pt>
                <c:pt idx="470">
                  <c:v>0.26852724820318424</c:v>
                </c:pt>
                <c:pt idx="471">
                  <c:v>0.25050945602584129</c:v>
                </c:pt>
                <c:pt idx="472">
                  <c:v>0.20208212857078711</c:v>
                </c:pt>
                <c:pt idx="473">
                  <c:v>0.198745883275848</c:v>
                </c:pt>
                <c:pt idx="474">
                  <c:v>0.20011132054411793</c:v>
                </c:pt>
                <c:pt idx="475">
                  <c:v>0.20110436417402003</c:v>
                </c:pt>
                <c:pt idx="476">
                  <c:v>0.24366548197869564</c:v>
                </c:pt>
                <c:pt idx="477">
                  <c:v>0.20193152908835371</c:v>
                </c:pt>
                <c:pt idx="478">
                  <c:v>0.20091946830522409</c:v>
                </c:pt>
                <c:pt idx="479">
                  <c:v>0.18996742722058854</c:v>
                </c:pt>
                <c:pt idx="480">
                  <c:v>0.19464066970770327</c:v>
                </c:pt>
                <c:pt idx="481">
                  <c:v>0.19930035458651221</c:v>
                </c:pt>
                <c:pt idx="482">
                  <c:v>0.23849881184280744</c:v>
                </c:pt>
                <c:pt idx="483">
                  <c:v>0.2044140179760042</c:v>
                </c:pt>
                <c:pt idx="484">
                  <c:v>0.22389930343040837</c:v>
                </c:pt>
                <c:pt idx="485">
                  <c:v>0.21371120407029712</c:v>
                </c:pt>
                <c:pt idx="486">
                  <c:v>0.24282572986694481</c:v>
                </c:pt>
                <c:pt idx="487">
                  <c:v>0.21710541903532912</c:v>
                </c:pt>
                <c:pt idx="488">
                  <c:v>0.1890105627049749</c:v>
                </c:pt>
                <c:pt idx="489">
                  <c:v>0.22230061514183924</c:v>
                </c:pt>
                <c:pt idx="490">
                  <c:v>0.20933962150659616</c:v>
                </c:pt>
                <c:pt idx="491">
                  <c:v>0.20018146642163873</c:v>
                </c:pt>
                <c:pt idx="492">
                  <c:v>0.22327301539315017</c:v>
                </c:pt>
                <c:pt idx="493">
                  <c:v>0.19244316493266228</c:v>
                </c:pt>
                <c:pt idx="494">
                  <c:v>0.23467445684663843</c:v>
                </c:pt>
                <c:pt idx="495">
                  <c:v>0.22413609160356471</c:v>
                </c:pt>
                <c:pt idx="496">
                  <c:v>0.19154054959839034</c:v>
                </c:pt>
                <c:pt idx="497">
                  <c:v>0.21857824414297877</c:v>
                </c:pt>
                <c:pt idx="498">
                  <c:v>0.210565437160493</c:v>
                </c:pt>
                <c:pt idx="499">
                  <c:v>0.27583379734295688</c:v>
                </c:pt>
                <c:pt idx="500">
                  <c:v>0.1942969507459103</c:v>
                </c:pt>
                <c:pt idx="501">
                  <c:v>0.19542693861254429</c:v>
                </c:pt>
                <c:pt idx="502">
                  <c:v>0.20957354282565147</c:v>
                </c:pt>
                <c:pt idx="503">
                  <c:v>0.1912298680102858</c:v>
                </c:pt>
                <c:pt idx="504">
                  <c:v>0.20475137360218823</c:v>
                </c:pt>
                <c:pt idx="505">
                  <c:v>0.25987106854584618</c:v>
                </c:pt>
                <c:pt idx="506">
                  <c:v>0.20190104896901775</c:v>
                </c:pt>
                <c:pt idx="507">
                  <c:v>0.20048093183015153</c:v>
                </c:pt>
                <c:pt idx="508">
                  <c:v>0.19028068608961823</c:v>
                </c:pt>
                <c:pt idx="509">
                  <c:v>0.20536454467522461</c:v>
                </c:pt>
                <c:pt idx="510">
                  <c:v>0.19802449609225642</c:v>
                </c:pt>
                <c:pt idx="511">
                  <c:v>0.2807623304689848</c:v>
                </c:pt>
                <c:pt idx="512">
                  <c:v>0.26269521590420997</c:v>
                </c:pt>
                <c:pt idx="513">
                  <c:v>0.20153881668343684</c:v>
                </c:pt>
                <c:pt idx="514">
                  <c:v>0.28827908796456936</c:v>
                </c:pt>
                <c:pt idx="515">
                  <c:v>0.2780715807961599</c:v>
                </c:pt>
                <c:pt idx="516">
                  <c:v>0.22426626868940991</c:v>
                </c:pt>
                <c:pt idx="517">
                  <c:v>0.24870316270108933</c:v>
                </c:pt>
                <c:pt idx="518">
                  <c:v>0.24659326334908424</c:v>
                </c:pt>
                <c:pt idx="519">
                  <c:v>0.21055880273126004</c:v>
                </c:pt>
                <c:pt idx="520">
                  <c:v>0.19272349296747224</c:v>
                </c:pt>
                <c:pt idx="521">
                  <c:v>0.22556697407764412</c:v>
                </c:pt>
                <c:pt idx="522">
                  <c:v>0.24633581421253145</c:v>
                </c:pt>
                <c:pt idx="523">
                  <c:v>0.19164725227418603</c:v>
                </c:pt>
                <c:pt idx="524">
                  <c:v>0.20166629407924161</c:v>
                </c:pt>
                <c:pt idx="525">
                  <c:v>0.24411240362689557</c:v>
                </c:pt>
                <c:pt idx="526">
                  <c:v>0.19577480478871534</c:v>
                </c:pt>
                <c:pt idx="527">
                  <c:v>0.23216068175713311</c:v>
                </c:pt>
                <c:pt idx="528">
                  <c:v>0.24810576182681823</c:v>
                </c:pt>
                <c:pt idx="529">
                  <c:v>0.22228974561030884</c:v>
                </c:pt>
                <c:pt idx="530">
                  <c:v>0.21184250916337244</c:v>
                </c:pt>
                <c:pt idx="531">
                  <c:v>0.2604017786713313</c:v>
                </c:pt>
                <c:pt idx="532">
                  <c:v>0.22203079265205972</c:v>
                </c:pt>
                <c:pt idx="533">
                  <c:v>0.20268357036081289</c:v>
                </c:pt>
                <c:pt idx="534">
                  <c:v>0.22775678308533209</c:v>
                </c:pt>
                <c:pt idx="535">
                  <c:v>0.24235551238239308</c:v>
                </c:pt>
                <c:pt idx="536">
                  <c:v>0.23796532929985206</c:v>
                </c:pt>
                <c:pt idx="537">
                  <c:v>0.25108051800359116</c:v>
                </c:pt>
                <c:pt idx="538">
                  <c:v>0.19426002551515861</c:v>
                </c:pt>
                <c:pt idx="539">
                  <c:v>0.21382999348400383</c:v>
                </c:pt>
                <c:pt idx="540">
                  <c:v>0.2259975676990989</c:v>
                </c:pt>
                <c:pt idx="541">
                  <c:v>0.21674680999177509</c:v>
                </c:pt>
                <c:pt idx="542">
                  <c:v>0.19286177572022359</c:v>
                </c:pt>
                <c:pt idx="543">
                  <c:v>0.2097110393204176</c:v>
                </c:pt>
                <c:pt idx="544">
                  <c:v>0.26581734574381061</c:v>
                </c:pt>
                <c:pt idx="545">
                  <c:v>0.22674995497189149</c:v>
                </c:pt>
                <c:pt idx="546">
                  <c:v>0.2469135128926043</c:v>
                </c:pt>
                <c:pt idx="547">
                  <c:v>0.28866072720670277</c:v>
                </c:pt>
                <c:pt idx="548">
                  <c:v>0.19068842590871168</c:v>
                </c:pt>
                <c:pt idx="549">
                  <c:v>0.2004563879142981</c:v>
                </c:pt>
                <c:pt idx="550">
                  <c:v>0.19818863950787058</c:v>
                </c:pt>
                <c:pt idx="551">
                  <c:v>0.23439720277959372</c:v>
                </c:pt>
                <c:pt idx="552">
                  <c:v>0.22962596781519012</c:v>
                </c:pt>
                <c:pt idx="553">
                  <c:v>0.22195894922566747</c:v>
                </c:pt>
                <c:pt idx="554">
                  <c:v>0.19348360415218008</c:v>
                </c:pt>
                <c:pt idx="555">
                  <c:v>0.1920432941969705</c:v>
                </c:pt>
                <c:pt idx="556">
                  <c:v>0.19321346330659878</c:v>
                </c:pt>
                <c:pt idx="557">
                  <c:v>0.21380479574288883</c:v>
                </c:pt>
                <c:pt idx="558">
                  <c:v>0.25077854826369367</c:v>
                </c:pt>
                <c:pt idx="559">
                  <c:v>0.20191271479870709</c:v>
                </c:pt>
                <c:pt idx="560">
                  <c:v>0.2205341562478117</c:v>
                </c:pt>
                <c:pt idx="561">
                  <c:v>0.20846381655864835</c:v>
                </c:pt>
                <c:pt idx="562">
                  <c:v>0.22673465738578014</c:v>
                </c:pt>
                <c:pt idx="563">
                  <c:v>0.19981161981960216</c:v>
                </c:pt>
                <c:pt idx="564">
                  <c:v>0.22211927859298816</c:v>
                </c:pt>
                <c:pt idx="565">
                  <c:v>0.19409232343831734</c:v>
                </c:pt>
                <c:pt idx="566">
                  <c:v>0.23296143160693306</c:v>
                </c:pt>
                <c:pt idx="567">
                  <c:v>0.21251438730370123</c:v>
                </c:pt>
                <c:pt idx="568">
                  <c:v>0.1961169092788117</c:v>
                </c:pt>
                <c:pt idx="569">
                  <c:v>0.23363146258111903</c:v>
                </c:pt>
                <c:pt idx="570">
                  <c:v>0.21407828827511285</c:v>
                </c:pt>
                <c:pt idx="571">
                  <c:v>0.19533527495166478</c:v>
                </c:pt>
                <c:pt idx="572">
                  <c:v>0.23958381295869652</c:v>
                </c:pt>
                <c:pt idx="573">
                  <c:v>0.19957139108343497</c:v>
                </c:pt>
                <c:pt idx="574">
                  <c:v>0.21274469247523878</c:v>
                </c:pt>
                <c:pt idx="575">
                  <c:v>0.28738165861970144</c:v>
                </c:pt>
                <c:pt idx="576">
                  <c:v>0.23676803707148056</c:v>
                </c:pt>
                <c:pt idx="577">
                  <c:v>0.19535104884381932</c:v>
                </c:pt>
                <c:pt idx="578">
                  <c:v>0.23622750111442856</c:v>
                </c:pt>
                <c:pt idx="579">
                  <c:v>0.19096612801122823</c:v>
                </c:pt>
                <c:pt idx="580">
                  <c:v>0.20899569698056597</c:v>
                </c:pt>
                <c:pt idx="581">
                  <c:v>0.24150277711337426</c:v>
                </c:pt>
                <c:pt idx="582">
                  <c:v>0.19671976882748263</c:v>
                </c:pt>
                <c:pt idx="583">
                  <c:v>0.24323423783516729</c:v>
                </c:pt>
                <c:pt idx="584">
                  <c:v>0.22123850353579172</c:v>
                </c:pt>
                <c:pt idx="585">
                  <c:v>0.201669037073158</c:v>
                </c:pt>
                <c:pt idx="586">
                  <c:v>0.31447982292411564</c:v>
                </c:pt>
                <c:pt idx="587">
                  <c:v>0.20953499356222394</c:v>
                </c:pt>
                <c:pt idx="588">
                  <c:v>0.19336316690195515</c:v>
                </c:pt>
                <c:pt idx="589">
                  <c:v>0.18970707245504859</c:v>
                </c:pt>
                <c:pt idx="590">
                  <c:v>0.27128059690867268</c:v>
                </c:pt>
                <c:pt idx="591">
                  <c:v>0.27303902288167226</c:v>
                </c:pt>
                <c:pt idx="592">
                  <c:v>0.25206842084139519</c:v>
                </c:pt>
                <c:pt idx="593">
                  <c:v>0.19668864084085694</c:v>
                </c:pt>
                <c:pt idx="594">
                  <c:v>0.23805111423091238</c:v>
                </c:pt>
                <c:pt idx="595">
                  <c:v>0.2076970094787419</c:v>
                </c:pt>
                <c:pt idx="596">
                  <c:v>0.21535778050357673</c:v>
                </c:pt>
                <c:pt idx="597">
                  <c:v>0.19561738690227345</c:v>
                </c:pt>
                <c:pt idx="598">
                  <c:v>0.22192177658039411</c:v>
                </c:pt>
                <c:pt idx="599">
                  <c:v>0.20063849162666633</c:v>
                </c:pt>
                <c:pt idx="600">
                  <c:v>0.2202538806936632</c:v>
                </c:pt>
                <c:pt idx="601">
                  <c:v>0.1971199933571367</c:v>
                </c:pt>
                <c:pt idx="602">
                  <c:v>0.19932785519655663</c:v>
                </c:pt>
                <c:pt idx="603">
                  <c:v>0.19574307502230615</c:v>
                </c:pt>
                <c:pt idx="604">
                  <c:v>0.19161990110899788</c:v>
                </c:pt>
                <c:pt idx="605">
                  <c:v>0.21385635490111737</c:v>
                </c:pt>
                <c:pt idx="606">
                  <c:v>0.19855190426307867</c:v>
                </c:pt>
                <c:pt idx="607">
                  <c:v>0.20032251048957672</c:v>
                </c:pt>
                <c:pt idx="608">
                  <c:v>0.19593049606874513</c:v>
                </c:pt>
                <c:pt idx="609">
                  <c:v>0.19948545258888858</c:v>
                </c:pt>
                <c:pt idx="610">
                  <c:v>0.21108446341588602</c:v>
                </c:pt>
                <c:pt idx="611">
                  <c:v>0.19143488967867994</c:v>
                </c:pt>
                <c:pt idx="612">
                  <c:v>0.28086251345976276</c:v>
                </c:pt>
                <c:pt idx="613">
                  <c:v>0.21722297636164489</c:v>
                </c:pt>
                <c:pt idx="614">
                  <c:v>0.193283209782903</c:v>
                </c:pt>
                <c:pt idx="615">
                  <c:v>0.195973707883566</c:v>
                </c:pt>
                <c:pt idx="616">
                  <c:v>0.24325322969353891</c:v>
                </c:pt>
                <c:pt idx="617">
                  <c:v>0.21334487361518173</c:v>
                </c:pt>
                <c:pt idx="618">
                  <c:v>0.25969699202902152</c:v>
                </c:pt>
                <c:pt idx="619">
                  <c:v>0.20632729168623881</c:v>
                </c:pt>
                <c:pt idx="620">
                  <c:v>0.22003231002985646</c:v>
                </c:pt>
                <c:pt idx="621">
                  <c:v>0.21707198073587539</c:v>
                </c:pt>
                <c:pt idx="622">
                  <c:v>0.22347990002371812</c:v>
                </c:pt>
                <c:pt idx="623">
                  <c:v>0.21998625328206262</c:v>
                </c:pt>
                <c:pt idx="624">
                  <c:v>0.23756321141309267</c:v>
                </c:pt>
                <c:pt idx="625">
                  <c:v>0.19801449638674684</c:v>
                </c:pt>
                <c:pt idx="626">
                  <c:v>0.21209065952070694</c:v>
                </c:pt>
                <c:pt idx="627">
                  <c:v>0.25610559930251148</c:v>
                </c:pt>
                <c:pt idx="628">
                  <c:v>0.27595510526253531</c:v>
                </c:pt>
                <c:pt idx="629">
                  <c:v>0.22926878896225486</c:v>
                </c:pt>
                <c:pt idx="630">
                  <c:v>0.26728540171389342</c:v>
                </c:pt>
                <c:pt idx="631">
                  <c:v>0.23666763914053432</c:v>
                </c:pt>
                <c:pt idx="632">
                  <c:v>0.20625330915772566</c:v>
                </c:pt>
                <c:pt idx="633">
                  <c:v>0.19481700800439178</c:v>
                </c:pt>
                <c:pt idx="634">
                  <c:v>0.20940438179742921</c:v>
                </c:pt>
                <c:pt idx="635">
                  <c:v>0.22288685917601761</c:v>
                </c:pt>
                <c:pt idx="636">
                  <c:v>0.19480426957655339</c:v>
                </c:pt>
                <c:pt idx="637">
                  <c:v>0.19667584562752286</c:v>
                </c:pt>
                <c:pt idx="638">
                  <c:v>0.20309851232718104</c:v>
                </c:pt>
                <c:pt idx="639">
                  <c:v>0.1949927493160126</c:v>
                </c:pt>
                <c:pt idx="640">
                  <c:v>0.22745704529530178</c:v>
                </c:pt>
                <c:pt idx="641">
                  <c:v>0.18991258901983352</c:v>
                </c:pt>
                <c:pt idx="642">
                  <c:v>0.19039821657512515</c:v>
                </c:pt>
                <c:pt idx="643">
                  <c:v>0.19858768557362375</c:v>
                </c:pt>
                <c:pt idx="644">
                  <c:v>0.23027419553176326</c:v>
                </c:pt>
                <c:pt idx="645">
                  <c:v>0.21223519746067832</c:v>
                </c:pt>
                <c:pt idx="646">
                  <c:v>0.21626680601464118</c:v>
                </c:pt>
                <c:pt idx="647">
                  <c:v>0.19067998792524396</c:v>
                </c:pt>
                <c:pt idx="648">
                  <c:v>0.29649832087297517</c:v>
                </c:pt>
                <c:pt idx="649">
                  <c:v>0.20104682062745133</c:v>
                </c:pt>
                <c:pt idx="650">
                  <c:v>0.24818970765574797</c:v>
                </c:pt>
                <c:pt idx="651">
                  <c:v>0.20703472462549927</c:v>
                </c:pt>
                <c:pt idx="652">
                  <c:v>0.1997184472471234</c:v>
                </c:pt>
                <c:pt idx="653">
                  <c:v>0.21981938041867788</c:v>
                </c:pt>
                <c:pt idx="654">
                  <c:v>0.19288633767689689</c:v>
                </c:pt>
                <c:pt idx="655">
                  <c:v>0.23750883456298064</c:v>
                </c:pt>
                <c:pt idx="656">
                  <c:v>0.23648865921154927</c:v>
                </c:pt>
                <c:pt idx="657">
                  <c:v>0.23374055789953552</c:v>
                </c:pt>
                <c:pt idx="658">
                  <c:v>0.23256985316016793</c:v>
                </c:pt>
                <c:pt idx="659">
                  <c:v>0.21998624872001718</c:v>
                </c:pt>
                <c:pt idx="660">
                  <c:v>0.24973013413004944</c:v>
                </c:pt>
                <c:pt idx="661">
                  <c:v>0.21107383511073005</c:v>
                </c:pt>
                <c:pt idx="662">
                  <c:v>0.19949017797224874</c:v>
                </c:pt>
                <c:pt idx="663">
                  <c:v>0.20559732742445841</c:v>
                </c:pt>
                <c:pt idx="664">
                  <c:v>0.20891043374558516</c:v>
                </c:pt>
                <c:pt idx="665">
                  <c:v>0.20383827781340672</c:v>
                </c:pt>
                <c:pt idx="666">
                  <c:v>0.19295178721084252</c:v>
                </c:pt>
                <c:pt idx="667">
                  <c:v>0.21370824214654641</c:v>
                </c:pt>
                <c:pt idx="668">
                  <c:v>0.22889697467202239</c:v>
                </c:pt>
                <c:pt idx="669">
                  <c:v>0.27223212594590773</c:v>
                </c:pt>
                <c:pt idx="670">
                  <c:v>0.22933453165458048</c:v>
                </c:pt>
                <c:pt idx="671">
                  <c:v>0.24539203215031058</c:v>
                </c:pt>
                <c:pt idx="672">
                  <c:v>0.19660536499208101</c:v>
                </c:pt>
                <c:pt idx="673">
                  <c:v>0.20952611944553962</c:v>
                </c:pt>
                <c:pt idx="674">
                  <c:v>0.21020540444290739</c:v>
                </c:pt>
                <c:pt idx="675">
                  <c:v>0.18997226317107901</c:v>
                </c:pt>
                <c:pt idx="676">
                  <c:v>0.21608487906532334</c:v>
                </c:pt>
                <c:pt idx="677">
                  <c:v>0.21293046146652572</c:v>
                </c:pt>
                <c:pt idx="678">
                  <c:v>0.21516094178389064</c:v>
                </c:pt>
                <c:pt idx="679">
                  <c:v>0.19151203083972598</c:v>
                </c:pt>
                <c:pt idx="680">
                  <c:v>0.19933712316617375</c:v>
                </c:pt>
                <c:pt idx="681">
                  <c:v>0.20571358675595267</c:v>
                </c:pt>
                <c:pt idx="682">
                  <c:v>0.20912099903187048</c:v>
                </c:pt>
                <c:pt idx="683">
                  <c:v>0.20162442364792554</c:v>
                </c:pt>
                <c:pt idx="684">
                  <c:v>0.19444529170990285</c:v>
                </c:pt>
                <c:pt idx="685">
                  <c:v>0.24319413644311161</c:v>
                </c:pt>
                <c:pt idx="686">
                  <c:v>0.18910801049361975</c:v>
                </c:pt>
                <c:pt idx="687">
                  <c:v>0.2076330476720612</c:v>
                </c:pt>
                <c:pt idx="688">
                  <c:v>0.18969261396983106</c:v>
                </c:pt>
                <c:pt idx="689">
                  <c:v>0.23200279337893653</c:v>
                </c:pt>
                <c:pt idx="690">
                  <c:v>0.25852636819948538</c:v>
                </c:pt>
                <c:pt idx="691">
                  <c:v>0.20621857238588581</c:v>
                </c:pt>
                <c:pt idx="692">
                  <c:v>0.19187541116424758</c:v>
                </c:pt>
                <c:pt idx="693">
                  <c:v>0.18874915991989016</c:v>
                </c:pt>
                <c:pt idx="694">
                  <c:v>0.22250711816079477</c:v>
                </c:pt>
                <c:pt idx="695">
                  <c:v>0.20050318035389794</c:v>
                </c:pt>
                <c:pt idx="696">
                  <c:v>0.19156960539155299</c:v>
                </c:pt>
                <c:pt idx="697">
                  <c:v>0.1910964183070579</c:v>
                </c:pt>
                <c:pt idx="698">
                  <c:v>0.25933300296498607</c:v>
                </c:pt>
                <c:pt idx="699">
                  <c:v>0.24220004516807167</c:v>
                </c:pt>
                <c:pt idx="700">
                  <c:v>0.1917917757208997</c:v>
                </c:pt>
                <c:pt idx="701">
                  <c:v>0.19717784919505449</c:v>
                </c:pt>
                <c:pt idx="702">
                  <c:v>0.19882579875057893</c:v>
                </c:pt>
                <c:pt idx="703">
                  <c:v>0.21527237073173688</c:v>
                </c:pt>
                <c:pt idx="704">
                  <c:v>0.2147644526275064</c:v>
                </c:pt>
                <c:pt idx="705">
                  <c:v>0.22787443133983717</c:v>
                </c:pt>
                <c:pt idx="706">
                  <c:v>0.20377501959071756</c:v>
                </c:pt>
                <c:pt idx="707">
                  <c:v>0.22203345393892246</c:v>
                </c:pt>
                <c:pt idx="708">
                  <c:v>0.19805156726422257</c:v>
                </c:pt>
                <c:pt idx="709">
                  <c:v>0.20598390231092772</c:v>
                </c:pt>
                <c:pt idx="710">
                  <c:v>0.21664265682195988</c:v>
                </c:pt>
                <c:pt idx="711">
                  <c:v>0.22252021242478612</c:v>
                </c:pt>
                <c:pt idx="712">
                  <c:v>0.21725008807632795</c:v>
                </c:pt>
                <c:pt idx="713">
                  <c:v>0.1967720053970603</c:v>
                </c:pt>
                <c:pt idx="714">
                  <c:v>0.1890048717568211</c:v>
                </c:pt>
                <c:pt idx="715">
                  <c:v>0.24248069062825084</c:v>
                </c:pt>
                <c:pt idx="716">
                  <c:v>0.24568417173063606</c:v>
                </c:pt>
                <c:pt idx="717">
                  <c:v>0.19063403351652961</c:v>
                </c:pt>
                <c:pt idx="718">
                  <c:v>0.20364942642541434</c:v>
                </c:pt>
                <c:pt idx="719">
                  <c:v>0.19628976472240015</c:v>
                </c:pt>
                <c:pt idx="720">
                  <c:v>0.19269605865019787</c:v>
                </c:pt>
                <c:pt idx="721">
                  <c:v>0.19830253614297613</c:v>
                </c:pt>
                <c:pt idx="722">
                  <c:v>0.18926682506242884</c:v>
                </c:pt>
                <c:pt idx="723">
                  <c:v>0.2085060235716405</c:v>
                </c:pt>
                <c:pt idx="724">
                  <c:v>0.23274891396328495</c:v>
                </c:pt>
                <c:pt idx="725">
                  <c:v>0.23440699461159184</c:v>
                </c:pt>
                <c:pt idx="726">
                  <c:v>0.24451202716613504</c:v>
                </c:pt>
                <c:pt idx="727">
                  <c:v>0.19251751380294904</c:v>
                </c:pt>
                <c:pt idx="728">
                  <c:v>0.22569296984121553</c:v>
                </c:pt>
                <c:pt idx="729">
                  <c:v>0.23456577055128372</c:v>
                </c:pt>
                <c:pt idx="730">
                  <c:v>0.20459621436986014</c:v>
                </c:pt>
                <c:pt idx="731">
                  <c:v>0.2263992187440195</c:v>
                </c:pt>
                <c:pt idx="732">
                  <c:v>0.21642854239073978</c:v>
                </c:pt>
                <c:pt idx="733">
                  <c:v>0.34151477118272427</c:v>
                </c:pt>
                <c:pt idx="734">
                  <c:v>0.23001538750307521</c:v>
                </c:pt>
                <c:pt idx="735">
                  <c:v>0.21937859003078977</c:v>
                </c:pt>
                <c:pt idx="736">
                  <c:v>0.19311424838616514</c:v>
                </c:pt>
                <c:pt idx="737">
                  <c:v>0.19738595383187177</c:v>
                </c:pt>
                <c:pt idx="738">
                  <c:v>0.20524437495597952</c:v>
                </c:pt>
                <c:pt idx="739">
                  <c:v>0.20936899204251486</c:v>
                </c:pt>
                <c:pt idx="740">
                  <c:v>0.2050043475888203</c:v>
                </c:pt>
                <c:pt idx="741">
                  <c:v>0.20557295536829687</c:v>
                </c:pt>
                <c:pt idx="742">
                  <c:v>0.20412221253995597</c:v>
                </c:pt>
                <c:pt idx="743">
                  <c:v>0.23060427869662214</c:v>
                </c:pt>
                <c:pt idx="744">
                  <c:v>0.23256052533996813</c:v>
                </c:pt>
                <c:pt idx="745">
                  <c:v>0.20249687007325956</c:v>
                </c:pt>
                <c:pt idx="746">
                  <c:v>0.18919049621124812</c:v>
                </c:pt>
                <c:pt idx="747">
                  <c:v>0.229722031771249</c:v>
                </c:pt>
                <c:pt idx="748">
                  <c:v>0.19163211384807002</c:v>
                </c:pt>
                <c:pt idx="749">
                  <c:v>0.22281270526290442</c:v>
                </c:pt>
                <c:pt idx="750">
                  <c:v>0.19499933280458639</c:v>
                </c:pt>
                <c:pt idx="751">
                  <c:v>0.1927502279237677</c:v>
                </c:pt>
                <c:pt idx="752">
                  <c:v>0.19470570125051617</c:v>
                </c:pt>
                <c:pt idx="753">
                  <c:v>0.20621257271744137</c:v>
                </c:pt>
                <c:pt idx="754">
                  <c:v>0.2290044939839179</c:v>
                </c:pt>
                <c:pt idx="755">
                  <c:v>0.25906786396196424</c:v>
                </c:pt>
                <c:pt idx="756">
                  <c:v>0.20161193879056391</c:v>
                </c:pt>
                <c:pt idx="757">
                  <c:v>0.20191001771334646</c:v>
                </c:pt>
                <c:pt idx="758">
                  <c:v>0.18976535479436935</c:v>
                </c:pt>
                <c:pt idx="759">
                  <c:v>0.19562281337571769</c:v>
                </c:pt>
                <c:pt idx="760">
                  <c:v>0.1996105062921624</c:v>
                </c:pt>
                <c:pt idx="761">
                  <c:v>0.24779298818249826</c:v>
                </c:pt>
                <c:pt idx="762">
                  <c:v>0.19552137986370971</c:v>
                </c:pt>
                <c:pt idx="763">
                  <c:v>0.21478863095503969</c:v>
                </c:pt>
                <c:pt idx="764">
                  <c:v>0.21803029066154916</c:v>
                </c:pt>
                <c:pt idx="765">
                  <c:v>0.21858578335659662</c:v>
                </c:pt>
                <c:pt idx="766">
                  <c:v>0.21271196127853434</c:v>
                </c:pt>
                <c:pt idx="767">
                  <c:v>0.19019017951555009</c:v>
                </c:pt>
                <c:pt idx="768">
                  <c:v>0.19905038767548308</c:v>
                </c:pt>
                <c:pt idx="769">
                  <c:v>0.20785349081284085</c:v>
                </c:pt>
                <c:pt idx="770">
                  <c:v>0.19357412162093157</c:v>
                </c:pt>
                <c:pt idx="771">
                  <c:v>0.22807252632264924</c:v>
                </c:pt>
                <c:pt idx="772">
                  <c:v>0.21738986136937971</c:v>
                </c:pt>
                <c:pt idx="773">
                  <c:v>0.19368022268599044</c:v>
                </c:pt>
                <c:pt idx="774">
                  <c:v>0.22955308761691015</c:v>
                </c:pt>
                <c:pt idx="775">
                  <c:v>0.23299806963961395</c:v>
                </c:pt>
                <c:pt idx="776">
                  <c:v>0.20061640475115222</c:v>
                </c:pt>
                <c:pt idx="777">
                  <c:v>0.19384872155777569</c:v>
                </c:pt>
                <c:pt idx="778">
                  <c:v>0.19849700634885317</c:v>
                </c:pt>
                <c:pt idx="779">
                  <c:v>0.20365087430891707</c:v>
                </c:pt>
                <c:pt idx="780">
                  <c:v>0.19720004093249088</c:v>
                </c:pt>
                <c:pt idx="781">
                  <c:v>0.21466119520394267</c:v>
                </c:pt>
                <c:pt idx="782">
                  <c:v>0.19968517811478195</c:v>
                </c:pt>
                <c:pt idx="783">
                  <c:v>0.20337391812896416</c:v>
                </c:pt>
                <c:pt idx="784">
                  <c:v>0.22669435298858265</c:v>
                </c:pt>
                <c:pt idx="785">
                  <c:v>0.19517121717796365</c:v>
                </c:pt>
                <c:pt idx="786">
                  <c:v>0.18871390763585943</c:v>
                </c:pt>
                <c:pt idx="787">
                  <c:v>0.21519523197957183</c:v>
                </c:pt>
                <c:pt idx="788">
                  <c:v>0.19602567393915404</c:v>
                </c:pt>
                <c:pt idx="789">
                  <c:v>0.19460246342212881</c:v>
                </c:pt>
                <c:pt idx="790">
                  <c:v>0.19660118614182057</c:v>
                </c:pt>
                <c:pt idx="791">
                  <c:v>0.25119655656788759</c:v>
                </c:pt>
                <c:pt idx="792">
                  <c:v>0.22103875714168109</c:v>
                </c:pt>
                <c:pt idx="793">
                  <c:v>0.21044884205812778</c:v>
                </c:pt>
                <c:pt idx="794">
                  <c:v>0.22430798667530838</c:v>
                </c:pt>
                <c:pt idx="795">
                  <c:v>0.23293952185858574</c:v>
                </c:pt>
                <c:pt idx="796">
                  <c:v>0.21616413972555995</c:v>
                </c:pt>
                <c:pt idx="797">
                  <c:v>0.20435021613265908</c:v>
                </c:pt>
                <c:pt idx="798">
                  <c:v>0.19473824129534789</c:v>
                </c:pt>
                <c:pt idx="799">
                  <c:v>0.22915909405891019</c:v>
                </c:pt>
                <c:pt idx="800">
                  <c:v>0.21051669926135524</c:v>
                </c:pt>
                <c:pt idx="801">
                  <c:v>0.22599624346402944</c:v>
                </c:pt>
                <c:pt idx="802">
                  <c:v>0.24565323659491947</c:v>
                </c:pt>
                <c:pt idx="803">
                  <c:v>0.22493622791691492</c:v>
                </c:pt>
                <c:pt idx="804">
                  <c:v>0.18911499362295364</c:v>
                </c:pt>
                <c:pt idx="805">
                  <c:v>0.19637549382726108</c:v>
                </c:pt>
                <c:pt idx="806">
                  <c:v>0.19351707951931674</c:v>
                </c:pt>
                <c:pt idx="807">
                  <c:v>0.20283470700823691</c:v>
                </c:pt>
                <c:pt idx="808">
                  <c:v>0.2153306835966429</c:v>
                </c:pt>
                <c:pt idx="809">
                  <c:v>0.19976174824635534</c:v>
                </c:pt>
                <c:pt idx="810">
                  <c:v>0.23338374032295486</c:v>
                </c:pt>
                <c:pt idx="811">
                  <c:v>0.28365614272573131</c:v>
                </c:pt>
                <c:pt idx="812">
                  <c:v>0.19656104607853081</c:v>
                </c:pt>
                <c:pt idx="813">
                  <c:v>0.21130592196817213</c:v>
                </c:pt>
                <c:pt idx="814">
                  <c:v>0.23096913529695787</c:v>
                </c:pt>
                <c:pt idx="815">
                  <c:v>0.19360297767159368</c:v>
                </c:pt>
                <c:pt idx="816">
                  <c:v>0.19835403774666618</c:v>
                </c:pt>
                <c:pt idx="817">
                  <c:v>0.19959474959220089</c:v>
                </c:pt>
                <c:pt idx="818">
                  <c:v>0.21925504178057581</c:v>
                </c:pt>
                <c:pt idx="819">
                  <c:v>0.2037899955267562</c:v>
                </c:pt>
                <c:pt idx="820">
                  <c:v>0.26009562586158047</c:v>
                </c:pt>
                <c:pt idx="821">
                  <c:v>0.25635128666912665</c:v>
                </c:pt>
                <c:pt idx="822">
                  <c:v>0.19910100867356578</c:v>
                </c:pt>
                <c:pt idx="823">
                  <c:v>0.19588481533868041</c:v>
                </c:pt>
                <c:pt idx="824">
                  <c:v>0.22530835790631212</c:v>
                </c:pt>
                <c:pt idx="825">
                  <c:v>0.19564385519371322</c:v>
                </c:pt>
                <c:pt idx="826">
                  <c:v>0.2298364933745517</c:v>
                </c:pt>
                <c:pt idx="827">
                  <c:v>0.20281755911396121</c:v>
                </c:pt>
                <c:pt idx="828">
                  <c:v>0.21074574287639602</c:v>
                </c:pt>
                <c:pt idx="829">
                  <c:v>0.20932770940485146</c:v>
                </c:pt>
                <c:pt idx="830">
                  <c:v>0.19394111006408443</c:v>
                </c:pt>
                <c:pt idx="831">
                  <c:v>0.2603812720714917</c:v>
                </c:pt>
                <c:pt idx="832">
                  <c:v>0.24823129705198629</c:v>
                </c:pt>
                <c:pt idx="833">
                  <c:v>0.20929087608921729</c:v>
                </c:pt>
                <c:pt idx="834">
                  <c:v>0.19413928479625239</c:v>
                </c:pt>
                <c:pt idx="835">
                  <c:v>0.33453296106020014</c:v>
                </c:pt>
                <c:pt idx="836">
                  <c:v>0.24142521470582437</c:v>
                </c:pt>
                <c:pt idx="837">
                  <c:v>0.20857863974552349</c:v>
                </c:pt>
                <c:pt idx="838">
                  <c:v>0.22265715005455053</c:v>
                </c:pt>
                <c:pt idx="839">
                  <c:v>0.19253522843980492</c:v>
                </c:pt>
                <c:pt idx="840">
                  <c:v>0.24297745358754685</c:v>
                </c:pt>
                <c:pt idx="841">
                  <c:v>0.24842025900829917</c:v>
                </c:pt>
                <c:pt idx="842">
                  <c:v>0.26472281645657508</c:v>
                </c:pt>
                <c:pt idx="843">
                  <c:v>0.20723681142246111</c:v>
                </c:pt>
                <c:pt idx="844">
                  <c:v>0.22172536841643567</c:v>
                </c:pt>
                <c:pt idx="845">
                  <c:v>0.25490372612291512</c:v>
                </c:pt>
                <c:pt idx="846">
                  <c:v>0.19032093492818486</c:v>
                </c:pt>
                <c:pt idx="847">
                  <c:v>0.23172983022326551</c:v>
                </c:pt>
                <c:pt idx="848">
                  <c:v>0.29831599211080878</c:v>
                </c:pt>
                <c:pt idx="849">
                  <c:v>0.21414566565581361</c:v>
                </c:pt>
                <c:pt idx="850">
                  <c:v>0.21831737626220865</c:v>
                </c:pt>
                <c:pt idx="851">
                  <c:v>0.21586479224594862</c:v>
                </c:pt>
                <c:pt idx="852">
                  <c:v>0.20061205314479055</c:v>
                </c:pt>
                <c:pt idx="853">
                  <c:v>0.22628051058039539</c:v>
                </c:pt>
                <c:pt idx="854">
                  <c:v>0.20812885061438527</c:v>
                </c:pt>
                <c:pt idx="855">
                  <c:v>0.208388969881489</c:v>
                </c:pt>
                <c:pt idx="856">
                  <c:v>0.19004383817974912</c:v>
                </c:pt>
                <c:pt idx="857">
                  <c:v>0.25318050578883494</c:v>
                </c:pt>
                <c:pt idx="858">
                  <c:v>0.19449462385399674</c:v>
                </c:pt>
                <c:pt idx="859">
                  <c:v>0.19382629645565017</c:v>
                </c:pt>
                <c:pt idx="860">
                  <c:v>0.23968766878141926</c:v>
                </c:pt>
                <c:pt idx="861">
                  <c:v>0.19004935562645073</c:v>
                </c:pt>
                <c:pt idx="862">
                  <c:v>0.24089276031168411</c:v>
                </c:pt>
                <c:pt idx="863">
                  <c:v>0.21583570606952693</c:v>
                </c:pt>
                <c:pt idx="864">
                  <c:v>0.20057447018100222</c:v>
                </c:pt>
                <c:pt idx="865">
                  <c:v>0.21780885307158968</c:v>
                </c:pt>
                <c:pt idx="866">
                  <c:v>0.23409579557551533</c:v>
                </c:pt>
                <c:pt idx="867">
                  <c:v>0.20194726353856149</c:v>
                </c:pt>
                <c:pt idx="868">
                  <c:v>0.21938036494551588</c:v>
                </c:pt>
                <c:pt idx="869">
                  <c:v>0.19816979914736083</c:v>
                </c:pt>
                <c:pt idx="870">
                  <c:v>0.24190936536927918</c:v>
                </c:pt>
                <c:pt idx="871">
                  <c:v>0.2031654408486423</c:v>
                </c:pt>
                <c:pt idx="872">
                  <c:v>0.25381657711351691</c:v>
                </c:pt>
                <c:pt idx="873">
                  <c:v>0.22136759987837354</c:v>
                </c:pt>
                <c:pt idx="874">
                  <c:v>0.21223711526863689</c:v>
                </c:pt>
                <c:pt idx="875">
                  <c:v>0.2206055900824439</c:v>
                </c:pt>
                <c:pt idx="876">
                  <c:v>0.19896097498353651</c:v>
                </c:pt>
                <c:pt idx="877">
                  <c:v>0.21658822860427537</c:v>
                </c:pt>
                <c:pt idx="878">
                  <c:v>0.21869961592526188</c:v>
                </c:pt>
                <c:pt idx="879">
                  <c:v>0.18888649478450079</c:v>
                </c:pt>
                <c:pt idx="880">
                  <c:v>0.19385934279175332</c:v>
                </c:pt>
                <c:pt idx="881">
                  <c:v>0.24890511917454422</c:v>
                </c:pt>
                <c:pt idx="882">
                  <c:v>0.27851685987283387</c:v>
                </c:pt>
                <c:pt idx="883">
                  <c:v>0.2196949117189374</c:v>
                </c:pt>
                <c:pt idx="884">
                  <c:v>0.21024707437225906</c:v>
                </c:pt>
                <c:pt idx="885">
                  <c:v>0.27484436283625879</c:v>
                </c:pt>
                <c:pt idx="886">
                  <c:v>0.20726742979045937</c:v>
                </c:pt>
                <c:pt idx="887">
                  <c:v>0.23656752492780278</c:v>
                </c:pt>
                <c:pt idx="888">
                  <c:v>0.19063004718860246</c:v>
                </c:pt>
                <c:pt idx="889">
                  <c:v>0.19622959867505038</c:v>
                </c:pt>
                <c:pt idx="890">
                  <c:v>0.20778641866416039</c:v>
                </c:pt>
                <c:pt idx="891">
                  <c:v>0.1904333916081081</c:v>
                </c:pt>
                <c:pt idx="892">
                  <c:v>0.19317751654553331</c:v>
                </c:pt>
                <c:pt idx="893">
                  <c:v>0.22699536721520283</c:v>
                </c:pt>
                <c:pt idx="894">
                  <c:v>0.19819457548204816</c:v>
                </c:pt>
                <c:pt idx="895">
                  <c:v>0.24039106659740925</c:v>
                </c:pt>
                <c:pt idx="896">
                  <c:v>0.21758834077033296</c:v>
                </c:pt>
                <c:pt idx="897">
                  <c:v>0.24077810116539217</c:v>
                </c:pt>
                <c:pt idx="898">
                  <c:v>0.19000096789303073</c:v>
                </c:pt>
                <c:pt idx="899">
                  <c:v>0.21906057798584283</c:v>
                </c:pt>
                <c:pt idx="900">
                  <c:v>0.18984912480261693</c:v>
                </c:pt>
                <c:pt idx="901">
                  <c:v>0.20677274595283904</c:v>
                </c:pt>
                <c:pt idx="902">
                  <c:v>0.20782348064747871</c:v>
                </c:pt>
                <c:pt idx="903">
                  <c:v>0.20626399457426722</c:v>
                </c:pt>
                <c:pt idx="904">
                  <c:v>0.20659679437406564</c:v>
                </c:pt>
                <c:pt idx="905">
                  <c:v>0.19701920583356919</c:v>
                </c:pt>
                <c:pt idx="906">
                  <c:v>0.22787301839074064</c:v>
                </c:pt>
                <c:pt idx="907">
                  <c:v>0.2050329126062907</c:v>
                </c:pt>
                <c:pt idx="908">
                  <c:v>0.20146661315690587</c:v>
                </c:pt>
                <c:pt idx="909">
                  <c:v>0.22812349645260308</c:v>
                </c:pt>
                <c:pt idx="910">
                  <c:v>0.20642043427095752</c:v>
                </c:pt>
                <c:pt idx="911">
                  <c:v>0.20129714657957665</c:v>
                </c:pt>
                <c:pt idx="912">
                  <c:v>0.22255442265233133</c:v>
                </c:pt>
                <c:pt idx="913">
                  <c:v>0.19224155632467294</c:v>
                </c:pt>
                <c:pt idx="914">
                  <c:v>0.22136272533176954</c:v>
                </c:pt>
                <c:pt idx="915">
                  <c:v>0.20817014431156147</c:v>
                </c:pt>
                <c:pt idx="916">
                  <c:v>0.21570453231446685</c:v>
                </c:pt>
                <c:pt idx="917">
                  <c:v>0.34513562965588418</c:v>
                </c:pt>
                <c:pt idx="918">
                  <c:v>0.19793579799144936</c:v>
                </c:pt>
                <c:pt idx="919">
                  <c:v>0.19380536281577226</c:v>
                </c:pt>
                <c:pt idx="920">
                  <c:v>0.19425214518543035</c:v>
                </c:pt>
                <c:pt idx="921">
                  <c:v>0.22581142865914147</c:v>
                </c:pt>
                <c:pt idx="922">
                  <c:v>0.19196578569230319</c:v>
                </c:pt>
                <c:pt idx="923">
                  <c:v>0.18927515647476986</c:v>
                </c:pt>
                <c:pt idx="924">
                  <c:v>0.20110372965796847</c:v>
                </c:pt>
                <c:pt idx="925">
                  <c:v>0.19965015294432878</c:v>
                </c:pt>
                <c:pt idx="926">
                  <c:v>0.19896041403411105</c:v>
                </c:pt>
                <c:pt idx="927">
                  <c:v>0.22165919105586621</c:v>
                </c:pt>
                <c:pt idx="928">
                  <c:v>0.19197438796373081</c:v>
                </c:pt>
                <c:pt idx="929">
                  <c:v>0.22406127072789292</c:v>
                </c:pt>
                <c:pt idx="930">
                  <c:v>0.21052940399319175</c:v>
                </c:pt>
                <c:pt idx="931">
                  <c:v>0.19970468093400606</c:v>
                </c:pt>
                <c:pt idx="932">
                  <c:v>0.20820588950653229</c:v>
                </c:pt>
                <c:pt idx="933">
                  <c:v>0.21616698528761458</c:v>
                </c:pt>
                <c:pt idx="934">
                  <c:v>0.19072423509892542</c:v>
                </c:pt>
                <c:pt idx="935">
                  <c:v>0.19309072120756293</c:v>
                </c:pt>
                <c:pt idx="936">
                  <c:v>0.189587987637653</c:v>
                </c:pt>
                <c:pt idx="937">
                  <c:v>0.21155407131044493</c:v>
                </c:pt>
                <c:pt idx="938">
                  <c:v>0.21020628707245401</c:v>
                </c:pt>
                <c:pt idx="939">
                  <c:v>0.23505342315495745</c:v>
                </c:pt>
                <c:pt idx="940">
                  <c:v>0.22766970526379315</c:v>
                </c:pt>
                <c:pt idx="941">
                  <c:v>0.20567025316055407</c:v>
                </c:pt>
                <c:pt idx="942">
                  <c:v>0.19548513870168155</c:v>
                </c:pt>
                <c:pt idx="943">
                  <c:v>0.25186323491637436</c:v>
                </c:pt>
                <c:pt idx="944">
                  <c:v>0.19066338106473743</c:v>
                </c:pt>
                <c:pt idx="945">
                  <c:v>0.18868596398709617</c:v>
                </c:pt>
                <c:pt idx="946">
                  <c:v>0.21853584863525213</c:v>
                </c:pt>
                <c:pt idx="947">
                  <c:v>0.20567728132662891</c:v>
                </c:pt>
                <c:pt idx="948">
                  <c:v>0.22448425858694637</c:v>
                </c:pt>
                <c:pt idx="949">
                  <c:v>0.19005953612174367</c:v>
                </c:pt>
                <c:pt idx="950">
                  <c:v>0.18901681994300051</c:v>
                </c:pt>
                <c:pt idx="951">
                  <c:v>0.22504691855950315</c:v>
                </c:pt>
                <c:pt idx="952">
                  <c:v>0.22871023629815052</c:v>
                </c:pt>
                <c:pt idx="953">
                  <c:v>0.2539564248358166</c:v>
                </c:pt>
                <c:pt idx="954">
                  <c:v>0.2291931683236644</c:v>
                </c:pt>
                <c:pt idx="955">
                  <c:v>0.21783613633101739</c:v>
                </c:pt>
                <c:pt idx="956">
                  <c:v>0.19608564208628212</c:v>
                </c:pt>
                <c:pt idx="957">
                  <c:v>0.18992379535019707</c:v>
                </c:pt>
                <c:pt idx="958">
                  <c:v>0.19552232326738347</c:v>
                </c:pt>
                <c:pt idx="959">
                  <c:v>0.23493839724390658</c:v>
                </c:pt>
                <c:pt idx="960">
                  <c:v>0.2158745906246409</c:v>
                </c:pt>
                <c:pt idx="961">
                  <c:v>0.2271686149745093</c:v>
                </c:pt>
                <c:pt idx="962">
                  <c:v>0.21351186668008315</c:v>
                </c:pt>
                <c:pt idx="963">
                  <c:v>0.2011358110593984</c:v>
                </c:pt>
                <c:pt idx="964">
                  <c:v>0.21439295382815551</c:v>
                </c:pt>
                <c:pt idx="965">
                  <c:v>0.19882934145292183</c:v>
                </c:pt>
                <c:pt idx="966">
                  <c:v>0.30753274745082032</c:v>
                </c:pt>
                <c:pt idx="967">
                  <c:v>0.21714388076601815</c:v>
                </c:pt>
                <c:pt idx="968">
                  <c:v>0.19292549614347151</c:v>
                </c:pt>
                <c:pt idx="969">
                  <c:v>0.28757465738358562</c:v>
                </c:pt>
                <c:pt idx="970">
                  <c:v>0.20345787697625645</c:v>
                </c:pt>
                <c:pt idx="971">
                  <c:v>0.21219877135685641</c:v>
                </c:pt>
                <c:pt idx="972">
                  <c:v>0.23882670881097928</c:v>
                </c:pt>
                <c:pt idx="973">
                  <c:v>0.19004212547870353</c:v>
                </c:pt>
                <c:pt idx="974">
                  <c:v>0.23109793502790474</c:v>
                </c:pt>
                <c:pt idx="975">
                  <c:v>0.23214357125306598</c:v>
                </c:pt>
                <c:pt idx="976">
                  <c:v>0.24416924584587063</c:v>
                </c:pt>
                <c:pt idx="977">
                  <c:v>0.25544238140133269</c:v>
                </c:pt>
                <c:pt idx="978">
                  <c:v>0.22639948899336212</c:v>
                </c:pt>
                <c:pt idx="979">
                  <c:v>0.20662519203830865</c:v>
                </c:pt>
                <c:pt idx="980">
                  <c:v>0.19882361237131099</c:v>
                </c:pt>
                <c:pt idx="981">
                  <c:v>0.20503100722841217</c:v>
                </c:pt>
                <c:pt idx="982">
                  <c:v>0.2138042767761914</c:v>
                </c:pt>
                <c:pt idx="983">
                  <c:v>0.2449184275609009</c:v>
                </c:pt>
                <c:pt idx="984">
                  <c:v>0.22175395855275151</c:v>
                </c:pt>
                <c:pt idx="985">
                  <c:v>0.19135378061095634</c:v>
                </c:pt>
                <c:pt idx="986">
                  <c:v>0.22267522072277451</c:v>
                </c:pt>
                <c:pt idx="987">
                  <c:v>0.20492674532107141</c:v>
                </c:pt>
                <c:pt idx="988">
                  <c:v>0.20064863976459593</c:v>
                </c:pt>
                <c:pt idx="989">
                  <c:v>0.22459445360383626</c:v>
                </c:pt>
                <c:pt idx="990">
                  <c:v>0.25418396861821557</c:v>
                </c:pt>
                <c:pt idx="991">
                  <c:v>0.19184273322150452</c:v>
                </c:pt>
                <c:pt idx="992">
                  <c:v>0.20550381688000469</c:v>
                </c:pt>
                <c:pt idx="993">
                  <c:v>0.2006707109640648</c:v>
                </c:pt>
                <c:pt idx="994">
                  <c:v>0.22443609907421394</c:v>
                </c:pt>
                <c:pt idx="995">
                  <c:v>0.22442175716372442</c:v>
                </c:pt>
                <c:pt idx="996">
                  <c:v>0.23548754636404248</c:v>
                </c:pt>
                <c:pt idx="997">
                  <c:v>0.20556710904922837</c:v>
                </c:pt>
                <c:pt idx="998">
                  <c:v>0.19198760538818288</c:v>
                </c:pt>
                <c:pt idx="999">
                  <c:v>0.25716825422312445</c:v>
                </c:pt>
                <c:pt idx="1000">
                  <c:v>0.22721409567837647</c:v>
                </c:pt>
                <c:pt idx="1001">
                  <c:v>0.19679305804031808</c:v>
                </c:pt>
                <c:pt idx="1002">
                  <c:v>0.21904399658991058</c:v>
                </c:pt>
                <c:pt idx="1003">
                  <c:v>0.19317141100241714</c:v>
                </c:pt>
                <c:pt idx="1004">
                  <c:v>0.20623482224922535</c:v>
                </c:pt>
                <c:pt idx="1005">
                  <c:v>0.21286397324425538</c:v>
                </c:pt>
                <c:pt idx="1006">
                  <c:v>0.21662364337958001</c:v>
                </c:pt>
                <c:pt idx="1007">
                  <c:v>0.19024746787760219</c:v>
                </c:pt>
                <c:pt idx="1008">
                  <c:v>0.23032248885386397</c:v>
                </c:pt>
                <c:pt idx="1009">
                  <c:v>0.1978230502319599</c:v>
                </c:pt>
                <c:pt idx="1010">
                  <c:v>0.20475117141426394</c:v>
                </c:pt>
                <c:pt idx="1011">
                  <c:v>0.18881530038354438</c:v>
                </c:pt>
                <c:pt idx="1012">
                  <c:v>0.20519135569930885</c:v>
                </c:pt>
                <c:pt idx="1013">
                  <c:v>0.20471593775413055</c:v>
                </c:pt>
                <c:pt idx="1014">
                  <c:v>0.22751403888168936</c:v>
                </c:pt>
                <c:pt idx="1015">
                  <c:v>0.19448540703723385</c:v>
                </c:pt>
                <c:pt idx="1016">
                  <c:v>0.21005125657715981</c:v>
                </c:pt>
                <c:pt idx="1017">
                  <c:v>0.22345331427488435</c:v>
                </c:pt>
                <c:pt idx="1018">
                  <c:v>0.19440508464169517</c:v>
                </c:pt>
                <c:pt idx="1019">
                  <c:v>0.20796430912045571</c:v>
                </c:pt>
                <c:pt idx="1020">
                  <c:v>0.21509977835390207</c:v>
                </c:pt>
                <c:pt idx="1021">
                  <c:v>0.19473182345609355</c:v>
                </c:pt>
                <c:pt idx="1022">
                  <c:v>0.18998930358635163</c:v>
                </c:pt>
                <c:pt idx="1023">
                  <c:v>0.20276640686230049</c:v>
                </c:pt>
                <c:pt idx="1024">
                  <c:v>0.21130360683244048</c:v>
                </c:pt>
                <c:pt idx="1025">
                  <c:v>0.2031023103176956</c:v>
                </c:pt>
                <c:pt idx="1026">
                  <c:v>0.18926233769958056</c:v>
                </c:pt>
                <c:pt idx="1027">
                  <c:v>0.20650152598977109</c:v>
                </c:pt>
                <c:pt idx="1028">
                  <c:v>0.24214563959279242</c:v>
                </c:pt>
                <c:pt idx="1029">
                  <c:v>0.21144359835450585</c:v>
                </c:pt>
                <c:pt idx="1030">
                  <c:v>0.2247073812455222</c:v>
                </c:pt>
                <c:pt idx="1031">
                  <c:v>0.22445490620864225</c:v>
                </c:pt>
                <c:pt idx="1032">
                  <c:v>0.20739439111023505</c:v>
                </c:pt>
                <c:pt idx="1033">
                  <c:v>0.23401554710325459</c:v>
                </c:pt>
                <c:pt idx="1034">
                  <c:v>0.20974903348279778</c:v>
                </c:pt>
                <c:pt idx="1035">
                  <c:v>0.20756978325426934</c:v>
                </c:pt>
                <c:pt idx="1036">
                  <c:v>0.20362303045203173</c:v>
                </c:pt>
                <c:pt idx="1037">
                  <c:v>0.22711898240103504</c:v>
                </c:pt>
                <c:pt idx="1038">
                  <c:v>0.26875314995006677</c:v>
                </c:pt>
                <c:pt idx="1039">
                  <c:v>0.18982222277336469</c:v>
                </c:pt>
                <c:pt idx="1040">
                  <c:v>0.20629981851558726</c:v>
                </c:pt>
                <c:pt idx="1041">
                  <c:v>0.19800667654051562</c:v>
                </c:pt>
                <c:pt idx="1042">
                  <c:v>0.26405145280664882</c:v>
                </c:pt>
                <c:pt idx="1043">
                  <c:v>0.19198981825183334</c:v>
                </c:pt>
                <c:pt idx="1044">
                  <c:v>0.19665340290587233</c:v>
                </c:pt>
                <c:pt idx="1045">
                  <c:v>0.18870034202005498</c:v>
                </c:pt>
                <c:pt idx="1046">
                  <c:v>0.22416226382345772</c:v>
                </c:pt>
                <c:pt idx="1047">
                  <c:v>0.20700759937084351</c:v>
                </c:pt>
                <c:pt idx="1048">
                  <c:v>0.22505832316288643</c:v>
                </c:pt>
                <c:pt idx="1049">
                  <c:v>0.27039120672017941</c:v>
                </c:pt>
                <c:pt idx="1050">
                  <c:v>0.20442424669885795</c:v>
                </c:pt>
                <c:pt idx="1051">
                  <c:v>0.18897788949737948</c:v>
                </c:pt>
                <c:pt idx="1052">
                  <c:v>0.24628590720127247</c:v>
                </c:pt>
                <c:pt idx="1053">
                  <c:v>0.21440558039044652</c:v>
                </c:pt>
                <c:pt idx="1054">
                  <c:v>0.18961532169770973</c:v>
                </c:pt>
                <c:pt idx="1055">
                  <c:v>0.19375620011308795</c:v>
                </c:pt>
                <c:pt idx="1056">
                  <c:v>0.20331720189098815</c:v>
                </c:pt>
                <c:pt idx="1057">
                  <c:v>0.20184933396319299</c:v>
                </c:pt>
                <c:pt idx="1058">
                  <c:v>0.19688266527567194</c:v>
                </c:pt>
                <c:pt idx="1059">
                  <c:v>0.20462592619024569</c:v>
                </c:pt>
                <c:pt idx="1060">
                  <c:v>0.20685720471530877</c:v>
                </c:pt>
                <c:pt idx="1061">
                  <c:v>0.20892664596761504</c:v>
                </c:pt>
                <c:pt idx="1062">
                  <c:v>0.19848940221070052</c:v>
                </c:pt>
                <c:pt idx="1063">
                  <c:v>0.20206841731868183</c:v>
                </c:pt>
                <c:pt idx="1064">
                  <c:v>0.2130460277317571</c:v>
                </c:pt>
                <c:pt idx="1065">
                  <c:v>0.20316761263649899</c:v>
                </c:pt>
                <c:pt idx="1066">
                  <c:v>0.19472543480068671</c:v>
                </c:pt>
                <c:pt idx="1067">
                  <c:v>0.23185022234102079</c:v>
                </c:pt>
                <c:pt idx="1068">
                  <c:v>0.21072400486269008</c:v>
                </c:pt>
                <c:pt idx="1069">
                  <c:v>0.20233834861905256</c:v>
                </c:pt>
                <c:pt idx="1070">
                  <c:v>0.19104630250461774</c:v>
                </c:pt>
                <c:pt idx="1071">
                  <c:v>0.20596294129446868</c:v>
                </c:pt>
                <c:pt idx="1072">
                  <c:v>0.19974751817766548</c:v>
                </c:pt>
                <c:pt idx="1073">
                  <c:v>0.19275225229716475</c:v>
                </c:pt>
                <c:pt idx="1074">
                  <c:v>0.20172566934132191</c:v>
                </c:pt>
                <c:pt idx="1075">
                  <c:v>0.22008893663601628</c:v>
                </c:pt>
                <c:pt idx="1076">
                  <c:v>0.18938267076966847</c:v>
                </c:pt>
                <c:pt idx="1077">
                  <c:v>0.19656652985660292</c:v>
                </c:pt>
                <c:pt idx="1078">
                  <c:v>0.34990327479025041</c:v>
                </c:pt>
                <c:pt idx="1079">
                  <c:v>0.2425811968915989</c:v>
                </c:pt>
                <c:pt idx="1080">
                  <c:v>0.19447316318738445</c:v>
                </c:pt>
                <c:pt idx="1081">
                  <c:v>0.20493208964468992</c:v>
                </c:pt>
                <c:pt idx="1082">
                  <c:v>0.19606498783623891</c:v>
                </c:pt>
                <c:pt idx="1083">
                  <c:v>0.21801156289831725</c:v>
                </c:pt>
                <c:pt idx="1084">
                  <c:v>0.22476249697996131</c:v>
                </c:pt>
                <c:pt idx="1085">
                  <c:v>0.19072573524422368</c:v>
                </c:pt>
                <c:pt idx="1086">
                  <c:v>0.23081116458824721</c:v>
                </c:pt>
                <c:pt idx="1087">
                  <c:v>0.20855043764022341</c:v>
                </c:pt>
                <c:pt idx="1088">
                  <c:v>0.1994664459120144</c:v>
                </c:pt>
                <c:pt idx="1089">
                  <c:v>0.21709059066503544</c:v>
                </c:pt>
                <c:pt idx="1090">
                  <c:v>0.23585300439414458</c:v>
                </c:pt>
                <c:pt idx="1091">
                  <c:v>0.20033924863034272</c:v>
                </c:pt>
                <c:pt idx="1092">
                  <c:v>0.19978083656555301</c:v>
                </c:pt>
                <c:pt idx="1093">
                  <c:v>0.19360243389627363</c:v>
                </c:pt>
                <c:pt idx="1094">
                  <c:v>0.24631647644283333</c:v>
                </c:pt>
                <c:pt idx="1095">
                  <c:v>0.19335574161709412</c:v>
                </c:pt>
                <c:pt idx="1096">
                  <c:v>0.19133248894128213</c:v>
                </c:pt>
                <c:pt idx="1097">
                  <c:v>0.19009282307621866</c:v>
                </c:pt>
                <c:pt idx="1098">
                  <c:v>0.20746229405873542</c:v>
                </c:pt>
                <c:pt idx="1099">
                  <c:v>0.19175474808229015</c:v>
                </c:pt>
                <c:pt idx="1100">
                  <c:v>0.24559143860338212</c:v>
                </c:pt>
                <c:pt idx="1101">
                  <c:v>0.20141848715592686</c:v>
                </c:pt>
                <c:pt idx="1102">
                  <c:v>0.19118349226802606</c:v>
                </c:pt>
                <c:pt idx="1103">
                  <c:v>0.19940621911335099</c:v>
                </c:pt>
                <c:pt idx="1104">
                  <c:v>0.19334716223175302</c:v>
                </c:pt>
                <c:pt idx="1105">
                  <c:v>0.1887520807196387</c:v>
                </c:pt>
                <c:pt idx="1106">
                  <c:v>0.20845068662102234</c:v>
                </c:pt>
                <c:pt idx="1107">
                  <c:v>0.25720458713995081</c:v>
                </c:pt>
                <c:pt idx="1108">
                  <c:v>0.208146666443078</c:v>
                </c:pt>
                <c:pt idx="1109">
                  <c:v>0.22052706082982901</c:v>
                </c:pt>
                <c:pt idx="1110">
                  <c:v>0.2309060172675442</c:v>
                </c:pt>
                <c:pt idx="1111">
                  <c:v>0.20071119152595754</c:v>
                </c:pt>
                <c:pt idx="1112">
                  <c:v>0.21347490182882106</c:v>
                </c:pt>
                <c:pt idx="1113">
                  <c:v>0.20122293481525982</c:v>
                </c:pt>
                <c:pt idx="1114">
                  <c:v>0.20434905122738464</c:v>
                </c:pt>
                <c:pt idx="1115">
                  <c:v>0.19322050828341919</c:v>
                </c:pt>
                <c:pt idx="1116">
                  <c:v>0.23337853581915727</c:v>
                </c:pt>
                <c:pt idx="1117">
                  <c:v>0.19897663645384084</c:v>
                </c:pt>
                <c:pt idx="1118">
                  <c:v>0.20477145965694027</c:v>
                </c:pt>
                <c:pt idx="1119">
                  <c:v>0.19159960730091102</c:v>
                </c:pt>
                <c:pt idx="1120">
                  <c:v>0.22549023748374203</c:v>
                </c:pt>
                <c:pt idx="1121">
                  <c:v>0.19545074654233965</c:v>
                </c:pt>
                <c:pt idx="1122">
                  <c:v>0.23792968714662538</c:v>
                </c:pt>
                <c:pt idx="1123">
                  <c:v>0.21077144118275212</c:v>
                </c:pt>
                <c:pt idx="1124">
                  <c:v>0.19226096665267628</c:v>
                </c:pt>
                <c:pt idx="1125">
                  <c:v>0.19655716236805015</c:v>
                </c:pt>
                <c:pt idx="1126">
                  <c:v>0.19141465341999431</c:v>
                </c:pt>
                <c:pt idx="1127">
                  <c:v>0.29525351172354647</c:v>
                </c:pt>
                <c:pt idx="1128">
                  <c:v>0.21848352571113908</c:v>
                </c:pt>
                <c:pt idx="1129">
                  <c:v>0.21295421556901672</c:v>
                </c:pt>
                <c:pt idx="1130">
                  <c:v>0.21429444799837954</c:v>
                </c:pt>
                <c:pt idx="1131">
                  <c:v>0.19305989027346512</c:v>
                </c:pt>
                <c:pt idx="1132">
                  <c:v>0.21250897762603596</c:v>
                </c:pt>
                <c:pt idx="1133">
                  <c:v>0.23839763199181038</c:v>
                </c:pt>
                <c:pt idx="1134">
                  <c:v>0.19063749371489722</c:v>
                </c:pt>
                <c:pt idx="1135">
                  <c:v>0.21518028350873641</c:v>
                </c:pt>
                <c:pt idx="1136">
                  <c:v>0.27324960393550812</c:v>
                </c:pt>
                <c:pt idx="1137">
                  <c:v>0.19545836335193237</c:v>
                </c:pt>
                <c:pt idx="1138">
                  <c:v>0.1928246686554165</c:v>
                </c:pt>
                <c:pt idx="1139">
                  <c:v>0.24765695716075065</c:v>
                </c:pt>
                <c:pt idx="1140">
                  <c:v>0.19601447256229496</c:v>
                </c:pt>
                <c:pt idx="1141">
                  <c:v>0.19582127420373485</c:v>
                </c:pt>
                <c:pt idx="1142">
                  <c:v>0.20806242757547472</c:v>
                </c:pt>
                <c:pt idx="1143">
                  <c:v>0.2157001793439686</c:v>
                </c:pt>
                <c:pt idx="1144">
                  <c:v>0.25251080746789395</c:v>
                </c:pt>
                <c:pt idx="1145">
                  <c:v>0.25970689514907497</c:v>
                </c:pt>
                <c:pt idx="1146">
                  <c:v>0.19404358068738087</c:v>
                </c:pt>
                <c:pt idx="1147">
                  <c:v>0.1924629612188003</c:v>
                </c:pt>
                <c:pt idx="1148">
                  <c:v>0.24086264635676333</c:v>
                </c:pt>
                <c:pt idx="1149">
                  <c:v>0.2511114299342766</c:v>
                </c:pt>
                <c:pt idx="1150">
                  <c:v>0.23000651755897283</c:v>
                </c:pt>
                <c:pt idx="1151">
                  <c:v>0.19750803202917294</c:v>
                </c:pt>
                <c:pt idx="1152">
                  <c:v>0.19210889101208037</c:v>
                </c:pt>
                <c:pt idx="1153">
                  <c:v>0.2473033034005532</c:v>
                </c:pt>
                <c:pt idx="1154">
                  <c:v>0.21902845017226438</c:v>
                </c:pt>
                <c:pt idx="1155">
                  <c:v>0.25508438755026031</c:v>
                </c:pt>
                <c:pt idx="1156">
                  <c:v>0.21014429212585006</c:v>
                </c:pt>
                <c:pt idx="1157">
                  <c:v>0.21705008674380566</c:v>
                </c:pt>
                <c:pt idx="1158">
                  <c:v>0.26582301412041431</c:v>
                </c:pt>
                <c:pt idx="1159">
                  <c:v>0.2305326243657134</c:v>
                </c:pt>
                <c:pt idx="1160">
                  <c:v>0.22920301327534739</c:v>
                </c:pt>
                <c:pt idx="1161">
                  <c:v>0.19558122394335273</c:v>
                </c:pt>
                <c:pt idx="1162">
                  <c:v>0.21748944719178526</c:v>
                </c:pt>
                <c:pt idx="1163">
                  <c:v>0.2120435666716875</c:v>
                </c:pt>
                <c:pt idx="1164">
                  <c:v>0.25894306462516115</c:v>
                </c:pt>
                <c:pt idx="1165">
                  <c:v>0.22799135535501097</c:v>
                </c:pt>
                <c:pt idx="1166">
                  <c:v>0.23795047152766821</c:v>
                </c:pt>
                <c:pt idx="1167">
                  <c:v>0.25301384516518399</c:v>
                </c:pt>
                <c:pt idx="1168">
                  <c:v>0.20051667371506501</c:v>
                </c:pt>
                <c:pt idx="1169">
                  <c:v>0.1992270121583751</c:v>
                </c:pt>
                <c:pt idx="1170">
                  <c:v>0.21894510937285311</c:v>
                </c:pt>
                <c:pt idx="1171">
                  <c:v>0.22637217763771034</c:v>
                </c:pt>
                <c:pt idx="1172">
                  <c:v>0.24540771098802763</c:v>
                </c:pt>
                <c:pt idx="1173">
                  <c:v>0.22038050701918763</c:v>
                </c:pt>
                <c:pt idx="1174">
                  <c:v>0.2259378576345685</c:v>
                </c:pt>
                <c:pt idx="1175">
                  <c:v>0.22328643387894231</c:v>
                </c:pt>
                <c:pt idx="1176">
                  <c:v>0.20888756124371252</c:v>
                </c:pt>
                <c:pt idx="1177">
                  <c:v>0.22046198523552443</c:v>
                </c:pt>
                <c:pt idx="1178">
                  <c:v>0.23336588599561875</c:v>
                </c:pt>
                <c:pt idx="1179">
                  <c:v>0.19914071040262551</c:v>
                </c:pt>
                <c:pt idx="1180">
                  <c:v>0.18939772841604416</c:v>
                </c:pt>
                <c:pt idx="1181">
                  <c:v>0.20346233792119373</c:v>
                </c:pt>
                <c:pt idx="1182">
                  <c:v>0.22558851309912453</c:v>
                </c:pt>
                <c:pt idx="1183">
                  <c:v>0.24278448585002718</c:v>
                </c:pt>
                <c:pt idx="1184">
                  <c:v>0.28566037220502932</c:v>
                </c:pt>
                <c:pt idx="1185">
                  <c:v>0.20204497138936206</c:v>
                </c:pt>
                <c:pt idx="1186">
                  <c:v>0.30800361752079114</c:v>
                </c:pt>
                <c:pt idx="1187">
                  <c:v>0.21602435834491571</c:v>
                </c:pt>
                <c:pt idx="1188">
                  <c:v>0.18987942864425036</c:v>
                </c:pt>
                <c:pt idx="1189">
                  <c:v>0.2396386890917287</c:v>
                </c:pt>
                <c:pt idx="1190">
                  <c:v>0.19117654914694218</c:v>
                </c:pt>
                <c:pt idx="1191">
                  <c:v>0.19150866458006977</c:v>
                </c:pt>
                <c:pt idx="1192">
                  <c:v>0.19990771868902663</c:v>
                </c:pt>
                <c:pt idx="1193">
                  <c:v>0.2159455026856793</c:v>
                </c:pt>
                <c:pt idx="1194">
                  <c:v>0.23055263874065923</c:v>
                </c:pt>
                <c:pt idx="1195">
                  <c:v>0.23151244755336814</c:v>
                </c:pt>
                <c:pt idx="1196">
                  <c:v>0.23289458203686139</c:v>
                </c:pt>
                <c:pt idx="1197">
                  <c:v>0.23506875761442611</c:v>
                </c:pt>
                <c:pt idx="1198">
                  <c:v>0.22994787488395688</c:v>
                </c:pt>
                <c:pt idx="1199">
                  <c:v>0.23489043305816426</c:v>
                </c:pt>
                <c:pt idx="1200">
                  <c:v>0.23105581670593428</c:v>
                </c:pt>
                <c:pt idx="1201">
                  <c:v>0.19445098962591917</c:v>
                </c:pt>
                <c:pt idx="1202">
                  <c:v>0.2366667746851209</c:v>
                </c:pt>
                <c:pt idx="1203">
                  <c:v>0.24017897903126958</c:v>
                </c:pt>
                <c:pt idx="1204">
                  <c:v>0.21411353113354925</c:v>
                </c:pt>
                <c:pt idx="1205">
                  <c:v>0.19057838825901283</c:v>
                </c:pt>
                <c:pt idx="1206">
                  <c:v>0.20038892184669585</c:v>
                </c:pt>
                <c:pt idx="1207">
                  <c:v>0.2118864033064386</c:v>
                </c:pt>
                <c:pt idx="1208">
                  <c:v>0.27010836693183593</c:v>
                </c:pt>
                <c:pt idx="1209">
                  <c:v>0.22867735684638901</c:v>
                </c:pt>
                <c:pt idx="1210">
                  <c:v>0.23397080952961832</c:v>
                </c:pt>
                <c:pt idx="1211">
                  <c:v>0.22550618977717315</c:v>
                </c:pt>
                <c:pt idx="1212">
                  <c:v>0.29444333858112898</c:v>
                </c:pt>
                <c:pt idx="1213">
                  <c:v>0.19590927382045492</c:v>
                </c:pt>
                <c:pt idx="1214">
                  <c:v>0.18877904693945738</c:v>
                </c:pt>
                <c:pt idx="1215">
                  <c:v>0.18962043533329892</c:v>
                </c:pt>
                <c:pt idx="1216">
                  <c:v>0.19741588692094145</c:v>
                </c:pt>
                <c:pt idx="1217">
                  <c:v>0.24943654798088191</c:v>
                </c:pt>
                <c:pt idx="1218">
                  <c:v>0.21466338386791323</c:v>
                </c:pt>
                <c:pt idx="1219">
                  <c:v>0.19169316479568035</c:v>
                </c:pt>
                <c:pt idx="1220">
                  <c:v>0.19610026972307645</c:v>
                </c:pt>
                <c:pt idx="1221">
                  <c:v>0.18977377047175822</c:v>
                </c:pt>
                <c:pt idx="1222">
                  <c:v>0.19389616898053461</c:v>
                </c:pt>
                <c:pt idx="1223">
                  <c:v>0.19225899573488323</c:v>
                </c:pt>
                <c:pt idx="1224">
                  <c:v>0.27814639519767942</c:v>
                </c:pt>
                <c:pt idx="1225">
                  <c:v>0.1924509645714263</c:v>
                </c:pt>
                <c:pt idx="1226">
                  <c:v>0.19394574119613467</c:v>
                </c:pt>
                <c:pt idx="1227">
                  <c:v>0.20741238984235935</c:v>
                </c:pt>
                <c:pt idx="1228">
                  <c:v>0.20447935809479931</c:v>
                </c:pt>
                <c:pt idx="1229">
                  <c:v>0.22162397340708243</c:v>
                </c:pt>
                <c:pt idx="1230">
                  <c:v>0.19155136998504621</c:v>
                </c:pt>
                <c:pt idx="1231">
                  <c:v>0.19007307907005153</c:v>
                </c:pt>
                <c:pt idx="1232">
                  <c:v>0.26144371104630293</c:v>
                </c:pt>
                <c:pt idx="1233">
                  <c:v>0.19060966648746913</c:v>
                </c:pt>
                <c:pt idx="1234">
                  <c:v>0.27530495715784509</c:v>
                </c:pt>
                <c:pt idx="1235">
                  <c:v>0.20439299768766858</c:v>
                </c:pt>
                <c:pt idx="1236">
                  <c:v>0.23526480155959437</c:v>
                </c:pt>
                <c:pt idx="1237">
                  <c:v>0.18871046899948715</c:v>
                </c:pt>
                <c:pt idx="1238">
                  <c:v>0.22135069589591574</c:v>
                </c:pt>
                <c:pt idx="1239">
                  <c:v>0.19283993129373178</c:v>
                </c:pt>
                <c:pt idx="1240">
                  <c:v>0.2262094451835038</c:v>
                </c:pt>
                <c:pt idx="1241">
                  <c:v>0.19037805400060254</c:v>
                </c:pt>
                <c:pt idx="1242">
                  <c:v>0.23572872561034444</c:v>
                </c:pt>
                <c:pt idx="1243">
                  <c:v>0.21976715082036047</c:v>
                </c:pt>
                <c:pt idx="1244">
                  <c:v>0.21369960273942967</c:v>
                </c:pt>
                <c:pt idx="1245">
                  <c:v>0.20585416033110013</c:v>
                </c:pt>
                <c:pt idx="1246">
                  <c:v>0.22709515504968544</c:v>
                </c:pt>
                <c:pt idx="1247">
                  <c:v>0.24922033276231959</c:v>
                </c:pt>
                <c:pt idx="1248">
                  <c:v>0.18896569499470381</c:v>
                </c:pt>
                <c:pt idx="1249">
                  <c:v>0.2959519902114735</c:v>
                </c:pt>
                <c:pt idx="1250">
                  <c:v>0.22824631596788056</c:v>
                </c:pt>
                <c:pt idx="1251">
                  <c:v>0.23927802232998543</c:v>
                </c:pt>
                <c:pt idx="1252">
                  <c:v>0.23268876456298898</c:v>
                </c:pt>
                <c:pt idx="1253">
                  <c:v>0.21089626468430422</c:v>
                </c:pt>
                <c:pt idx="1254">
                  <c:v>0.21136179250305007</c:v>
                </c:pt>
                <c:pt idx="1255">
                  <c:v>0.19628534920034815</c:v>
                </c:pt>
                <c:pt idx="1256">
                  <c:v>0.20068962617648195</c:v>
                </c:pt>
                <c:pt idx="1257">
                  <c:v>0.26376725763944125</c:v>
                </c:pt>
                <c:pt idx="1258">
                  <c:v>0.19056654434498674</c:v>
                </c:pt>
                <c:pt idx="1259">
                  <c:v>0.19896039673345187</c:v>
                </c:pt>
                <c:pt idx="1260">
                  <c:v>0.21498798630010998</c:v>
                </c:pt>
                <c:pt idx="1261">
                  <c:v>0.19310945553490377</c:v>
                </c:pt>
                <c:pt idx="1262">
                  <c:v>0.19524118985207373</c:v>
                </c:pt>
                <c:pt idx="1263">
                  <c:v>0.24976497867576558</c:v>
                </c:pt>
                <c:pt idx="1264">
                  <c:v>0.20126579541733813</c:v>
                </c:pt>
                <c:pt idx="1265">
                  <c:v>0.2045622852327125</c:v>
                </c:pt>
                <c:pt idx="1266">
                  <c:v>0.24099437366966042</c:v>
                </c:pt>
                <c:pt idx="1267">
                  <c:v>0.20476619598049353</c:v>
                </c:pt>
                <c:pt idx="1268">
                  <c:v>0.1965745394205084</c:v>
                </c:pt>
                <c:pt idx="1269">
                  <c:v>0.21779967465146713</c:v>
                </c:pt>
                <c:pt idx="1270">
                  <c:v>0.20463544231133529</c:v>
                </c:pt>
                <c:pt idx="1271">
                  <c:v>0.19142821040834909</c:v>
                </c:pt>
                <c:pt idx="1272">
                  <c:v>0.19183047343452883</c:v>
                </c:pt>
                <c:pt idx="1273">
                  <c:v>0.20129385855152013</c:v>
                </c:pt>
                <c:pt idx="1274">
                  <c:v>0.20504275156522303</c:v>
                </c:pt>
                <c:pt idx="1275">
                  <c:v>0.21936663743230927</c:v>
                </c:pt>
                <c:pt idx="1276">
                  <c:v>0.24028077026235611</c:v>
                </c:pt>
                <c:pt idx="1277">
                  <c:v>0.19131540840989492</c:v>
                </c:pt>
                <c:pt idx="1278">
                  <c:v>0.19971186094421509</c:v>
                </c:pt>
                <c:pt idx="1279">
                  <c:v>0.19616407955601833</c:v>
                </c:pt>
                <c:pt idx="1280">
                  <c:v>0.21180717187198039</c:v>
                </c:pt>
                <c:pt idx="1281">
                  <c:v>0.1978220111250624</c:v>
                </c:pt>
                <c:pt idx="1282">
                  <c:v>0.18892074617869747</c:v>
                </c:pt>
                <c:pt idx="1283">
                  <c:v>0.20331604599085204</c:v>
                </c:pt>
                <c:pt idx="1284">
                  <c:v>0.20335863254177572</c:v>
                </c:pt>
                <c:pt idx="1285">
                  <c:v>0.20681741768849699</c:v>
                </c:pt>
                <c:pt idx="1286">
                  <c:v>0.18872364292371804</c:v>
                </c:pt>
                <c:pt idx="1287">
                  <c:v>0.19189759228019995</c:v>
                </c:pt>
                <c:pt idx="1288">
                  <c:v>0.1890420490791086</c:v>
                </c:pt>
                <c:pt idx="1289">
                  <c:v>0.19252077830249301</c:v>
                </c:pt>
                <c:pt idx="1290">
                  <c:v>0.19554961587424913</c:v>
                </c:pt>
                <c:pt idx="1291">
                  <c:v>0.22788884678734012</c:v>
                </c:pt>
                <c:pt idx="1292">
                  <c:v>0.2048862638349897</c:v>
                </c:pt>
                <c:pt idx="1293">
                  <c:v>0.2107206984517683</c:v>
                </c:pt>
                <c:pt idx="1294">
                  <c:v>0.23102246457249473</c:v>
                </c:pt>
                <c:pt idx="1295">
                  <c:v>0.25942293900308711</c:v>
                </c:pt>
                <c:pt idx="1296">
                  <c:v>0.2397322628591993</c:v>
                </c:pt>
                <c:pt idx="1297">
                  <c:v>0.19120462387644488</c:v>
                </c:pt>
                <c:pt idx="1298">
                  <c:v>0.21326329235597416</c:v>
                </c:pt>
                <c:pt idx="1299">
                  <c:v>0.22179515980362019</c:v>
                </c:pt>
                <c:pt idx="1300">
                  <c:v>0.20617743978791647</c:v>
                </c:pt>
                <c:pt idx="1301">
                  <c:v>0.21157897360306469</c:v>
                </c:pt>
                <c:pt idx="1302">
                  <c:v>0.24200330144517063</c:v>
                </c:pt>
                <c:pt idx="1303">
                  <c:v>0.2256278900311206</c:v>
                </c:pt>
                <c:pt idx="1304">
                  <c:v>0.18927083098979886</c:v>
                </c:pt>
                <c:pt idx="1305">
                  <c:v>0.26332002048701186</c:v>
                </c:pt>
                <c:pt idx="1306">
                  <c:v>0.20542911860158583</c:v>
                </c:pt>
                <c:pt idx="1307">
                  <c:v>0.19153356434744465</c:v>
                </c:pt>
                <c:pt idx="1308">
                  <c:v>0.19600161518066822</c:v>
                </c:pt>
                <c:pt idx="1309">
                  <c:v>0.1951792189267367</c:v>
                </c:pt>
                <c:pt idx="1310">
                  <c:v>0.32710182976653751</c:v>
                </c:pt>
                <c:pt idx="1311">
                  <c:v>0.20623517664167798</c:v>
                </c:pt>
                <c:pt idx="1312">
                  <c:v>0.19910002935157251</c:v>
                </c:pt>
                <c:pt idx="1313">
                  <c:v>0.19472093319460534</c:v>
                </c:pt>
                <c:pt idx="1314">
                  <c:v>0.2513444308476287</c:v>
                </c:pt>
                <c:pt idx="1315">
                  <c:v>0.19664438379088853</c:v>
                </c:pt>
                <c:pt idx="1316">
                  <c:v>0.22068633144593386</c:v>
                </c:pt>
                <c:pt idx="1317">
                  <c:v>0.20206854241244782</c:v>
                </c:pt>
                <c:pt idx="1318">
                  <c:v>0.24517821870178311</c:v>
                </c:pt>
                <c:pt idx="1319">
                  <c:v>0.22086233488763116</c:v>
                </c:pt>
                <c:pt idx="1320">
                  <c:v>0.2008108456835595</c:v>
                </c:pt>
                <c:pt idx="1321">
                  <c:v>0.19790483488214608</c:v>
                </c:pt>
                <c:pt idx="1322">
                  <c:v>0.197771461109847</c:v>
                </c:pt>
                <c:pt idx="1323">
                  <c:v>0.22233859713332696</c:v>
                </c:pt>
                <c:pt idx="1324">
                  <c:v>0.2441536163079028</c:v>
                </c:pt>
                <c:pt idx="1325">
                  <c:v>0.20970582389567635</c:v>
                </c:pt>
                <c:pt idx="1326">
                  <c:v>0.19918113651874633</c:v>
                </c:pt>
                <c:pt idx="1327">
                  <c:v>0.19049950596384446</c:v>
                </c:pt>
                <c:pt idx="1328">
                  <c:v>0.19311843472899229</c:v>
                </c:pt>
                <c:pt idx="1329">
                  <c:v>0.21059659675627285</c:v>
                </c:pt>
                <c:pt idx="1330">
                  <c:v>0.28937637145031464</c:v>
                </c:pt>
                <c:pt idx="1331">
                  <c:v>0.20476786279616052</c:v>
                </c:pt>
                <c:pt idx="1332">
                  <c:v>0.23161181800631353</c:v>
                </c:pt>
                <c:pt idx="1333">
                  <c:v>0.21249012451510213</c:v>
                </c:pt>
                <c:pt idx="1334">
                  <c:v>0.19285358075062475</c:v>
                </c:pt>
                <c:pt idx="1335">
                  <c:v>0.20164821261379334</c:v>
                </c:pt>
                <c:pt idx="1336">
                  <c:v>0.25140167228132337</c:v>
                </c:pt>
                <c:pt idx="1337">
                  <c:v>0.29327353274037316</c:v>
                </c:pt>
                <c:pt idx="1338">
                  <c:v>0.20337809920338926</c:v>
                </c:pt>
                <c:pt idx="1339">
                  <c:v>0.19998438192358078</c:v>
                </c:pt>
                <c:pt idx="1340">
                  <c:v>0.19264823305184381</c:v>
                </c:pt>
                <c:pt idx="1341">
                  <c:v>0.19992931392860225</c:v>
                </c:pt>
                <c:pt idx="1342">
                  <c:v>0.19579563907014</c:v>
                </c:pt>
                <c:pt idx="1343">
                  <c:v>0.19168322868162577</c:v>
                </c:pt>
                <c:pt idx="1344">
                  <c:v>0.1909963446409069</c:v>
                </c:pt>
                <c:pt idx="1345">
                  <c:v>0.19670312275196786</c:v>
                </c:pt>
                <c:pt idx="1346">
                  <c:v>0.24294950843789459</c:v>
                </c:pt>
                <c:pt idx="1347">
                  <c:v>0.19135061214859891</c:v>
                </c:pt>
                <c:pt idx="1348">
                  <c:v>0.21341322452861786</c:v>
                </c:pt>
                <c:pt idx="1349">
                  <c:v>0.19430760018620402</c:v>
                </c:pt>
                <c:pt idx="1350">
                  <c:v>0.2281119535707764</c:v>
                </c:pt>
                <c:pt idx="1351">
                  <c:v>0.29842794740657103</c:v>
                </c:pt>
                <c:pt idx="1352">
                  <c:v>0.22156983998750152</c:v>
                </c:pt>
                <c:pt idx="1353">
                  <c:v>0.19421042366140506</c:v>
                </c:pt>
                <c:pt idx="1354">
                  <c:v>0.25643603916342744</c:v>
                </c:pt>
                <c:pt idx="1355">
                  <c:v>0.21557783600488253</c:v>
                </c:pt>
                <c:pt idx="1356">
                  <c:v>0.19547498352276318</c:v>
                </c:pt>
                <c:pt idx="1357">
                  <c:v>0.26151238240132907</c:v>
                </c:pt>
                <c:pt idx="1358">
                  <c:v>0.22872679255021325</c:v>
                </c:pt>
                <c:pt idx="1359">
                  <c:v>0.21977037284220755</c:v>
                </c:pt>
                <c:pt idx="1360">
                  <c:v>0.2153813455636705</c:v>
                </c:pt>
                <c:pt idx="1361">
                  <c:v>0.18914873175380806</c:v>
                </c:pt>
                <c:pt idx="1362">
                  <c:v>0.21132099692278888</c:v>
                </c:pt>
                <c:pt idx="1363">
                  <c:v>0.19931856195391801</c:v>
                </c:pt>
                <c:pt idx="1364">
                  <c:v>0.24575510546345372</c:v>
                </c:pt>
                <c:pt idx="1365">
                  <c:v>0.20419203749526058</c:v>
                </c:pt>
                <c:pt idx="1366">
                  <c:v>0.19527302405549959</c:v>
                </c:pt>
                <c:pt idx="1367">
                  <c:v>0.23046475998586088</c:v>
                </c:pt>
                <c:pt idx="1368">
                  <c:v>0.19277047474244041</c:v>
                </c:pt>
                <c:pt idx="1369">
                  <c:v>0.20655976106045085</c:v>
                </c:pt>
                <c:pt idx="1370">
                  <c:v>0.25469776952491097</c:v>
                </c:pt>
                <c:pt idx="1371">
                  <c:v>0.19265872674093809</c:v>
                </c:pt>
                <c:pt idx="1372">
                  <c:v>0.19012828772051488</c:v>
                </c:pt>
                <c:pt idx="1373">
                  <c:v>0.3363763322037035</c:v>
                </c:pt>
                <c:pt idx="1374">
                  <c:v>0.21744980475714035</c:v>
                </c:pt>
                <c:pt idx="1375">
                  <c:v>0.22662944003053331</c:v>
                </c:pt>
                <c:pt idx="1376">
                  <c:v>0.22367191836357972</c:v>
                </c:pt>
                <c:pt idx="1377">
                  <c:v>0.19381401982292684</c:v>
                </c:pt>
                <c:pt idx="1378">
                  <c:v>0.20650781103960228</c:v>
                </c:pt>
                <c:pt idx="1379">
                  <c:v>0.22977031369406017</c:v>
                </c:pt>
                <c:pt idx="1380">
                  <c:v>0.22101923986119348</c:v>
                </c:pt>
                <c:pt idx="1381">
                  <c:v>0.23165442239356632</c:v>
                </c:pt>
                <c:pt idx="1382">
                  <c:v>0.21085900967035567</c:v>
                </c:pt>
                <c:pt idx="1383">
                  <c:v>0.19735312352817475</c:v>
                </c:pt>
                <c:pt idx="1384">
                  <c:v>0.2286156508896251</c:v>
                </c:pt>
                <c:pt idx="1385">
                  <c:v>0.23442578549872645</c:v>
                </c:pt>
                <c:pt idx="1386">
                  <c:v>0.22344783710437718</c:v>
                </c:pt>
                <c:pt idx="1387">
                  <c:v>0.20709659638928971</c:v>
                </c:pt>
                <c:pt idx="1388">
                  <c:v>0.1897893032137809</c:v>
                </c:pt>
                <c:pt idx="1389">
                  <c:v>0.20350615441225653</c:v>
                </c:pt>
                <c:pt idx="1390">
                  <c:v>0.22102262988100915</c:v>
                </c:pt>
                <c:pt idx="1391">
                  <c:v>0.19443953843300033</c:v>
                </c:pt>
                <c:pt idx="1392">
                  <c:v>0.21842306888949975</c:v>
                </c:pt>
                <c:pt idx="1393">
                  <c:v>0.19892706929821072</c:v>
                </c:pt>
                <c:pt idx="1394">
                  <c:v>0.2284601010079845</c:v>
                </c:pt>
                <c:pt idx="1395">
                  <c:v>0.21150945677596189</c:v>
                </c:pt>
                <c:pt idx="1396">
                  <c:v>0.18941508973038604</c:v>
                </c:pt>
                <c:pt idx="1397">
                  <c:v>0.19907326213240273</c:v>
                </c:pt>
                <c:pt idx="1398">
                  <c:v>0.21595899152750206</c:v>
                </c:pt>
                <c:pt idx="1399">
                  <c:v>0.20028687507515763</c:v>
                </c:pt>
                <c:pt idx="1400">
                  <c:v>0.2749969998896824</c:v>
                </c:pt>
                <c:pt idx="1401">
                  <c:v>0.18943983464992864</c:v>
                </c:pt>
                <c:pt idx="1402">
                  <c:v>0.19861028456918611</c:v>
                </c:pt>
                <c:pt idx="1403">
                  <c:v>0.1978555363929711</c:v>
                </c:pt>
                <c:pt idx="1404">
                  <c:v>0.18900731863050854</c:v>
                </c:pt>
                <c:pt idx="1405">
                  <c:v>0.1898743248479752</c:v>
                </c:pt>
                <c:pt idx="1406">
                  <c:v>0.2941351619661583</c:v>
                </c:pt>
                <c:pt idx="1407">
                  <c:v>0.19491352501107889</c:v>
                </c:pt>
                <c:pt idx="1408">
                  <c:v>0.19111745955492557</c:v>
                </c:pt>
                <c:pt idx="1409">
                  <c:v>0.19069076494575105</c:v>
                </c:pt>
                <c:pt idx="1410">
                  <c:v>0.1902474605695389</c:v>
                </c:pt>
                <c:pt idx="1411">
                  <c:v>0.19205211346680234</c:v>
                </c:pt>
                <c:pt idx="1412">
                  <c:v>0.23269085451710578</c:v>
                </c:pt>
                <c:pt idx="1413">
                  <c:v>0.2728415965861325</c:v>
                </c:pt>
                <c:pt idx="1414">
                  <c:v>0.20065845417697067</c:v>
                </c:pt>
                <c:pt idx="1415">
                  <c:v>0.28642750765847208</c:v>
                </c:pt>
                <c:pt idx="1416">
                  <c:v>0.20992452153839944</c:v>
                </c:pt>
                <c:pt idx="1417">
                  <c:v>0.23736174575047619</c:v>
                </c:pt>
                <c:pt idx="1418">
                  <c:v>0.21938979784247123</c:v>
                </c:pt>
                <c:pt idx="1419">
                  <c:v>0.20069146912282823</c:v>
                </c:pt>
                <c:pt idx="1420">
                  <c:v>0.1899943587163026</c:v>
                </c:pt>
                <c:pt idx="1421">
                  <c:v>0.25658662183871195</c:v>
                </c:pt>
                <c:pt idx="1422">
                  <c:v>0.21347722183438783</c:v>
                </c:pt>
                <c:pt idx="1423">
                  <c:v>0.20628474164316518</c:v>
                </c:pt>
                <c:pt idx="1424">
                  <c:v>0.22581142265171109</c:v>
                </c:pt>
                <c:pt idx="1425">
                  <c:v>0.20578293186174812</c:v>
                </c:pt>
                <c:pt idx="1426">
                  <c:v>0.20360236609603097</c:v>
                </c:pt>
                <c:pt idx="1427">
                  <c:v>0.20777689746277977</c:v>
                </c:pt>
                <c:pt idx="1428">
                  <c:v>0.21197873160001626</c:v>
                </c:pt>
                <c:pt idx="1429">
                  <c:v>0.19224967235774928</c:v>
                </c:pt>
                <c:pt idx="1430">
                  <c:v>0.25229138436336496</c:v>
                </c:pt>
                <c:pt idx="1431">
                  <c:v>0.20693459626308316</c:v>
                </c:pt>
                <c:pt idx="1432">
                  <c:v>0.20101117163852786</c:v>
                </c:pt>
                <c:pt idx="1433">
                  <c:v>0.20852372003556016</c:v>
                </c:pt>
                <c:pt idx="1434">
                  <c:v>0.21775543976647699</c:v>
                </c:pt>
                <c:pt idx="1435">
                  <c:v>0.2915163572149993</c:v>
                </c:pt>
                <c:pt idx="1436">
                  <c:v>0.20725490674808145</c:v>
                </c:pt>
                <c:pt idx="1437">
                  <c:v>0.20228196817247815</c:v>
                </c:pt>
                <c:pt idx="1438">
                  <c:v>0.21105858189176127</c:v>
                </c:pt>
                <c:pt idx="1439">
                  <c:v>0.20955796984324668</c:v>
                </c:pt>
                <c:pt idx="1440">
                  <c:v>0.24110784372929445</c:v>
                </c:pt>
                <c:pt idx="1441">
                  <c:v>0.20468752874613408</c:v>
                </c:pt>
                <c:pt idx="1442">
                  <c:v>0.20742188827833352</c:v>
                </c:pt>
                <c:pt idx="1443">
                  <c:v>0.21063263915603481</c:v>
                </c:pt>
                <c:pt idx="1444">
                  <c:v>0.19050794926476661</c:v>
                </c:pt>
                <c:pt idx="1445">
                  <c:v>0.25321331550874537</c:v>
                </c:pt>
                <c:pt idx="1446">
                  <c:v>0.19194523098049041</c:v>
                </c:pt>
                <c:pt idx="1447">
                  <c:v>0.27334208925482434</c:v>
                </c:pt>
                <c:pt idx="1448">
                  <c:v>0.19523485791135539</c:v>
                </c:pt>
                <c:pt idx="1449">
                  <c:v>0.20270761722570496</c:v>
                </c:pt>
                <c:pt idx="1450">
                  <c:v>0.20342599013322168</c:v>
                </c:pt>
                <c:pt idx="1451">
                  <c:v>0.20970649259196014</c:v>
                </c:pt>
                <c:pt idx="1452">
                  <c:v>0.24679588228462324</c:v>
                </c:pt>
                <c:pt idx="1453">
                  <c:v>0.24545709675601385</c:v>
                </c:pt>
                <c:pt idx="1454">
                  <c:v>0.19034333940670434</c:v>
                </c:pt>
                <c:pt idx="1455">
                  <c:v>0.25513395924452797</c:v>
                </c:pt>
                <c:pt idx="1456">
                  <c:v>0.22964265397704064</c:v>
                </c:pt>
                <c:pt idx="1457">
                  <c:v>0.23120394653340082</c:v>
                </c:pt>
                <c:pt idx="1458">
                  <c:v>0.19239123048861767</c:v>
                </c:pt>
                <c:pt idx="1459">
                  <c:v>0.18976428010830401</c:v>
                </c:pt>
                <c:pt idx="1460">
                  <c:v>0.24463020581733222</c:v>
                </c:pt>
                <c:pt idx="1461">
                  <c:v>0.22686456099406124</c:v>
                </c:pt>
                <c:pt idx="1462">
                  <c:v>0.18897903684993275</c:v>
                </c:pt>
                <c:pt idx="1463">
                  <c:v>0.20226909708933075</c:v>
                </c:pt>
                <c:pt idx="1464">
                  <c:v>0.19881018255927466</c:v>
                </c:pt>
                <c:pt idx="1465">
                  <c:v>0.2104754101493517</c:v>
                </c:pt>
                <c:pt idx="1466">
                  <c:v>0.26022224072591438</c:v>
                </c:pt>
                <c:pt idx="1467">
                  <c:v>0.21198194438181706</c:v>
                </c:pt>
                <c:pt idx="1468">
                  <c:v>0.1958496360083154</c:v>
                </c:pt>
                <c:pt idx="1469">
                  <c:v>0.19448231815479505</c:v>
                </c:pt>
                <c:pt idx="1470">
                  <c:v>0.26420546663047911</c:v>
                </c:pt>
                <c:pt idx="1471">
                  <c:v>0.26794576359760941</c:v>
                </c:pt>
                <c:pt idx="1472">
                  <c:v>0.22461392015843551</c:v>
                </c:pt>
                <c:pt idx="1473">
                  <c:v>0.20864288853452645</c:v>
                </c:pt>
                <c:pt idx="1474">
                  <c:v>0.20232868111991908</c:v>
                </c:pt>
                <c:pt idx="1475">
                  <c:v>0.2028642263029215</c:v>
                </c:pt>
                <c:pt idx="1476">
                  <c:v>0.20338082331570256</c:v>
                </c:pt>
                <c:pt idx="1477">
                  <c:v>0.24529701564516762</c:v>
                </c:pt>
                <c:pt idx="1478">
                  <c:v>0.19010509347584909</c:v>
                </c:pt>
                <c:pt idx="1479">
                  <c:v>0.19645615498528629</c:v>
                </c:pt>
                <c:pt idx="1480">
                  <c:v>0.20591942021287546</c:v>
                </c:pt>
                <c:pt idx="1481">
                  <c:v>0.20111342426570319</c:v>
                </c:pt>
                <c:pt idx="1482">
                  <c:v>0.20653120571146033</c:v>
                </c:pt>
                <c:pt idx="1483">
                  <c:v>0.21150052857464785</c:v>
                </c:pt>
                <c:pt idx="1484">
                  <c:v>0.24321180836194267</c:v>
                </c:pt>
                <c:pt idx="1485">
                  <c:v>0.21926981223235664</c:v>
                </c:pt>
                <c:pt idx="1486">
                  <c:v>0.1928020789363695</c:v>
                </c:pt>
                <c:pt idx="1487">
                  <c:v>0.21110343046279659</c:v>
                </c:pt>
                <c:pt idx="1488">
                  <c:v>0.19615249079531022</c:v>
                </c:pt>
                <c:pt idx="1489">
                  <c:v>0.19645106300935949</c:v>
                </c:pt>
                <c:pt idx="1490">
                  <c:v>0.19076340891795754</c:v>
                </c:pt>
                <c:pt idx="1491">
                  <c:v>0.19499600766446976</c:v>
                </c:pt>
                <c:pt idx="1492">
                  <c:v>0.2079455844067078</c:v>
                </c:pt>
                <c:pt idx="1493">
                  <c:v>0.22883371245443071</c:v>
                </c:pt>
                <c:pt idx="1494">
                  <c:v>0.19900278059514651</c:v>
                </c:pt>
                <c:pt idx="1495">
                  <c:v>0.2525918603927349</c:v>
                </c:pt>
                <c:pt idx="1496">
                  <c:v>0.19128795855007988</c:v>
                </c:pt>
                <c:pt idx="1497">
                  <c:v>0.2064280161389119</c:v>
                </c:pt>
                <c:pt idx="1498">
                  <c:v>0.23673961779989863</c:v>
                </c:pt>
                <c:pt idx="1499">
                  <c:v>0.20442355642086521</c:v>
                </c:pt>
                <c:pt idx="1500">
                  <c:v>0.19389381225512375</c:v>
                </c:pt>
                <c:pt idx="1501">
                  <c:v>0.21416545287328276</c:v>
                </c:pt>
                <c:pt idx="1502">
                  <c:v>0.2178431177622801</c:v>
                </c:pt>
                <c:pt idx="1503">
                  <c:v>0.22117821641360802</c:v>
                </c:pt>
                <c:pt idx="1504">
                  <c:v>0.20587318574405292</c:v>
                </c:pt>
                <c:pt idx="1505">
                  <c:v>0.20050207947964102</c:v>
                </c:pt>
                <c:pt idx="1506">
                  <c:v>0.25713340907943971</c:v>
                </c:pt>
                <c:pt idx="1507">
                  <c:v>0.21375912668861854</c:v>
                </c:pt>
                <c:pt idx="1508">
                  <c:v>0.19941737270322429</c:v>
                </c:pt>
                <c:pt idx="1509">
                  <c:v>0.20067799171819969</c:v>
                </c:pt>
                <c:pt idx="1510">
                  <c:v>0.20110760340460979</c:v>
                </c:pt>
                <c:pt idx="1511">
                  <c:v>0.21301949275158322</c:v>
                </c:pt>
                <c:pt idx="1512">
                  <c:v>0.1888147281933393</c:v>
                </c:pt>
                <c:pt idx="1513">
                  <c:v>0.20847058589726786</c:v>
                </c:pt>
                <c:pt idx="1514">
                  <c:v>0.21512272199080068</c:v>
                </c:pt>
                <c:pt idx="1515">
                  <c:v>0.23955510911753886</c:v>
                </c:pt>
                <c:pt idx="1516">
                  <c:v>0.21836141699379749</c:v>
                </c:pt>
                <c:pt idx="1517">
                  <c:v>0.22776060315964552</c:v>
                </c:pt>
                <c:pt idx="1518">
                  <c:v>0.27227348515157446</c:v>
                </c:pt>
                <c:pt idx="1519">
                  <c:v>0.19513705566031822</c:v>
                </c:pt>
                <c:pt idx="1520">
                  <c:v>0.21389189394822972</c:v>
                </c:pt>
                <c:pt idx="1521">
                  <c:v>0.19015521959424569</c:v>
                </c:pt>
                <c:pt idx="1522">
                  <c:v>0.2508212005678685</c:v>
                </c:pt>
                <c:pt idx="1523">
                  <c:v>0.20714471682905811</c:v>
                </c:pt>
                <c:pt idx="1524">
                  <c:v>0.19383261104944788</c:v>
                </c:pt>
                <c:pt idx="1525">
                  <c:v>0.19258516155790026</c:v>
                </c:pt>
                <c:pt idx="1526">
                  <c:v>0.25127915814860213</c:v>
                </c:pt>
                <c:pt idx="1527">
                  <c:v>0.24303847949836432</c:v>
                </c:pt>
                <c:pt idx="1528">
                  <c:v>0.21834717972116993</c:v>
                </c:pt>
                <c:pt idx="1529">
                  <c:v>0.23387725417858032</c:v>
                </c:pt>
                <c:pt idx="1530">
                  <c:v>0.19123605386351325</c:v>
                </c:pt>
                <c:pt idx="1531">
                  <c:v>0.22121280322649536</c:v>
                </c:pt>
                <c:pt idx="1532">
                  <c:v>0.19351494923300577</c:v>
                </c:pt>
                <c:pt idx="1533">
                  <c:v>0.22378785845753657</c:v>
                </c:pt>
                <c:pt idx="1534">
                  <c:v>0.19458789325494785</c:v>
                </c:pt>
                <c:pt idx="1535">
                  <c:v>0.19432952494693165</c:v>
                </c:pt>
                <c:pt idx="1536">
                  <c:v>0.2202470126972402</c:v>
                </c:pt>
                <c:pt idx="1537">
                  <c:v>0.1888964311528889</c:v>
                </c:pt>
                <c:pt idx="1538">
                  <c:v>0.2104934532621601</c:v>
                </c:pt>
                <c:pt idx="1539">
                  <c:v>0.27978804065495583</c:v>
                </c:pt>
                <c:pt idx="1540">
                  <c:v>0.20178994968130717</c:v>
                </c:pt>
                <c:pt idx="1541">
                  <c:v>0.24602731001124425</c:v>
                </c:pt>
                <c:pt idx="1542">
                  <c:v>0.21067105702767633</c:v>
                </c:pt>
                <c:pt idx="1543">
                  <c:v>0.22109566099998998</c:v>
                </c:pt>
                <c:pt idx="1544">
                  <c:v>0.21193667277987407</c:v>
                </c:pt>
                <c:pt idx="1545">
                  <c:v>0.23411219054794058</c:v>
                </c:pt>
                <c:pt idx="1546">
                  <c:v>0.19154159124507139</c:v>
                </c:pt>
                <c:pt idx="1547">
                  <c:v>0.21131186292189916</c:v>
                </c:pt>
                <c:pt idx="1548">
                  <c:v>0.26868025613655427</c:v>
                </c:pt>
                <c:pt idx="1549">
                  <c:v>0.24443366388503976</c:v>
                </c:pt>
                <c:pt idx="1550">
                  <c:v>0.19912703587896086</c:v>
                </c:pt>
                <c:pt idx="1551">
                  <c:v>0.21407781605871812</c:v>
                </c:pt>
                <c:pt idx="1552">
                  <c:v>0.28335390645518915</c:v>
                </c:pt>
                <c:pt idx="1553">
                  <c:v>0.24947155762434833</c:v>
                </c:pt>
                <c:pt idx="1554">
                  <c:v>0.26622942634254332</c:v>
                </c:pt>
                <c:pt idx="1555">
                  <c:v>0.21116895844474937</c:v>
                </c:pt>
                <c:pt idx="1556">
                  <c:v>0.19618427763844512</c:v>
                </c:pt>
                <c:pt idx="1557">
                  <c:v>0.19617946120943183</c:v>
                </c:pt>
                <c:pt idx="1558">
                  <c:v>0.2547699684945835</c:v>
                </c:pt>
                <c:pt idx="1559">
                  <c:v>0.19603817707282073</c:v>
                </c:pt>
                <c:pt idx="1560">
                  <c:v>0.22216998962756368</c:v>
                </c:pt>
                <c:pt idx="1561">
                  <c:v>0.20531714469301526</c:v>
                </c:pt>
                <c:pt idx="1562">
                  <c:v>0.23919876481617885</c:v>
                </c:pt>
                <c:pt idx="1563">
                  <c:v>0.19448110999312901</c:v>
                </c:pt>
                <c:pt idx="1564">
                  <c:v>0.19104464725895151</c:v>
                </c:pt>
                <c:pt idx="1565">
                  <c:v>0.20087800675593875</c:v>
                </c:pt>
                <c:pt idx="1566">
                  <c:v>0.21380347237131209</c:v>
                </c:pt>
                <c:pt idx="1567">
                  <c:v>0.21413753718357023</c:v>
                </c:pt>
                <c:pt idx="1568">
                  <c:v>0.18884726215286857</c:v>
                </c:pt>
                <c:pt idx="1569">
                  <c:v>0.23659581850344422</c:v>
                </c:pt>
                <c:pt idx="1570">
                  <c:v>0.20133767093500976</c:v>
                </c:pt>
                <c:pt idx="1571">
                  <c:v>0.20639009369182637</c:v>
                </c:pt>
                <c:pt idx="1572">
                  <c:v>0.19937294881651987</c:v>
                </c:pt>
                <c:pt idx="1573">
                  <c:v>0.26628247536010136</c:v>
                </c:pt>
                <c:pt idx="1574">
                  <c:v>0.18982016161353171</c:v>
                </c:pt>
                <c:pt idx="1575">
                  <c:v>0.20705860545680299</c:v>
                </c:pt>
                <c:pt idx="1576">
                  <c:v>0.20906711477746651</c:v>
                </c:pt>
                <c:pt idx="1577">
                  <c:v>0.20169566806592149</c:v>
                </c:pt>
                <c:pt idx="1578">
                  <c:v>0.23408331172452773</c:v>
                </c:pt>
                <c:pt idx="1579">
                  <c:v>0.24827752353688756</c:v>
                </c:pt>
                <c:pt idx="1580">
                  <c:v>0.21505774967332886</c:v>
                </c:pt>
                <c:pt idx="1581">
                  <c:v>0.20718035320705452</c:v>
                </c:pt>
                <c:pt idx="1582">
                  <c:v>0.19954997124382612</c:v>
                </c:pt>
                <c:pt idx="1583">
                  <c:v>0.20408107089084263</c:v>
                </c:pt>
                <c:pt idx="1584">
                  <c:v>0.20170167745579667</c:v>
                </c:pt>
                <c:pt idx="1585">
                  <c:v>0.22810439747703545</c:v>
                </c:pt>
                <c:pt idx="1586">
                  <c:v>0.20192928576185279</c:v>
                </c:pt>
                <c:pt idx="1587">
                  <c:v>0.23263722541786697</c:v>
                </c:pt>
                <c:pt idx="1588">
                  <c:v>0.19581784762652465</c:v>
                </c:pt>
                <c:pt idx="1589">
                  <c:v>0.21048380019357957</c:v>
                </c:pt>
                <c:pt idx="1590">
                  <c:v>0.20809911950937862</c:v>
                </c:pt>
                <c:pt idx="1591">
                  <c:v>0.19397987539677072</c:v>
                </c:pt>
                <c:pt idx="1592">
                  <c:v>0.18908817186677526</c:v>
                </c:pt>
                <c:pt idx="1593">
                  <c:v>0.1896495899041763</c:v>
                </c:pt>
                <c:pt idx="1594">
                  <c:v>0.26698358719662141</c:v>
                </c:pt>
                <c:pt idx="1595">
                  <c:v>0.22354059451473604</c:v>
                </c:pt>
                <c:pt idx="1596">
                  <c:v>0.20746781402365763</c:v>
                </c:pt>
                <c:pt idx="1597">
                  <c:v>0.23946994626427284</c:v>
                </c:pt>
                <c:pt idx="1598">
                  <c:v>0.21846103527714875</c:v>
                </c:pt>
                <c:pt idx="1599">
                  <c:v>0.19843720963763645</c:v>
                </c:pt>
                <c:pt idx="1600">
                  <c:v>0.20758180303493218</c:v>
                </c:pt>
                <c:pt idx="1601">
                  <c:v>0.21675134849151759</c:v>
                </c:pt>
                <c:pt idx="1602">
                  <c:v>0.25545029334348712</c:v>
                </c:pt>
                <c:pt idx="1603">
                  <c:v>0.20462431183730681</c:v>
                </c:pt>
                <c:pt idx="1604">
                  <c:v>0.19991046480748634</c:v>
                </c:pt>
                <c:pt idx="1605">
                  <c:v>0.19887032445429317</c:v>
                </c:pt>
                <c:pt idx="1606">
                  <c:v>0.23815746229539175</c:v>
                </c:pt>
                <c:pt idx="1607">
                  <c:v>0.23426898065542787</c:v>
                </c:pt>
                <c:pt idx="1608">
                  <c:v>0.23782605967024398</c:v>
                </c:pt>
                <c:pt idx="1609">
                  <c:v>0.19154864470766828</c:v>
                </c:pt>
                <c:pt idx="1610">
                  <c:v>0.22522411901525805</c:v>
                </c:pt>
                <c:pt idx="1611">
                  <c:v>0.20387623054241266</c:v>
                </c:pt>
                <c:pt idx="1612">
                  <c:v>0.25148959227640583</c:v>
                </c:pt>
                <c:pt idx="1613">
                  <c:v>0.22525449409998377</c:v>
                </c:pt>
                <c:pt idx="1614">
                  <c:v>0.2267020634120808</c:v>
                </c:pt>
                <c:pt idx="1615">
                  <c:v>0.23463385129257147</c:v>
                </c:pt>
                <c:pt idx="1616">
                  <c:v>0.1996215061869602</c:v>
                </c:pt>
                <c:pt idx="1617">
                  <c:v>0.19292207689395333</c:v>
                </c:pt>
                <c:pt idx="1618">
                  <c:v>0.20585954518114447</c:v>
                </c:pt>
                <c:pt idx="1619">
                  <c:v>0.21046605599668722</c:v>
                </c:pt>
                <c:pt idx="1620">
                  <c:v>0.20840883099551663</c:v>
                </c:pt>
                <c:pt idx="1621">
                  <c:v>0.20743897599567479</c:v>
                </c:pt>
                <c:pt idx="1622">
                  <c:v>0.21869944422130444</c:v>
                </c:pt>
                <c:pt idx="1623">
                  <c:v>0.22180141936613548</c:v>
                </c:pt>
                <c:pt idx="1624">
                  <c:v>0.21519920974907292</c:v>
                </c:pt>
                <c:pt idx="1625">
                  <c:v>0.18962342060636106</c:v>
                </c:pt>
                <c:pt idx="1626">
                  <c:v>0.24954660568311018</c:v>
                </c:pt>
                <c:pt idx="1627">
                  <c:v>0.2665456849656464</c:v>
                </c:pt>
                <c:pt idx="1628">
                  <c:v>0.22609183536849456</c:v>
                </c:pt>
                <c:pt idx="1629">
                  <c:v>0.18889836860553366</c:v>
                </c:pt>
                <c:pt idx="1630">
                  <c:v>0.19919767823609819</c:v>
                </c:pt>
                <c:pt idx="1631">
                  <c:v>0.27029468154887465</c:v>
                </c:pt>
                <c:pt idx="1632">
                  <c:v>0.20101048008511702</c:v>
                </c:pt>
                <c:pt idx="1633">
                  <c:v>0.20080759065439127</c:v>
                </c:pt>
                <c:pt idx="1634">
                  <c:v>0.23629082249059838</c:v>
                </c:pt>
                <c:pt idx="1635">
                  <c:v>0.24559457247338828</c:v>
                </c:pt>
                <c:pt idx="1636">
                  <c:v>0.20353902063416285</c:v>
                </c:pt>
                <c:pt idx="1637">
                  <c:v>0.20878562150735541</c:v>
                </c:pt>
                <c:pt idx="1638">
                  <c:v>0.21654469017291217</c:v>
                </c:pt>
                <c:pt idx="1639">
                  <c:v>0.20811833179126196</c:v>
                </c:pt>
                <c:pt idx="1640">
                  <c:v>0.25573299200440019</c:v>
                </c:pt>
                <c:pt idx="1641">
                  <c:v>0.1965892584982091</c:v>
                </c:pt>
                <c:pt idx="1642">
                  <c:v>0.22395436526532722</c:v>
                </c:pt>
                <c:pt idx="1643">
                  <c:v>0.19823819978508178</c:v>
                </c:pt>
                <c:pt idx="1644">
                  <c:v>0.19288625913305582</c:v>
                </c:pt>
                <c:pt idx="1645">
                  <c:v>0.18900545935358459</c:v>
                </c:pt>
                <c:pt idx="1646">
                  <c:v>0.21006409024652337</c:v>
                </c:pt>
                <c:pt idx="1647">
                  <c:v>0.31538583284196003</c:v>
                </c:pt>
                <c:pt idx="1648">
                  <c:v>0.19061904340844482</c:v>
                </c:pt>
                <c:pt idx="1649">
                  <c:v>0.19390178893645868</c:v>
                </c:pt>
                <c:pt idx="1650">
                  <c:v>0.20119575202704418</c:v>
                </c:pt>
                <c:pt idx="1651">
                  <c:v>0.20311641209084999</c:v>
                </c:pt>
                <c:pt idx="1652">
                  <c:v>0.21514445718250783</c:v>
                </c:pt>
                <c:pt idx="1653">
                  <c:v>0.22949571075383923</c:v>
                </c:pt>
                <c:pt idx="1654">
                  <c:v>0.20097738185208602</c:v>
                </c:pt>
                <c:pt idx="1655">
                  <c:v>0.24000302264671411</c:v>
                </c:pt>
                <c:pt idx="1656">
                  <c:v>0.19432312162832449</c:v>
                </c:pt>
                <c:pt idx="1657">
                  <c:v>0.21435443251081154</c:v>
                </c:pt>
                <c:pt idx="1658">
                  <c:v>0.23969399007389064</c:v>
                </c:pt>
                <c:pt idx="1659">
                  <c:v>0.19496295411366929</c:v>
                </c:pt>
                <c:pt idx="1660">
                  <c:v>0.20877365482894197</c:v>
                </c:pt>
                <c:pt idx="1661">
                  <c:v>0.22675729484189491</c:v>
                </c:pt>
                <c:pt idx="1662">
                  <c:v>0.20758715999329455</c:v>
                </c:pt>
                <c:pt idx="1663">
                  <c:v>0.20503132222285708</c:v>
                </c:pt>
                <c:pt idx="1664">
                  <c:v>0.34513118567314538</c:v>
                </c:pt>
                <c:pt idx="1665">
                  <c:v>0.19778709378571829</c:v>
                </c:pt>
                <c:pt idx="1666">
                  <c:v>0.25319627684362683</c:v>
                </c:pt>
                <c:pt idx="1667">
                  <c:v>0.22969281082911169</c:v>
                </c:pt>
                <c:pt idx="1668">
                  <c:v>0.18904708381168267</c:v>
                </c:pt>
                <c:pt idx="1669">
                  <c:v>0.2401647955841916</c:v>
                </c:pt>
                <c:pt idx="1670">
                  <c:v>0.23147246386686648</c:v>
                </c:pt>
                <c:pt idx="1671">
                  <c:v>0.19015007776116283</c:v>
                </c:pt>
                <c:pt idx="1672">
                  <c:v>0.19368520251929022</c:v>
                </c:pt>
                <c:pt idx="1673">
                  <c:v>0.3089787552630025</c:v>
                </c:pt>
                <c:pt idx="1674">
                  <c:v>0.23765660622686557</c:v>
                </c:pt>
                <c:pt idx="1675">
                  <c:v>0.27478183017340196</c:v>
                </c:pt>
                <c:pt idx="1676">
                  <c:v>0.23019447014285757</c:v>
                </c:pt>
                <c:pt idx="1677">
                  <c:v>0.20350520464798755</c:v>
                </c:pt>
                <c:pt idx="1678">
                  <c:v>0.23155574650504127</c:v>
                </c:pt>
                <c:pt idx="1679">
                  <c:v>0.19706552860530119</c:v>
                </c:pt>
                <c:pt idx="1680">
                  <c:v>0.24024252456919401</c:v>
                </c:pt>
                <c:pt idx="1681">
                  <c:v>0.23240278116401375</c:v>
                </c:pt>
                <c:pt idx="1682">
                  <c:v>0.21398621743839885</c:v>
                </c:pt>
                <c:pt idx="1683">
                  <c:v>0.30485607885328192</c:v>
                </c:pt>
                <c:pt idx="1684">
                  <c:v>0.19190993103585671</c:v>
                </c:pt>
                <c:pt idx="1685">
                  <c:v>0.20666043571764553</c:v>
                </c:pt>
                <c:pt idx="1686">
                  <c:v>0.22958175802776826</c:v>
                </c:pt>
                <c:pt idx="1687">
                  <c:v>0.2477693622878899</c:v>
                </c:pt>
                <c:pt idx="1688">
                  <c:v>0.22282580474453029</c:v>
                </c:pt>
                <c:pt idx="1689">
                  <c:v>0.3373402076324597</c:v>
                </c:pt>
                <c:pt idx="1690">
                  <c:v>0.19120918985243279</c:v>
                </c:pt>
                <c:pt idx="1691">
                  <c:v>0.19291905846046123</c:v>
                </c:pt>
                <c:pt idx="1692">
                  <c:v>0.191606313740804</c:v>
                </c:pt>
                <c:pt idx="1693">
                  <c:v>0.22839457744218183</c:v>
                </c:pt>
                <c:pt idx="1694">
                  <c:v>0.19226788657815153</c:v>
                </c:pt>
                <c:pt idx="1695">
                  <c:v>0.1888332758669046</c:v>
                </c:pt>
                <c:pt idx="1696">
                  <c:v>0.20289425780379799</c:v>
                </c:pt>
                <c:pt idx="1697">
                  <c:v>0.23728527401000124</c:v>
                </c:pt>
                <c:pt idx="1698">
                  <c:v>0.19100308695372817</c:v>
                </c:pt>
                <c:pt idx="1699">
                  <c:v>0.25074854349322495</c:v>
                </c:pt>
                <c:pt idx="1700">
                  <c:v>0.19642875486559264</c:v>
                </c:pt>
                <c:pt idx="1701">
                  <c:v>0.22648714126251912</c:v>
                </c:pt>
                <c:pt idx="1702">
                  <c:v>0.22598432750069816</c:v>
                </c:pt>
                <c:pt idx="1703">
                  <c:v>0.21808713073355718</c:v>
                </c:pt>
                <c:pt idx="1704">
                  <c:v>0.19714465617758661</c:v>
                </c:pt>
                <c:pt idx="1705">
                  <c:v>0.23313557229165585</c:v>
                </c:pt>
                <c:pt idx="1706">
                  <c:v>0.23132816598803932</c:v>
                </c:pt>
                <c:pt idx="1707">
                  <c:v>0.22585165781000666</c:v>
                </c:pt>
                <c:pt idx="1708">
                  <c:v>0.26982574637373885</c:v>
                </c:pt>
                <c:pt idx="1709">
                  <c:v>0.19185148716420422</c:v>
                </c:pt>
                <c:pt idx="1710">
                  <c:v>0.19666152356606692</c:v>
                </c:pt>
                <c:pt idx="1711">
                  <c:v>0.2922767009486652</c:v>
                </c:pt>
                <c:pt idx="1712">
                  <c:v>0.19326368985908782</c:v>
                </c:pt>
                <c:pt idx="1713">
                  <c:v>0.24983882434853857</c:v>
                </c:pt>
                <c:pt idx="1714">
                  <c:v>0.23282261913625063</c:v>
                </c:pt>
                <c:pt idx="1715">
                  <c:v>0.22850871297658035</c:v>
                </c:pt>
                <c:pt idx="1716">
                  <c:v>0.23056387470106887</c:v>
                </c:pt>
                <c:pt idx="1717">
                  <c:v>0.21107135263767382</c:v>
                </c:pt>
                <c:pt idx="1718">
                  <c:v>0.21171530068949077</c:v>
                </c:pt>
                <c:pt idx="1719">
                  <c:v>0.20791006568141618</c:v>
                </c:pt>
                <c:pt idx="1720">
                  <c:v>0.18971279197621085</c:v>
                </c:pt>
                <c:pt idx="1721">
                  <c:v>0.2478527403833124</c:v>
                </c:pt>
                <c:pt idx="1722">
                  <c:v>0.23328538003096813</c:v>
                </c:pt>
                <c:pt idx="1723">
                  <c:v>0.19373945118632593</c:v>
                </c:pt>
                <c:pt idx="1724">
                  <c:v>0.25154850183167327</c:v>
                </c:pt>
                <c:pt idx="1725">
                  <c:v>0.19453658376341687</c:v>
                </c:pt>
                <c:pt idx="1726">
                  <c:v>0.28186390420035873</c:v>
                </c:pt>
                <c:pt idx="1727">
                  <c:v>0.23147277214565004</c:v>
                </c:pt>
                <c:pt idx="1728">
                  <c:v>0.32460346664146966</c:v>
                </c:pt>
                <c:pt idx="1729">
                  <c:v>0.2206426737322392</c:v>
                </c:pt>
                <c:pt idx="1730">
                  <c:v>0.1984908864994914</c:v>
                </c:pt>
                <c:pt idx="1731">
                  <c:v>0.19316566768540036</c:v>
                </c:pt>
                <c:pt idx="1732">
                  <c:v>0.2586650301820318</c:v>
                </c:pt>
                <c:pt idx="1733">
                  <c:v>0.20164175002596216</c:v>
                </c:pt>
                <c:pt idx="1734">
                  <c:v>0.2438689050550592</c:v>
                </c:pt>
                <c:pt idx="1735">
                  <c:v>0.2308031873205097</c:v>
                </c:pt>
                <c:pt idx="1736">
                  <c:v>0.20721569534178857</c:v>
                </c:pt>
                <c:pt idx="1737">
                  <c:v>0.19919337720415314</c:v>
                </c:pt>
                <c:pt idx="1738">
                  <c:v>0.19145736462494758</c:v>
                </c:pt>
                <c:pt idx="1739">
                  <c:v>0.2303366736102106</c:v>
                </c:pt>
                <c:pt idx="1740">
                  <c:v>0.28745551990254686</c:v>
                </c:pt>
                <c:pt idx="1741">
                  <c:v>0.22208553352019444</c:v>
                </c:pt>
                <c:pt idx="1742">
                  <c:v>0.20433860880755472</c:v>
                </c:pt>
                <c:pt idx="1743">
                  <c:v>0.21485400500250398</c:v>
                </c:pt>
                <c:pt idx="1744">
                  <c:v>0.19319893290492449</c:v>
                </c:pt>
                <c:pt idx="1745">
                  <c:v>0.21641310084738277</c:v>
                </c:pt>
                <c:pt idx="1746">
                  <c:v>0.19166232249303819</c:v>
                </c:pt>
                <c:pt idx="1747">
                  <c:v>0.33190653715445551</c:v>
                </c:pt>
                <c:pt idx="1748">
                  <c:v>0.21283953698652999</c:v>
                </c:pt>
                <c:pt idx="1749">
                  <c:v>0.21663119499870595</c:v>
                </c:pt>
                <c:pt idx="1750">
                  <c:v>0.2723866682922737</c:v>
                </c:pt>
                <c:pt idx="1751">
                  <c:v>0.20633744783827018</c:v>
                </c:pt>
                <c:pt idx="1752">
                  <c:v>0.20979055234157828</c:v>
                </c:pt>
                <c:pt idx="1753">
                  <c:v>0.23271074679011813</c:v>
                </c:pt>
                <c:pt idx="1754">
                  <c:v>0.23643142795156827</c:v>
                </c:pt>
                <c:pt idx="1755">
                  <c:v>0.21527954186841264</c:v>
                </c:pt>
                <c:pt idx="1756">
                  <c:v>0.19503604049047057</c:v>
                </c:pt>
                <c:pt idx="1757">
                  <c:v>0.19125536982083804</c:v>
                </c:pt>
                <c:pt idx="1758">
                  <c:v>0.21812817108014468</c:v>
                </c:pt>
                <c:pt idx="1759">
                  <c:v>0.24170018209269456</c:v>
                </c:pt>
                <c:pt idx="1760">
                  <c:v>0.2217929390310967</c:v>
                </c:pt>
                <c:pt idx="1761">
                  <c:v>0.18892060017940535</c:v>
                </c:pt>
                <c:pt idx="1762">
                  <c:v>0.19959264513333161</c:v>
                </c:pt>
                <c:pt idx="1763">
                  <c:v>0.19546581497746901</c:v>
                </c:pt>
                <c:pt idx="1764">
                  <c:v>0.2865998995479192</c:v>
                </c:pt>
                <c:pt idx="1765">
                  <c:v>0.18991260426369563</c:v>
                </c:pt>
                <c:pt idx="1766">
                  <c:v>0.23738404139721736</c:v>
                </c:pt>
                <c:pt idx="1767">
                  <c:v>0.20492891289871357</c:v>
                </c:pt>
                <c:pt idx="1768">
                  <c:v>0.21222888901474657</c:v>
                </c:pt>
                <c:pt idx="1769">
                  <c:v>0.23342735905472603</c:v>
                </c:pt>
                <c:pt idx="1770">
                  <c:v>0.23333101139303897</c:v>
                </c:pt>
                <c:pt idx="1771">
                  <c:v>0.20229557328747014</c:v>
                </c:pt>
                <c:pt idx="1772">
                  <c:v>0.24178816688339672</c:v>
                </c:pt>
                <c:pt idx="1773">
                  <c:v>0.21838990124827432</c:v>
                </c:pt>
                <c:pt idx="1774">
                  <c:v>0.21106746863623388</c:v>
                </c:pt>
                <c:pt idx="1775">
                  <c:v>0.19678206621407493</c:v>
                </c:pt>
                <c:pt idx="1776">
                  <c:v>0.2182266115228215</c:v>
                </c:pt>
                <c:pt idx="1777">
                  <c:v>0.21048084956081325</c:v>
                </c:pt>
                <c:pt idx="1778">
                  <c:v>0.1980972860563083</c:v>
                </c:pt>
                <c:pt idx="1779">
                  <c:v>0.19116341809033219</c:v>
                </c:pt>
                <c:pt idx="1780">
                  <c:v>0.20081841419322374</c:v>
                </c:pt>
                <c:pt idx="1781">
                  <c:v>0.19434705617644904</c:v>
                </c:pt>
                <c:pt idx="1782">
                  <c:v>0.27281419218882136</c:v>
                </c:pt>
                <c:pt idx="1783">
                  <c:v>0.19325961875121186</c:v>
                </c:pt>
                <c:pt idx="1784">
                  <c:v>0.24473437013652166</c:v>
                </c:pt>
                <c:pt idx="1785">
                  <c:v>0.19727714371951199</c:v>
                </c:pt>
                <c:pt idx="1786">
                  <c:v>0.2059333526940092</c:v>
                </c:pt>
                <c:pt idx="1787">
                  <c:v>0.19160976480195993</c:v>
                </c:pt>
                <c:pt idx="1788">
                  <c:v>0.20553841958698088</c:v>
                </c:pt>
                <c:pt idx="1789">
                  <c:v>0.26855508187982779</c:v>
                </c:pt>
                <c:pt idx="1790">
                  <c:v>0.22194216767456051</c:v>
                </c:pt>
                <c:pt idx="1791">
                  <c:v>0.22985842975062701</c:v>
                </c:pt>
                <c:pt idx="1792">
                  <c:v>0.2136624508762513</c:v>
                </c:pt>
                <c:pt idx="1793">
                  <c:v>0.23466756231518038</c:v>
                </c:pt>
                <c:pt idx="1794">
                  <c:v>0.24536554943154401</c:v>
                </c:pt>
                <c:pt idx="1795">
                  <c:v>0.22581388815314579</c:v>
                </c:pt>
                <c:pt idx="1796">
                  <c:v>0.19779171962079301</c:v>
                </c:pt>
                <c:pt idx="1797">
                  <c:v>0.19487266502431411</c:v>
                </c:pt>
                <c:pt idx="1798">
                  <c:v>0.18927897437534724</c:v>
                </c:pt>
                <c:pt idx="1799">
                  <c:v>0.21586921617513299</c:v>
                </c:pt>
                <c:pt idx="1800">
                  <c:v>0.1926386492175807</c:v>
                </c:pt>
                <c:pt idx="1801">
                  <c:v>0.20342337291091203</c:v>
                </c:pt>
                <c:pt idx="1802">
                  <c:v>0.21305325484615048</c:v>
                </c:pt>
                <c:pt idx="1803">
                  <c:v>0.21706091501783203</c:v>
                </c:pt>
                <c:pt idx="1804">
                  <c:v>0.2389995485742793</c:v>
                </c:pt>
                <c:pt idx="1805">
                  <c:v>0.22962903423025174</c:v>
                </c:pt>
                <c:pt idx="1806">
                  <c:v>0.25462153916722297</c:v>
                </c:pt>
                <c:pt idx="1807">
                  <c:v>0.19601452072226958</c:v>
                </c:pt>
                <c:pt idx="1808">
                  <c:v>0.21402047780003122</c:v>
                </c:pt>
                <c:pt idx="1809">
                  <c:v>0.19443650947678462</c:v>
                </c:pt>
                <c:pt idx="1810">
                  <c:v>0.214623558508268</c:v>
                </c:pt>
                <c:pt idx="1811">
                  <c:v>0.19726539399249463</c:v>
                </c:pt>
                <c:pt idx="1812">
                  <c:v>0.21654116842073731</c:v>
                </c:pt>
                <c:pt idx="1813">
                  <c:v>0.23576005788123328</c:v>
                </c:pt>
                <c:pt idx="1814">
                  <c:v>0.18879382735858585</c:v>
                </c:pt>
                <c:pt idx="1815">
                  <c:v>0.19569844030582143</c:v>
                </c:pt>
                <c:pt idx="1816">
                  <c:v>0.19635089598063166</c:v>
                </c:pt>
                <c:pt idx="1817">
                  <c:v>0.19693723771268978</c:v>
                </c:pt>
                <c:pt idx="1818">
                  <c:v>0.20776845398638663</c:v>
                </c:pt>
                <c:pt idx="1819">
                  <c:v>0.22978062407150882</c:v>
                </c:pt>
                <c:pt idx="1820">
                  <c:v>0.20472014243080558</c:v>
                </c:pt>
                <c:pt idx="1821">
                  <c:v>0.19959050465670583</c:v>
                </c:pt>
                <c:pt idx="1822">
                  <c:v>0.22500048856545632</c:v>
                </c:pt>
                <c:pt idx="1823">
                  <c:v>0.19896782519177042</c:v>
                </c:pt>
                <c:pt idx="1824">
                  <c:v>0.20401077490316777</c:v>
                </c:pt>
                <c:pt idx="1825">
                  <c:v>0.19031052003312335</c:v>
                </c:pt>
                <c:pt idx="1826">
                  <c:v>0.21923754390279412</c:v>
                </c:pt>
                <c:pt idx="1827">
                  <c:v>0.19014704182709052</c:v>
                </c:pt>
                <c:pt idx="1828">
                  <c:v>0.19870200395497309</c:v>
                </c:pt>
                <c:pt idx="1829">
                  <c:v>0.20461900407407033</c:v>
                </c:pt>
                <c:pt idx="1830">
                  <c:v>0.21076072576744365</c:v>
                </c:pt>
                <c:pt idx="1831">
                  <c:v>0.23326136534240458</c:v>
                </c:pt>
                <c:pt idx="1832">
                  <c:v>0.25867660018359412</c:v>
                </c:pt>
                <c:pt idx="1833">
                  <c:v>0.3057102765577831</c:v>
                </c:pt>
                <c:pt idx="1834">
                  <c:v>0.24101533702264794</c:v>
                </c:pt>
                <c:pt idx="1835">
                  <c:v>0.18907645865061337</c:v>
                </c:pt>
                <c:pt idx="1836">
                  <c:v>0.22588554062591487</c:v>
                </c:pt>
                <c:pt idx="1837">
                  <c:v>0.22126387670303616</c:v>
                </c:pt>
                <c:pt idx="1838">
                  <c:v>0.18909604490931212</c:v>
                </c:pt>
                <c:pt idx="1839">
                  <c:v>0.31906779267889812</c:v>
                </c:pt>
                <c:pt idx="1840">
                  <c:v>0.23072089287844333</c:v>
                </c:pt>
                <c:pt idx="1841">
                  <c:v>0.19576398734993283</c:v>
                </c:pt>
                <c:pt idx="1842">
                  <c:v>0.19738827859182598</c:v>
                </c:pt>
                <c:pt idx="1843">
                  <c:v>0.20693832219805827</c:v>
                </c:pt>
                <c:pt idx="1844">
                  <c:v>0.19754024511294865</c:v>
                </c:pt>
                <c:pt idx="1845">
                  <c:v>0.18990657166329689</c:v>
                </c:pt>
                <c:pt idx="1846">
                  <c:v>0.32076619531473255</c:v>
                </c:pt>
                <c:pt idx="1847">
                  <c:v>0.21346541393384491</c:v>
                </c:pt>
                <c:pt idx="1848">
                  <c:v>0.21616740918864194</c:v>
                </c:pt>
                <c:pt idx="1849">
                  <c:v>0.22942710420893694</c:v>
                </c:pt>
                <c:pt idx="1850">
                  <c:v>0.19834345834247685</c:v>
                </c:pt>
                <c:pt idx="1851">
                  <c:v>0.24959007025442417</c:v>
                </c:pt>
                <c:pt idx="1852">
                  <c:v>0.23050568208805852</c:v>
                </c:pt>
                <c:pt idx="1853">
                  <c:v>0.26351045738282147</c:v>
                </c:pt>
                <c:pt idx="1854">
                  <c:v>0.19927718974468211</c:v>
                </c:pt>
                <c:pt idx="1855">
                  <c:v>0.20162740839219651</c:v>
                </c:pt>
                <c:pt idx="1856">
                  <c:v>0.2194007519677415</c:v>
                </c:pt>
                <c:pt idx="1857">
                  <c:v>0.21322048201014079</c:v>
                </c:pt>
                <c:pt idx="1858">
                  <c:v>0.1890344861976061</c:v>
                </c:pt>
                <c:pt idx="1859">
                  <c:v>0.19461384656072045</c:v>
                </c:pt>
                <c:pt idx="1860">
                  <c:v>0.20489260485184121</c:v>
                </c:pt>
                <c:pt idx="1861">
                  <c:v>0.23394557723461756</c:v>
                </c:pt>
                <c:pt idx="1862">
                  <c:v>0.21928199947278385</c:v>
                </c:pt>
                <c:pt idx="1863">
                  <c:v>0.19805214248775468</c:v>
                </c:pt>
                <c:pt idx="1864">
                  <c:v>0.19075716931375977</c:v>
                </c:pt>
                <c:pt idx="1865">
                  <c:v>0.20099594227178924</c:v>
                </c:pt>
                <c:pt idx="1866">
                  <c:v>0.2452925558784694</c:v>
                </c:pt>
                <c:pt idx="1867">
                  <c:v>0.19626197123087991</c:v>
                </c:pt>
                <c:pt idx="1868">
                  <c:v>0.21122881051169956</c:v>
                </c:pt>
                <c:pt idx="1869">
                  <c:v>0.21661512525549512</c:v>
                </c:pt>
                <c:pt idx="1870">
                  <c:v>0.25949473226244452</c:v>
                </c:pt>
                <c:pt idx="1871">
                  <c:v>0.21194748224096166</c:v>
                </c:pt>
                <c:pt idx="1872">
                  <c:v>0.20024552197950377</c:v>
                </c:pt>
                <c:pt idx="1873">
                  <c:v>0.24086597539680843</c:v>
                </c:pt>
                <c:pt idx="1874">
                  <c:v>0.19133643376436776</c:v>
                </c:pt>
                <c:pt idx="1875">
                  <c:v>0.19448495809295893</c:v>
                </c:pt>
                <c:pt idx="1876">
                  <c:v>0.21273564531649392</c:v>
                </c:pt>
                <c:pt idx="1877">
                  <c:v>0.23165037721907347</c:v>
                </c:pt>
                <c:pt idx="1878">
                  <c:v>0.19615316225878501</c:v>
                </c:pt>
                <c:pt idx="1879">
                  <c:v>0.22515972385666538</c:v>
                </c:pt>
                <c:pt idx="1880">
                  <c:v>0.22295671289578237</c:v>
                </c:pt>
                <c:pt idx="1881">
                  <c:v>0.20656255925197881</c:v>
                </c:pt>
                <c:pt idx="1882">
                  <c:v>0.20946954019576738</c:v>
                </c:pt>
                <c:pt idx="1883">
                  <c:v>0.20534685351254828</c:v>
                </c:pt>
                <c:pt idx="1884">
                  <c:v>0.2029683850156577</c:v>
                </c:pt>
                <c:pt idx="1885">
                  <c:v>0.18975243513715781</c:v>
                </c:pt>
                <c:pt idx="1886">
                  <c:v>0.19042863423494882</c:v>
                </c:pt>
                <c:pt idx="1887">
                  <c:v>0.2121514994611215</c:v>
                </c:pt>
                <c:pt idx="1888">
                  <c:v>0.19886527129458809</c:v>
                </c:pt>
                <c:pt idx="1889">
                  <c:v>0.20753423108360874</c:v>
                </c:pt>
                <c:pt idx="1890">
                  <c:v>0.19222732229672387</c:v>
                </c:pt>
                <c:pt idx="1891">
                  <c:v>0.1893528808794506</c:v>
                </c:pt>
                <c:pt idx="1892">
                  <c:v>0.19869998545150888</c:v>
                </c:pt>
                <c:pt idx="1893">
                  <c:v>0.21953058439457046</c:v>
                </c:pt>
                <c:pt idx="1894">
                  <c:v>0.21025784427731475</c:v>
                </c:pt>
                <c:pt idx="1895">
                  <c:v>0.21426799123213774</c:v>
                </c:pt>
                <c:pt idx="1896">
                  <c:v>0.19212756895373537</c:v>
                </c:pt>
                <c:pt idx="1897">
                  <c:v>0.19784866009325244</c:v>
                </c:pt>
                <c:pt idx="1898">
                  <c:v>0.19361536229184481</c:v>
                </c:pt>
                <c:pt idx="1899">
                  <c:v>0.19960432130169678</c:v>
                </c:pt>
                <c:pt idx="1900">
                  <c:v>0.20963157573574623</c:v>
                </c:pt>
                <c:pt idx="1901">
                  <c:v>0.19471982600617174</c:v>
                </c:pt>
                <c:pt idx="1902">
                  <c:v>0.19283312781697326</c:v>
                </c:pt>
                <c:pt idx="1903">
                  <c:v>0.23111410862385073</c:v>
                </c:pt>
                <c:pt idx="1904">
                  <c:v>0.33363334947266876</c:v>
                </c:pt>
                <c:pt idx="1905">
                  <c:v>0.19156556739627528</c:v>
                </c:pt>
                <c:pt idx="1906">
                  <c:v>0.26901670364493563</c:v>
                </c:pt>
                <c:pt idx="1907">
                  <c:v>0.2101278498823585</c:v>
                </c:pt>
                <c:pt idx="1908">
                  <c:v>0.21350819710081961</c:v>
                </c:pt>
                <c:pt idx="1909">
                  <c:v>0.20599567840151975</c:v>
                </c:pt>
                <c:pt idx="1910">
                  <c:v>0.23688145039435854</c:v>
                </c:pt>
                <c:pt idx="1911">
                  <c:v>0.21469210123601851</c:v>
                </c:pt>
                <c:pt idx="1912">
                  <c:v>0.19765643569923153</c:v>
                </c:pt>
                <c:pt idx="1913">
                  <c:v>0.27712296466388703</c:v>
                </c:pt>
                <c:pt idx="1914">
                  <c:v>0.20438700241335692</c:v>
                </c:pt>
                <c:pt idx="1915">
                  <c:v>0.19358019568101828</c:v>
                </c:pt>
                <c:pt idx="1916">
                  <c:v>0.2849052223321375</c:v>
                </c:pt>
                <c:pt idx="1917">
                  <c:v>0.24254457877160601</c:v>
                </c:pt>
                <c:pt idx="1918">
                  <c:v>0.19545094664268062</c:v>
                </c:pt>
                <c:pt idx="1919">
                  <c:v>0.19300581156882196</c:v>
                </c:pt>
                <c:pt idx="1920">
                  <c:v>0.20461396738921714</c:v>
                </c:pt>
                <c:pt idx="1921">
                  <c:v>0.23108605628359827</c:v>
                </c:pt>
                <c:pt idx="1922">
                  <c:v>0.19263515637845577</c:v>
                </c:pt>
                <c:pt idx="1923">
                  <c:v>0.25573076255625343</c:v>
                </c:pt>
                <c:pt idx="1924">
                  <c:v>0.2553529985928305</c:v>
                </c:pt>
                <c:pt idx="1925">
                  <c:v>0.21157602274819298</c:v>
                </c:pt>
                <c:pt idx="1926">
                  <c:v>0.20052839432570749</c:v>
                </c:pt>
                <c:pt idx="1927">
                  <c:v>0.21277070358026848</c:v>
                </c:pt>
                <c:pt idx="1928">
                  <c:v>0.19875198421942916</c:v>
                </c:pt>
                <c:pt idx="1929">
                  <c:v>0.24226662499342835</c:v>
                </c:pt>
                <c:pt idx="1930">
                  <c:v>0.20053518899059633</c:v>
                </c:pt>
                <c:pt idx="1931">
                  <c:v>0.35578564266064377</c:v>
                </c:pt>
                <c:pt idx="1932">
                  <c:v>0.23142443344335134</c:v>
                </c:pt>
                <c:pt idx="1933">
                  <c:v>0.19132314608461468</c:v>
                </c:pt>
                <c:pt idx="1934">
                  <c:v>0.21850711206128776</c:v>
                </c:pt>
                <c:pt idx="1935">
                  <c:v>0.21437801411194324</c:v>
                </c:pt>
                <c:pt idx="1936">
                  <c:v>0.23796044411656786</c:v>
                </c:pt>
                <c:pt idx="1937">
                  <c:v>0.19053953671407506</c:v>
                </c:pt>
                <c:pt idx="1938">
                  <c:v>0.24654662552713358</c:v>
                </c:pt>
                <c:pt idx="1939">
                  <c:v>0.20388242836628506</c:v>
                </c:pt>
                <c:pt idx="1940">
                  <c:v>0.20119446332501495</c:v>
                </c:pt>
                <c:pt idx="1941">
                  <c:v>0.32252524425416451</c:v>
                </c:pt>
                <c:pt idx="1942">
                  <c:v>0.20140914677788013</c:v>
                </c:pt>
                <c:pt idx="1943">
                  <c:v>0.19998167741337708</c:v>
                </c:pt>
                <c:pt idx="1944">
                  <c:v>0.19353553088439354</c:v>
                </c:pt>
                <c:pt idx="1945">
                  <c:v>0.20712572679363983</c:v>
                </c:pt>
                <c:pt idx="1946">
                  <c:v>0.19901522230567142</c:v>
                </c:pt>
                <c:pt idx="1947">
                  <c:v>0.22993621307435738</c:v>
                </c:pt>
                <c:pt idx="1948">
                  <c:v>0.21579748195346576</c:v>
                </c:pt>
                <c:pt idx="1949">
                  <c:v>0.22765937427789132</c:v>
                </c:pt>
                <c:pt idx="1950">
                  <c:v>0.30293043247220325</c:v>
                </c:pt>
                <c:pt idx="1951">
                  <c:v>0.19415502529741746</c:v>
                </c:pt>
                <c:pt idx="1952">
                  <c:v>0.2327080488042674</c:v>
                </c:pt>
                <c:pt idx="1953">
                  <c:v>0.21023142132082409</c:v>
                </c:pt>
                <c:pt idx="1954">
                  <c:v>0.2244641197480986</c:v>
                </c:pt>
                <c:pt idx="1955">
                  <c:v>0.20809027148064208</c:v>
                </c:pt>
                <c:pt idx="1956">
                  <c:v>0.2464894836884968</c:v>
                </c:pt>
                <c:pt idx="1957">
                  <c:v>0.24004091918565512</c:v>
                </c:pt>
                <c:pt idx="1958">
                  <c:v>0.2084556891158334</c:v>
                </c:pt>
                <c:pt idx="1959">
                  <c:v>0.21978261463708593</c:v>
                </c:pt>
                <c:pt idx="1960">
                  <c:v>0.19409895632639507</c:v>
                </c:pt>
                <c:pt idx="1961">
                  <c:v>0.19011895299166678</c:v>
                </c:pt>
                <c:pt idx="1962">
                  <c:v>0.21271969100829755</c:v>
                </c:pt>
                <c:pt idx="1963">
                  <c:v>0.21795348461268882</c:v>
                </c:pt>
                <c:pt idx="1964">
                  <c:v>0.19664165239843054</c:v>
                </c:pt>
                <c:pt idx="1965">
                  <c:v>0.29960598753826934</c:v>
                </c:pt>
                <c:pt idx="1966">
                  <c:v>0.26473427867163402</c:v>
                </c:pt>
                <c:pt idx="1967">
                  <c:v>0.1936109917888639</c:v>
                </c:pt>
                <c:pt idx="1968">
                  <c:v>0.22129109652533765</c:v>
                </c:pt>
                <c:pt idx="1969">
                  <c:v>0.18956448809691445</c:v>
                </c:pt>
                <c:pt idx="1970">
                  <c:v>0.19301354602636495</c:v>
                </c:pt>
                <c:pt idx="1971">
                  <c:v>0.22053417154695032</c:v>
                </c:pt>
                <c:pt idx="1972">
                  <c:v>0.18890077269018876</c:v>
                </c:pt>
                <c:pt idx="1973">
                  <c:v>0.21427290064060295</c:v>
                </c:pt>
                <c:pt idx="1974">
                  <c:v>0.20681750487515269</c:v>
                </c:pt>
                <c:pt idx="1975">
                  <c:v>0.22826446728992342</c:v>
                </c:pt>
                <c:pt idx="1976">
                  <c:v>0.20966100746516214</c:v>
                </c:pt>
                <c:pt idx="1977">
                  <c:v>0.21066910387390181</c:v>
                </c:pt>
                <c:pt idx="1978">
                  <c:v>0.20867076449313671</c:v>
                </c:pt>
                <c:pt idx="1979">
                  <c:v>0.22590323587976183</c:v>
                </c:pt>
                <c:pt idx="1980">
                  <c:v>0.2233904420379044</c:v>
                </c:pt>
                <c:pt idx="1981">
                  <c:v>0.20847062538906555</c:v>
                </c:pt>
                <c:pt idx="1982">
                  <c:v>0.19188744041249778</c:v>
                </c:pt>
                <c:pt idx="1983">
                  <c:v>0.21817806292963937</c:v>
                </c:pt>
                <c:pt idx="1984">
                  <c:v>0.23146095603223671</c:v>
                </c:pt>
                <c:pt idx="1985">
                  <c:v>0.22499344315203251</c:v>
                </c:pt>
                <c:pt idx="1986">
                  <c:v>0.2275528503014273</c:v>
                </c:pt>
                <c:pt idx="1987">
                  <c:v>0.2135531720180277</c:v>
                </c:pt>
                <c:pt idx="1988">
                  <c:v>0.225329783094629</c:v>
                </c:pt>
                <c:pt idx="1989">
                  <c:v>0.19694471346870196</c:v>
                </c:pt>
                <c:pt idx="1990">
                  <c:v>0.19787976550819439</c:v>
                </c:pt>
                <c:pt idx="1991">
                  <c:v>0.22426607837947729</c:v>
                </c:pt>
                <c:pt idx="1992">
                  <c:v>0.21492496133054004</c:v>
                </c:pt>
                <c:pt idx="1993">
                  <c:v>0.22516645391261977</c:v>
                </c:pt>
                <c:pt idx="1994">
                  <c:v>0.20544306415228575</c:v>
                </c:pt>
                <c:pt idx="1995">
                  <c:v>0.19506444835643227</c:v>
                </c:pt>
                <c:pt idx="1996">
                  <c:v>0.21088860632138673</c:v>
                </c:pt>
                <c:pt idx="1997">
                  <c:v>0.25604434971101353</c:v>
                </c:pt>
                <c:pt idx="1998">
                  <c:v>0.19322090791337498</c:v>
                </c:pt>
                <c:pt idx="1999">
                  <c:v>0.20603480463301835</c:v>
                </c:pt>
                <c:pt idx="2000">
                  <c:v>0.20410059352365179</c:v>
                </c:pt>
                <c:pt idx="2001">
                  <c:v>0.2234626599145316</c:v>
                </c:pt>
                <c:pt idx="2002">
                  <c:v>0.21883219093495856</c:v>
                </c:pt>
                <c:pt idx="2003">
                  <c:v>0.2041977559691272</c:v>
                </c:pt>
                <c:pt idx="2004">
                  <c:v>0.20356171694964131</c:v>
                </c:pt>
                <c:pt idx="2005">
                  <c:v>0.2640787855629555</c:v>
                </c:pt>
                <c:pt idx="2006">
                  <c:v>0.22780742100082255</c:v>
                </c:pt>
                <c:pt idx="2007">
                  <c:v>0.19632283189154567</c:v>
                </c:pt>
                <c:pt idx="2008">
                  <c:v>0.19243264765922111</c:v>
                </c:pt>
                <c:pt idx="2009">
                  <c:v>0.22369875506900591</c:v>
                </c:pt>
                <c:pt idx="2010">
                  <c:v>0.20383066923875814</c:v>
                </c:pt>
                <c:pt idx="2011">
                  <c:v>0.24897371436542678</c:v>
                </c:pt>
                <c:pt idx="2012">
                  <c:v>0.21380077354161517</c:v>
                </c:pt>
                <c:pt idx="2013">
                  <c:v>0.21431215428337927</c:v>
                </c:pt>
                <c:pt idx="2014">
                  <c:v>0.23191288521017767</c:v>
                </c:pt>
                <c:pt idx="2015">
                  <c:v>0.19471286073810518</c:v>
                </c:pt>
                <c:pt idx="2016">
                  <c:v>0.21783293083478469</c:v>
                </c:pt>
                <c:pt idx="2017">
                  <c:v>0.25484245141964307</c:v>
                </c:pt>
                <c:pt idx="2018">
                  <c:v>0.21530620163647743</c:v>
                </c:pt>
                <c:pt idx="2019">
                  <c:v>0.18999342208785241</c:v>
                </c:pt>
                <c:pt idx="2020">
                  <c:v>0.19179484678462796</c:v>
                </c:pt>
                <c:pt idx="2021">
                  <c:v>0.25543164190508677</c:v>
                </c:pt>
                <c:pt idx="2022">
                  <c:v>0.20688374988207614</c:v>
                </c:pt>
                <c:pt idx="2023">
                  <c:v>0.22430561215998615</c:v>
                </c:pt>
                <c:pt idx="2024">
                  <c:v>0.24979343386206931</c:v>
                </c:pt>
                <c:pt idx="2025">
                  <c:v>0.19990021228339341</c:v>
                </c:pt>
                <c:pt idx="2026">
                  <c:v>0.20153879478533007</c:v>
                </c:pt>
                <c:pt idx="2027">
                  <c:v>0.20828616196088556</c:v>
                </c:pt>
                <c:pt idx="2028">
                  <c:v>0.20869423437476739</c:v>
                </c:pt>
                <c:pt idx="2029">
                  <c:v>0.20338974987111896</c:v>
                </c:pt>
                <c:pt idx="2030">
                  <c:v>0.19251807184780292</c:v>
                </c:pt>
                <c:pt idx="2031">
                  <c:v>0.22344907779158202</c:v>
                </c:pt>
                <c:pt idx="2032">
                  <c:v>0.26800628651438196</c:v>
                </c:pt>
                <c:pt idx="2033">
                  <c:v>0.20862205104933415</c:v>
                </c:pt>
                <c:pt idx="2034">
                  <c:v>0.20055714610809444</c:v>
                </c:pt>
                <c:pt idx="2035">
                  <c:v>0.21527348365435342</c:v>
                </c:pt>
                <c:pt idx="2036">
                  <c:v>0.21378219398524967</c:v>
                </c:pt>
                <c:pt idx="2037">
                  <c:v>0.2293292544715469</c:v>
                </c:pt>
                <c:pt idx="2038">
                  <c:v>0.23328523695653655</c:v>
                </c:pt>
                <c:pt idx="2039">
                  <c:v>0.24164185041621106</c:v>
                </c:pt>
                <c:pt idx="2040">
                  <c:v>0.19741403156654708</c:v>
                </c:pt>
                <c:pt idx="2041">
                  <c:v>0.211946117621713</c:v>
                </c:pt>
                <c:pt idx="2042">
                  <c:v>0.20954574088154546</c:v>
                </c:pt>
                <c:pt idx="2043">
                  <c:v>0.20103312354824793</c:v>
                </c:pt>
                <c:pt idx="2044">
                  <c:v>0.19664834715627508</c:v>
                </c:pt>
                <c:pt idx="2045">
                  <c:v>0.19638791895446323</c:v>
                </c:pt>
                <c:pt idx="2046">
                  <c:v>0.19449747594476782</c:v>
                </c:pt>
                <c:pt idx="2047">
                  <c:v>0.20298487483167932</c:v>
                </c:pt>
                <c:pt idx="2048">
                  <c:v>0.20366189287461639</c:v>
                </c:pt>
                <c:pt idx="2049">
                  <c:v>0.19549407909738881</c:v>
                </c:pt>
                <c:pt idx="2050">
                  <c:v>0.19974380533580266</c:v>
                </c:pt>
                <c:pt idx="2051">
                  <c:v>0.20017677687276131</c:v>
                </c:pt>
                <c:pt idx="2052">
                  <c:v>0.21830126902580052</c:v>
                </c:pt>
                <c:pt idx="2053">
                  <c:v>0.22409249239179896</c:v>
                </c:pt>
                <c:pt idx="2054">
                  <c:v>0.21725139934652044</c:v>
                </c:pt>
                <c:pt idx="2055">
                  <c:v>0.19429491622207964</c:v>
                </c:pt>
                <c:pt idx="2056">
                  <c:v>0.19249664663436972</c:v>
                </c:pt>
                <c:pt idx="2057">
                  <c:v>0.22011759670846495</c:v>
                </c:pt>
                <c:pt idx="2058">
                  <c:v>0.19561386512789675</c:v>
                </c:pt>
                <c:pt idx="2059">
                  <c:v>0.23177223228030877</c:v>
                </c:pt>
                <c:pt idx="2060">
                  <c:v>0.23194774006912533</c:v>
                </c:pt>
                <c:pt idx="2061">
                  <c:v>0.2350615796381762</c:v>
                </c:pt>
                <c:pt idx="2062">
                  <c:v>0.2360986698267406</c:v>
                </c:pt>
                <c:pt idx="2063">
                  <c:v>0.3359618355431484</c:v>
                </c:pt>
                <c:pt idx="2064">
                  <c:v>0.25075225560414499</c:v>
                </c:pt>
                <c:pt idx="2065">
                  <c:v>0.19541687436922742</c:v>
                </c:pt>
                <c:pt idx="2066">
                  <c:v>0.1924000176363784</c:v>
                </c:pt>
                <c:pt idx="2067">
                  <c:v>0.1931000107519569</c:v>
                </c:pt>
                <c:pt idx="2068">
                  <c:v>0.19934435215199317</c:v>
                </c:pt>
                <c:pt idx="2069">
                  <c:v>0.22263183950914889</c:v>
                </c:pt>
                <c:pt idx="2070">
                  <c:v>0.21103051350290006</c:v>
                </c:pt>
                <c:pt idx="2071">
                  <c:v>0.25737730650142349</c:v>
                </c:pt>
                <c:pt idx="2072">
                  <c:v>0.20791381447235915</c:v>
                </c:pt>
                <c:pt idx="2073">
                  <c:v>0.25938426367962086</c:v>
                </c:pt>
                <c:pt idx="2074">
                  <c:v>0.22953204253384576</c:v>
                </c:pt>
                <c:pt idx="2075">
                  <c:v>0.20761644469172685</c:v>
                </c:pt>
                <c:pt idx="2076">
                  <c:v>0.19057160113960084</c:v>
                </c:pt>
                <c:pt idx="2077">
                  <c:v>0.21854567626977478</c:v>
                </c:pt>
                <c:pt idx="2078">
                  <c:v>0.2576419560438421</c:v>
                </c:pt>
                <c:pt idx="2079">
                  <c:v>0.23758922029200474</c:v>
                </c:pt>
                <c:pt idx="2080">
                  <c:v>0.22855642311539143</c:v>
                </c:pt>
                <c:pt idx="2081">
                  <c:v>0.18948445902094552</c:v>
                </c:pt>
                <c:pt idx="2082">
                  <c:v>0.20580179034392498</c:v>
                </c:pt>
                <c:pt idx="2083">
                  <c:v>0.22156603081572143</c:v>
                </c:pt>
                <c:pt idx="2084">
                  <c:v>0.2149886593918727</c:v>
                </c:pt>
                <c:pt idx="2085">
                  <c:v>0.19972625155983867</c:v>
                </c:pt>
                <c:pt idx="2086">
                  <c:v>0.19084493923801496</c:v>
                </c:pt>
                <c:pt idx="2087">
                  <c:v>0.19256036239598573</c:v>
                </c:pt>
                <c:pt idx="2088">
                  <c:v>0.23437283684635168</c:v>
                </c:pt>
                <c:pt idx="2089">
                  <c:v>0.23710224099923008</c:v>
                </c:pt>
                <c:pt idx="2090">
                  <c:v>0.20338396804591474</c:v>
                </c:pt>
                <c:pt idx="2091">
                  <c:v>0.27509031523070648</c:v>
                </c:pt>
                <c:pt idx="2092">
                  <c:v>0.19569993325849552</c:v>
                </c:pt>
                <c:pt idx="2093">
                  <c:v>0.24899153512471608</c:v>
                </c:pt>
                <c:pt idx="2094">
                  <c:v>0.19499073280013116</c:v>
                </c:pt>
                <c:pt idx="2095">
                  <c:v>0.20291103744767794</c:v>
                </c:pt>
                <c:pt idx="2096">
                  <c:v>0.22214289861884284</c:v>
                </c:pt>
                <c:pt idx="2097">
                  <c:v>0.22919266929815371</c:v>
                </c:pt>
                <c:pt idx="2098">
                  <c:v>0.18948222970427123</c:v>
                </c:pt>
                <c:pt idx="2099">
                  <c:v>0.20139420485012263</c:v>
                </c:pt>
                <c:pt idx="2100">
                  <c:v>0.20249011036447573</c:v>
                </c:pt>
                <c:pt idx="2101">
                  <c:v>0.31946068762443375</c:v>
                </c:pt>
                <c:pt idx="2102">
                  <c:v>0.19491784355409067</c:v>
                </c:pt>
                <c:pt idx="2103">
                  <c:v>0.20810588262780735</c:v>
                </c:pt>
                <c:pt idx="2104">
                  <c:v>0.2356667072007711</c:v>
                </c:pt>
                <c:pt idx="2105">
                  <c:v>0.1894470506452087</c:v>
                </c:pt>
                <c:pt idx="2106">
                  <c:v>0.27184773153196967</c:v>
                </c:pt>
                <c:pt idx="2107">
                  <c:v>0.19648183940686764</c:v>
                </c:pt>
                <c:pt idx="2108">
                  <c:v>0.25417696410227869</c:v>
                </c:pt>
                <c:pt idx="2109">
                  <c:v>0.20098351177395726</c:v>
                </c:pt>
                <c:pt idx="2110">
                  <c:v>0.2251934134887987</c:v>
                </c:pt>
                <c:pt idx="2111">
                  <c:v>0.22762691313067546</c:v>
                </c:pt>
                <c:pt idx="2112">
                  <c:v>0.24987340207309627</c:v>
                </c:pt>
                <c:pt idx="2113">
                  <c:v>0.21501760484066043</c:v>
                </c:pt>
                <c:pt idx="2114">
                  <c:v>0.21744468494472544</c:v>
                </c:pt>
                <c:pt idx="2115">
                  <c:v>0.25100182603550797</c:v>
                </c:pt>
                <c:pt idx="2116">
                  <c:v>0.18931091328055419</c:v>
                </c:pt>
                <c:pt idx="2117">
                  <c:v>0.19141661178810518</c:v>
                </c:pt>
                <c:pt idx="2118">
                  <c:v>0.23579679122733396</c:v>
                </c:pt>
                <c:pt idx="2119">
                  <c:v>0.20307773868573767</c:v>
                </c:pt>
                <c:pt idx="2120">
                  <c:v>0.20625610046870521</c:v>
                </c:pt>
                <c:pt idx="2121">
                  <c:v>0.19055440496170753</c:v>
                </c:pt>
                <c:pt idx="2122">
                  <c:v>0.19682996125402977</c:v>
                </c:pt>
                <c:pt idx="2123">
                  <c:v>0.22609170507542356</c:v>
                </c:pt>
                <c:pt idx="2124">
                  <c:v>0.21804728967925771</c:v>
                </c:pt>
                <c:pt idx="2125">
                  <c:v>0.21400726599053888</c:v>
                </c:pt>
                <c:pt idx="2126">
                  <c:v>0.22015505144253289</c:v>
                </c:pt>
                <c:pt idx="2127">
                  <c:v>0.19139907848550988</c:v>
                </c:pt>
                <c:pt idx="2128">
                  <c:v>0.24540581625498467</c:v>
                </c:pt>
                <c:pt idx="2129">
                  <c:v>0.22282591651871145</c:v>
                </c:pt>
                <c:pt idx="2130">
                  <c:v>0.19361727068761914</c:v>
                </c:pt>
                <c:pt idx="2131">
                  <c:v>0.19878156356591611</c:v>
                </c:pt>
                <c:pt idx="2132">
                  <c:v>0.19925787416395685</c:v>
                </c:pt>
                <c:pt idx="2133">
                  <c:v>0.20112912145440534</c:v>
                </c:pt>
                <c:pt idx="2134">
                  <c:v>0.19758657671196139</c:v>
                </c:pt>
                <c:pt idx="2135">
                  <c:v>0.20691158465886444</c:v>
                </c:pt>
                <c:pt idx="2136">
                  <c:v>0.20221752684607683</c:v>
                </c:pt>
                <c:pt idx="2137">
                  <c:v>0.19083783978440788</c:v>
                </c:pt>
                <c:pt idx="2138">
                  <c:v>0.21408199784140902</c:v>
                </c:pt>
                <c:pt idx="2139">
                  <c:v>0.1940713646797578</c:v>
                </c:pt>
                <c:pt idx="2140">
                  <c:v>0.19377075887572154</c:v>
                </c:pt>
                <c:pt idx="2141">
                  <c:v>0.22269463029511599</c:v>
                </c:pt>
                <c:pt idx="2142">
                  <c:v>0.20885452428221749</c:v>
                </c:pt>
                <c:pt idx="2143">
                  <c:v>0.19306598907725095</c:v>
                </c:pt>
                <c:pt idx="2144">
                  <c:v>0.31340821689275511</c:v>
                </c:pt>
                <c:pt idx="2145">
                  <c:v>0.2315775221887407</c:v>
                </c:pt>
                <c:pt idx="2146">
                  <c:v>0.20372057883469866</c:v>
                </c:pt>
                <c:pt idx="2147">
                  <c:v>0.25440034314698295</c:v>
                </c:pt>
                <c:pt idx="2148">
                  <c:v>0.18954830088253299</c:v>
                </c:pt>
                <c:pt idx="2149">
                  <c:v>0.23611454821434835</c:v>
                </c:pt>
                <c:pt idx="2150">
                  <c:v>0.2099737566385744</c:v>
                </c:pt>
                <c:pt idx="2151">
                  <c:v>0.19321150610031257</c:v>
                </c:pt>
                <c:pt idx="2152">
                  <c:v>0.18928264470332351</c:v>
                </c:pt>
                <c:pt idx="2153">
                  <c:v>0.20081738842790581</c:v>
                </c:pt>
                <c:pt idx="2154">
                  <c:v>0.23747431236299268</c:v>
                </c:pt>
                <c:pt idx="2155">
                  <c:v>0.19979006712891448</c:v>
                </c:pt>
                <c:pt idx="2156">
                  <c:v>0.20159132599057292</c:v>
                </c:pt>
                <c:pt idx="2157">
                  <c:v>0.19968486956010326</c:v>
                </c:pt>
                <c:pt idx="2158">
                  <c:v>0.20071575628056332</c:v>
                </c:pt>
                <c:pt idx="2159">
                  <c:v>0.21505972029560969</c:v>
                </c:pt>
                <c:pt idx="2160">
                  <c:v>0.21600875513978476</c:v>
                </c:pt>
                <c:pt idx="2161">
                  <c:v>0.18909379964088469</c:v>
                </c:pt>
                <c:pt idx="2162">
                  <c:v>0.20641535242367373</c:v>
                </c:pt>
                <c:pt idx="2163">
                  <c:v>0.24490645585845419</c:v>
                </c:pt>
                <c:pt idx="2164">
                  <c:v>0.24415908429963537</c:v>
                </c:pt>
                <c:pt idx="2165">
                  <c:v>0.23823537550325891</c:v>
                </c:pt>
                <c:pt idx="2166">
                  <c:v>0.21937997865328537</c:v>
                </c:pt>
                <c:pt idx="2167">
                  <c:v>0.19273065731075764</c:v>
                </c:pt>
                <c:pt idx="2168">
                  <c:v>0.21751756683641962</c:v>
                </c:pt>
                <c:pt idx="2169">
                  <c:v>0.20553088815885573</c:v>
                </c:pt>
                <c:pt idx="2170">
                  <c:v>0.19429134800425332</c:v>
                </c:pt>
                <c:pt idx="2171">
                  <c:v>0.21083564197192184</c:v>
                </c:pt>
                <c:pt idx="2172">
                  <c:v>0.19617162971541216</c:v>
                </c:pt>
                <c:pt idx="2173">
                  <c:v>0.20044456019570936</c:v>
                </c:pt>
                <c:pt idx="2174">
                  <c:v>0.2206546692720138</c:v>
                </c:pt>
                <c:pt idx="2175">
                  <c:v>0.18935946736403625</c:v>
                </c:pt>
                <c:pt idx="2176">
                  <c:v>0.23676975064709874</c:v>
                </c:pt>
                <c:pt idx="2177">
                  <c:v>0.20477825323838775</c:v>
                </c:pt>
                <c:pt idx="2178">
                  <c:v>0.18884370458465072</c:v>
                </c:pt>
                <c:pt idx="2179">
                  <c:v>0.21444130245205595</c:v>
                </c:pt>
                <c:pt idx="2180">
                  <c:v>0.19696169557684759</c:v>
                </c:pt>
                <c:pt idx="2181">
                  <c:v>0.22684296880853155</c:v>
                </c:pt>
                <c:pt idx="2182">
                  <c:v>0.20318062152796032</c:v>
                </c:pt>
                <c:pt idx="2183">
                  <c:v>0.19503461736432179</c:v>
                </c:pt>
                <c:pt idx="2184">
                  <c:v>0.21722741241974383</c:v>
                </c:pt>
                <c:pt idx="2185">
                  <c:v>0.19140247691600318</c:v>
                </c:pt>
                <c:pt idx="2186">
                  <c:v>0.2315363005928763</c:v>
                </c:pt>
                <c:pt idx="2187">
                  <c:v>0.24860618153480252</c:v>
                </c:pt>
                <c:pt idx="2188">
                  <c:v>0.20614141360410193</c:v>
                </c:pt>
                <c:pt idx="2189">
                  <c:v>0.20160964083508878</c:v>
                </c:pt>
                <c:pt idx="2190">
                  <c:v>0.21536839938151334</c:v>
                </c:pt>
                <c:pt idx="2191">
                  <c:v>0.1933537240657327</c:v>
                </c:pt>
                <c:pt idx="2192">
                  <c:v>0.19990532456308216</c:v>
                </c:pt>
                <c:pt idx="2193">
                  <c:v>0.19129431918040393</c:v>
                </c:pt>
                <c:pt idx="2194">
                  <c:v>0.22433597002061062</c:v>
                </c:pt>
                <c:pt idx="2195">
                  <c:v>0.23384410040086936</c:v>
                </c:pt>
                <c:pt idx="2196">
                  <c:v>0.20065630202636697</c:v>
                </c:pt>
                <c:pt idx="2197">
                  <c:v>0.20058454037744253</c:v>
                </c:pt>
                <c:pt idx="2198">
                  <c:v>0.19124347282257295</c:v>
                </c:pt>
                <c:pt idx="2199">
                  <c:v>0.23124472686031888</c:v>
                </c:pt>
                <c:pt idx="2200">
                  <c:v>0.23987390225206504</c:v>
                </c:pt>
                <c:pt idx="2201">
                  <c:v>0.25458808937374472</c:v>
                </c:pt>
                <c:pt idx="2202">
                  <c:v>0.25146290063664656</c:v>
                </c:pt>
                <c:pt idx="2203">
                  <c:v>0.20219069724736935</c:v>
                </c:pt>
                <c:pt idx="2204">
                  <c:v>0.28908689865871912</c:v>
                </c:pt>
                <c:pt idx="2205">
                  <c:v>0.2222764722818201</c:v>
                </c:pt>
                <c:pt idx="2206">
                  <c:v>0.21271404922224232</c:v>
                </c:pt>
                <c:pt idx="2207">
                  <c:v>0.22483593871201757</c:v>
                </c:pt>
                <c:pt idx="2208">
                  <c:v>0.22868143932974033</c:v>
                </c:pt>
                <c:pt idx="2209">
                  <c:v>0.19550240368550545</c:v>
                </c:pt>
                <c:pt idx="2210">
                  <c:v>0.22697828044279975</c:v>
                </c:pt>
                <c:pt idx="2211">
                  <c:v>0.19810486314022174</c:v>
                </c:pt>
                <c:pt idx="2212">
                  <c:v>0.26131211640425711</c:v>
                </c:pt>
                <c:pt idx="2213">
                  <c:v>0.23858888096250119</c:v>
                </c:pt>
                <c:pt idx="2214">
                  <c:v>0.19161575792817565</c:v>
                </c:pt>
                <c:pt idx="2215">
                  <c:v>0.20452145650290418</c:v>
                </c:pt>
                <c:pt idx="2216">
                  <c:v>0.26622905452748741</c:v>
                </c:pt>
                <c:pt idx="2217">
                  <c:v>0.23199741006317895</c:v>
                </c:pt>
                <c:pt idx="2218">
                  <c:v>0.19544283234578555</c:v>
                </c:pt>
                <c:pt idx="2219">
                  <c:v>0.19643114109265802</c:v>
                </c:pt>
                <c:pt idx="2220">
                  <c:v>0.26434064569745258</c:v>
                </c:pt>
                <c:pt idx="2221">
                  <c:v>0.20438301812638376</c:v>
                </c:pt>
                <c:pt idx="2222">
                  <c:v>0.2387107191324975</c:v>
                </c:pt>
                <c:pt idx="2223">
                  <c:v>0.23312643493198279</c:v>
                </c:pt>
                <c:pt idx="2224">
                  <c:v>0.22946365213733225</c:v>
                </c:pt>
                <c:pt idx="2225">
                  <c:v>0.19614865465332881</c:v>
                </c:pt>
                <c:pt idx="2226">
                  <c:v>0.24378134092076875</c:v>
                </c:pt>
                <c:pt idx="2227">
                  <c:v>0.20071088764132647</c:v>
                </c:pt>
                <c:pt idx="2228">
                  <c:v>0.24973126412812263</c:v>
                </c:pt>
                <c:pt idx="2229">
                  <c:v>0.20492100127201002</c:v>
                </c:pt>
                <c:pt idx="2230">
                  <c:v>0.19698530947179846</c:v>
                </c:pt>
                <c:pt idx="2231">
                  <c:v>0.21305462630091437</c:v>
                </c:pt>
                <c:pt idx="2232">
                  <c:v>0.18900957462936288</c:v>
                </c:pt>
                <c:pt idx="2233">
                  <c:v>0.23541267929324125</c:v>
                </c:pt>
                <c:pt idx="2234">
                  <c:v>0.21880784671512046</c:v>
                </c:pt>
                <c:pt idx="2235">
                  <c:v>0.1983302266477695</c:v>
                </c:pt>
                <c:pt idx="2236">
                  <c:v>0.19257301161659757</c:v>
                </c:pt>
                <c:pt idx="2237">
                  <c:v>0.19518634510068011</c:v>
                </c:pt>
                <c:pt idx="2238">
                  <c:v>0.21363480670779245</c:v>
                </c:pt>
                <c:pt idx="2239">
                  <c:v>0.26546979545486743</c:v>
                </c:pt>
                <c:pt idx="2240">
                  <c:v>0.20532798395537205</c:v>
                </c:pt>
                <c:pt idx="2241">
                  <c:v>0.19231164966583905</c:v>
                </c:pt>
                <c:pt idx="2242">
                  <c:v>0.21443517347133934</c:v>
                </c:pt>
                <c:pt idx="2243">
                  <c:v>0.19697397234497416</c:v>
                </c:pt>
                <c:pt idx="2244">
                  <c:v>0.19098064542722729</c:v>
                </c:pt>
                <c:pt idx="2245">
                  <c:v>0.1942310618431321</c:v>
                </c:pt>
                <c:pt idx="2246">
                  <c:v>0.20801389803261797</c:v>
                </c:pt>
                <c:pt idx="2247">
                  <c:v>0.19614810013233155</c:v>
                </c:pt>
                <c:pt idx="2248">
                  <c:v>0.22096386550763636</c:v>
                </c:pt>
                <c:pt idx="2249">
                  <c:v>0.21409978412796665</c:v>
                </c:pt>
                <c:pt idx="2250">
                  <c:v>0.191724664848752</c:v>
                </c:pt>
                <c:pt idx="2251">
                  <c:v>0.22924171361486168</c:v>
                </c:pt>
                <c:pt idx="2252">
                  <c:v>0.24169929032941698</c:v>
                </c:pt>
                <c:pt idx="2253">
                  <c:v>0.19529965927447027</c:v>
                </c:pt>
                <c:pt idx="2254">
                  <c:v>0.20773401936206845</c:v>
                </c:pt>
                <c:pt idx="2255">
                  <c:v>0.21592970917767826</c:v>
                </c:pt>
                <c:pt idx="2256">
                  <c:v>0.19707697626806231</c:v>
                </c:pt>
                <c:pt idx="2257">
                  <c:v>0.22945081413399049</c:v>
                </c:pt>
                <c:pt idx="2258">
                  <c:v>0.2160115715341088</c:v>
                </c:pt>
                <c:pt idx="2259">
                  <c:v>0.24906074681168328</c:v>
                </c:pt>
                <c:pt idx="2260">
                  <c:v>0.20181691598678655</c:v>
                </c:pt>
                <c:pt idx="2261">
                  <c:v>0.19673419283999577</c:v>
                </c:pt>
                <c:pt idx="2262">
                  <c:v>0.19186988458519391</c:v>
                </c:pt>
                <c:pt idx="2263">
                  <c:v>0.19251520857361651</c:v>
                </c:pt>
                <c:pt idx="2264">
                  <c:v>0.2313644576572772</c:v>
                </c:pt>
                <c:pt idx="2265">
                  <c:v>0.2197884439725187</c:v>
                </c:pt>
                <c:pt idx="2266">
                  <c:v>0.1955527869157421</c:v>
                </c:pt>
                <c:pt idx="2267">
                  <c:v>0.23041008153124981</c:v>
                </c:pt>
                <c:pt idx="2268">
                  <c:v>0.24387611701119252</c:v>
                </c:pt>
                <c:pt idx="2269">
                  <c:v>0.22741452115286453</c:v>
                </c:pt>
                <c:pt idx="2270">
                  <c:v>0.23522128142031667</c:v>
                </c:pt>
                <c:pt idx="2271">
                  <c:v>0.24804076781432027</c:v>
                </c:pt>
                <c:pt idx="2272">
                  <c:v>0.23950287828880815</c:v>
                </c:pt>
                <c:pt idx="2273">
                  <c:v>0.21574196024766931</c:v>
                </c:pt>
                <c:pt idx="2274">
                  <c:v>0.22039313057750837</c:v>
                </c:pt>
                <c:pt idx="2275">
                  <c:v>0.25327611897893254</c:v>
                </c:pt>
                <c:pt idx="2276">
                  <c:v>0.19694252935152565</c:v>
                </c:pt>
                <c:pt idx="2277">
                  <c:v>0.21103058830849108</c:v>
                </c:pt>
                <c:pt idx="2278">
                  <c:v>0.20585745169189312</c:v>
                </c:pt>
                <c:pt idx="2279">
                  <c:v>0.19059693736467234</c:v>
                </c:pt>
                <c:pt idx="2280">
                  <c:v>0.21194423547291957</c:v>
                </c:pt>
                <c:pt idx="2281">
                  <c:v>0.18903389085385805</c:v>
                </c:pt>
                <c:pt idx="2282">
                  <c:v>0.26819642023474133</c:v>
                </c:pt>
                <c:pt idx="2283">
                  <c:v>0.21399809283180404</c:v>
                </c:pt>
                <c:pt idx="2284">
                  <c:v>0.19796357421748542</c:v>
                </c:pt>
                <c:pt idx="2285">
                  <c:v>0.23038214360372522</c:v>
                </c:pt>
                <c:pt idx="2286">
                  <c:v>0.22293168304140509</c:v>
                </c:pt>
                <c:pt idx="2287">
                  <c:v>0.20675889367500364</c:v>
                </c:pt>
                <c:pt idx="2288">
                  <c:v>0.19381880515195851</c:v>
                </c:pt>
                <c:pt idx="2289">
                  <c:v>0.23142032490981715</c:v>
                </c:pt>
                <c:pt idx="2290">
                  <c:v>0.20724612484430036</c:v>
                </c:pt>
                <c:pt idx="2291">
                  <c:v>0.19914607475183918</c:v>
                </c:pt>
                <c:pt idx="2292">
                  <c:v>0.19060615023414401</c:v>
                </c:pt>
                <c:pt idx="2293">
                  <c:v>0.19264388218165618</c:v>
                </c:pt>
                <c:pt idx="2294">
                  <c:v>0.21178042842903064</c:v>
                </c:pt>
                <c:pt idx="2295">
                  <c:v>0.21895736793778059</c:v>
                </c:pt>
                <c:pt idx="2296">
                  <c:v>0.19624923853734313</c:v>
                </c:pt>
                <c:pt idx="2297">
                  <c:v>0.21238297839299911</c:v>
                </c:pt>
                <c:pt idx="2298">
                  <c:v>0.22995348723036937</c:v>
                </c:pt>
                <c:pt idx="2299">
                  <c:v>0.19911729318850907</c:v>
                </c:pt>
                <c:pt idx="2300">
                  <c:v>0.22197372859044598</c:v>
                </c:pt>
                <c:pt idx="2301">
                  <c:v>0.19417185147257279</c:v>
                </c:pt>
                <c:pt idx="2302">
                  <c:v>0.21620049748756129</c:v>
                </c:pt>
                <c:pt idx="2303">
                  <c:v>0.1964927486022649</c:v>
                </c:pt>
                <c:pt idx="2304">
                  <c:v>0.19184588721737811</c:v>
                </c:pt>
                <c:pt idx="2305">
                  <c:v>0.237119596553373</c:v>
                </c:pt>
                <c:pt idx="2306">
                  <c:v>0.20058106444891621</c:v>
                </c:pt>
                <c:pt idx="2307">
                  <c:v>0.34202913104901156</c:v>
                </c:pt>
                <c:pt idx="2308">
                  <c:v>0.19463056235239407</c:v>
                </c:pt>
                <c:pt idx="2309">
                  <c:v>0.31183199833800918</c:v>
                </c:pt>
                <c:pt idx="2310">
                  <c:v>0.19246142074370212</c:v>
                </c:pt>
                <c:pt idx="2311">
                  <c:v>0.25722501687610388</c:v>
                </c:pt>
                <c:pt idx="2312">
                  <c:v>0.21595857421069511</c:v>
                </c:pt>
                <c:pt idx="2313">
                  <c:v>0.19215438212947883</c:v>
                </c:pt>
                <c:pt idx="2314">
                  <c:v>0.23258386617270455</c:v>
                </c:pt>
                <c:pt idx="2315">
                  <c:v>0.20801632639286963</c:v>
                </c:pt>
                <c:pt idx="2316">
                  <c:v>0.21111430414932175</c:v>
                </c:pt>
                <c:pt idx="2317">
                  <c:v>0.21737213196308988</c:v>
                </c:pt>
                <c:pt idx="2318">
                  <c:v>0.19026834401079371</c:v>
                </c:pt>
                <c:pt idx="2319">
                  <c:v>0.22170617657395716</c:v>
                </c:pt>
                <c:pt idx="2320">
                  <c:v>0.23747547845143013</c:v>
                </c:pt>
                <c:pt idx="2321">
                  <c:v>0.22551558412443259</c:v>
                </c:pt>
                <c:pt idx="2322">
                  <c:v>0.2337213574863721</c:v>
                </c:pt>
                <c:pt idx="2323">
                  <c:v>0.19844601274411341</c:v>
                </c:pt>
                <c:pt idx="2324">
                  <c:v>0.31335463221071597</c:v>
                </c:pt>
                <c:pt idx="2325">
                  <c:v>0.19474137579769041</c:v>
                </c:pt>
                <c:pt idx="2326">
                  <c:v>0.20847173946901187</c:v>
                </c:pt>
                <c:pt idx="2327">
                  <c:v>0.22842114578312123</c:v>
                </c:pt>
                <c:pt idx="2328">
                  <c:v>0.1892650889482094</c:v>
                </c:pt>
                <c:pt idx="2329">
                  <c:v>0.21231216831881533</c:v>
                </c:pt>
                <c:pt idx="2330">
                  <c:v>0.30681556898834605</c:v>
                </c:pt>
                <c:pt idx="2331">
                  <c:v>0.23062081500207374</c:v>
                </c:pt>
                <c:pt idx="2332">
                  <c:v>0.25506672138715086</c:v>
                </c:pt>
                <c:pt idx="2333">
                  <c:v>0.22341593746101154</c:v>
                </c:pt>
                <c:pt idx="2334">
                  <c:v>0.19296702990211761</c:v>
                </c:pt>
                <c:pt idx="2335">
                  <c:v>0.26920907216587237</c:v>
                </c:pt>
                <c:pt idx="2336">
                  <c:v>0.22371991676763228</c:v>
                </c:pt>
                <c:pt idx="2337">
                  <c:v>0.19523092723483795</c:v>
                </c:pt>
                <c:pt idx="2338">
                  <c:v>0.201140724593903</c:v>
                </c:pt>
                <c:pt idx="2339">
                  <c:v>0.21144349628587294</c:v>
                </c:pt>
                <c:pt idx="2340">
                  <c:v>0.20693199268997023</c:v>
                </c:pt>
                <c:pt idx="2341">
                  <c:v>0.22833248527968747</c:v>
                </c:pt>
                <c:pt idx="2342">
                  <c:v>0.20145714994858743</c:v>
                </c:pt>
                <c:pt idx="2343">
                  <c:v>0.22965893605678403</c:v>
                </c:pt>
                <c:pt idx="2344">
                  <c:v>0.23194586441392043</c:v>
                </c:pt>
                <c:pt idx="2345">
                  <c:v>0.21047548523442156</c:v>
                </c:pt>
                <c:pt idx="2346">
                  <c:v>0.19299814058093614</c:v>
                </c:pt>
                <c:pt idx="2347">
                  <c:v>0.23889168721163903</c:v>
                </c:pt>
                <c:pt idx="2348">
                  <c:v>0.20554220730847067</c:v>
                </c:pt>
                <c:pt idx="2349">
                  <c:v>0.19720471728597253</c:v>
                </c:pt>
                <c:pt idx="2350">
                  <c:v>0.20734795250671945</c:v>
                </c:pt>
                <c:pt idx="2351">
                  <c:v>0.24098468695616151</c:v>
                </c:pt>
                <c:pt idx="2352">
                  <c:v>0.22366261575879307</c:v>
                </c:pt>
                <c:pt idx="2353">
                  <c:v>0.18911327785653065</c:v>
                </c:pt>
                <c:pt idx="2354">
                  <c:v>0.19853435609059747</c:v>
                </c:pt>
                <c:pt idx="2355">
                  <c:v>0.19092296995361843</c:v>
                </c:pt>
                <c:pt idx="2356">
                  <c:v>0.20238590947668425</c:v>
                </c:pt>
                <c:pt idx="2357">
                  <c:v>0.21901387613004195</c:v>
                </c:pt>
                <c:pt idx="2358">
                  <c:v>0.26816743850329072</c:v>
                </c:pt>
                <c:pt idx="2359">
                  <c:v>0.18933815045074159</c:v>
                </c:pt>
                <c:pt idx="2360">
                  <c:v>0.25709366182866111</c:v>
                </c:pt>
                <c:pt idx="2361">
                  <c:v>0.18973855583120319</c:v>
                </c:pt>
                <c:pt idx="2362">
                  <c:v>0.22523683170180783</c:v>
                </c:pt>
                <c:pt idx="2363">
                  <c:v>0.19985250444648861</c:v>
                </c:pt>
                <c:pt idx="2364">
                  <c:v>0.20096149552553882</c:v>
                </c:pt>
                <c:pt idx="2365">
                  <c:v>0.21877202596135434</c:v>
                </c:pt>
                <c:pt idx="2366">
                  <c:v>0.21269704589688768</c:v>
                </c:pt>
                <c:pt idx="2367">
                  <c:v>0.1903992434315579</c:v>
                </c:pt>
                <c:pt idx="2368">
                  <c:v>0.20898297459679227</c:v>
                </c:pt>
                <c:pt idx="2369">
                  <c:v>0.20324925782410014</c:v>
                </c:pt>
                <c:pt idx="2370">
                  <c:v>0.23198371638085147</c:v>
                </c:pt>
                <c:pt idx="2371">
                  <c:v>0.25309551417003723</c:v>
                </c:pt>
                <c:pt idx="2372">
                  <c:v>0.19331429678488729</c:v>
                </c:pt>
                <c:pt idx="2373">
                  <c:v>0.20685302206247483</c:v>
                </c:pt>
                <c:pt idx="2374">
                  <c:v>0.19381673634836849</c:v>
                </c:pt>
                <c:pt idx="2375">
                  <c:v>0.24136935085231914</c:v>
                </c:pt>
                <c:pt idx="2376">
                  <c:v>0.20888927088841514</c:v>
                </c:pt>
                <c:pt idx="2377">
                  <c:v>0.21034079075557419</c:v>
                </c:pt>
                <c:pt idx="2378">
                  <c:v>0.27559356900255433</c:v>
                </c:pt>
                <c:pt idx="2379">
                  <c:v>0.2075229613027752</c:v>
                </c:pt>
                <c:pt idx="2380">
                  <c:v>0.19193208064792069</c:v>
                </c:pt>
                <c:pt idx="2381">
                  <c:v>0.20604350598612578</c:v>
                </c:pt>
                <c:pt idx="2382">
                  <c:v>0.19172307220279164</c:v>
                </c:pt>
                <c:pt idx="2383">
                  <c:v>0.22040759268178861</c:v>
                </c:pt>
                <c:pt idx="2384">
                  <c:v>0.21942633964759437</c:v>
                </c:pt>
                <c:pt idx="2385">
                  <c:v>0.24184896700989539</c:v>
                </c:pt>
                <c:pt idx="2386">
                  <c:v>0.20826205397348072</c:v>
                </c:pt>
                <c:pt idx="2387">
                  <c:v>0.21086776919081943</c:v>
                </c:pt>
                <c:pt idx="2388">
                  <c:v>0.23242872181749177</c:v>
                </c:pt>
                <c:pt idx="2389">
                  <c:v>0.2089054260258521</c:v>
                </c:pt>
                <c:pt idx="2390">
                  <c:v>0.21432339643169221</c:v>
                </c:pt>
                <c:pt idx="2391">
                  <c:v>0.26644847837897978</c:v>
                </c:pt>
                <c:pt idx="2392">
                  <c:v>0.1956844803657114</c:v>
                </c:pt>
                <c:pt idx="2393">
                  <c:v>0.19903771060567954</c:v>
                </c:pt>
                <c:pt idx="2394">
                  <c:v>0.24210647790200962</c:v>
                </c:pt>
                <c:pt idx="2395">
                  <c:v>0.24156740387292411</c:v>
                </c:pt>
                <c:pt idx="2396">
                  <c:v>0.21241614059965716</c:v>
                </c:pt>
                <c:pt idx="2397">
                  <c:v>0.19171031446284911</c:v>
                </c:pt>
                <c:pt idx="2398">
                  <c:v>0.24126749075822476</c:v>
                </c:pt>
                <c:pt idx="2399">
                  <c:v>0.22168641829171357</c:v>
                </c:pt>
                <c:pt idx="2400">
                  <c:v>0.20666503721724799</c:v>
                </c:pt>
                <c:pt idx="2401">
                  <c:v>0.25142015806187362</c:v>
                </c:pt>
                <c:pt idx="2402">
                  <c:v>0.20993488113762113</c:v>
                </c:pt>
                <c:pt idx="2403">
                  <c:v>0.27455285228443932</c:v>
                </c:pt>
                <c:pt idx="2404">
                  <c:v>0.24941675100830754</c:v>
                </c:pt>
                <c:pt idx="2405">
                  <c:v>0.22892931501157857</c:v>
                </c:pt>
                <c:pt idx="2406">
                  <c:v>0.20407532620574675</c:v>
                </c:pt>
                <c:pt idx="2407">
                  <c:v>0.19079307535958775</c:v>
                </c:pt>
                <c:pt idx="2408">
                  <c:v>0.24860465705327284</c:v>
                </c:pt>
                <c:pt idx="2409">
                  <c:v>0.19616983342413194</c:v>
                </c:pt>
                <c:pt idx="2410">
                  <c:v>0.24431152904256864</c:v>
                </c:pt>
                <c:pt idx="2411">
                  <c:v>0.22126666990045749</c:v>
                </c:pt>
                <c:pt idx="2412">
                  <c:v>0.24967619562357984</c:v>
                </c:pt>
                <c:pt idx="2413">
                  <c:v>0.19036704142964672</c:v>
                </c:pt>
                <c:pt idx="2414">
                  <c:v>0.20714955990333259</c:v>
                </c:pt>
                <c:pt idx="2415">
                  <c:v>0.19399405968811642</c:v>
                </c:pt>
                <c:pt idx="2416">
                  <c:v>0.21819359319386888</c:v>
                </c:pt>
                <c:pt idx="2417">
                  <c:v>0.22520186160341046</c:v>
                </c:pt>
                <c:pt idx="2418">
                  <c:v>0.22248845440782575</c:v>
                </c:pt>
                <c:pt idx="2419">
                  <c:v>0.18982828569647195</c:v>
                </c:pt>
                <c:pt idx="2420">
                  <c:v>0.22018290513461219</c:v>
                </c:pt>
                <c:pt idx="2421">
                  <c:v>0.19907407798645907</c:v>
                </c:pt>
                <c:pt idx="2422">
                  <c:v>0.24117123036453242</c:v>
                </c:pt>
                <c:pt idx="2423">
                  <c:v>0.23759662826076117</c:v>
                </c:pt>
                <c:pt idx="2424">
                  <c:v>0.23639814434337356</c:v>
                </c:pt>
                <c:pt idx="2425">
                  <c:v>0.20681881899246082</c:v>
                </c:pt>
                <c:pt idx="2426">
                  <c:v>0.19631409065233538</c:v>
                </c:pt>
                <c:pt idx="2427">
                  <c:v>0.21975339538717192</c:v>
                </c:pt>
                <c:pt idx="2428">
                  <c:v>0.19412369859288237</c:v>
                </c:pt>
                <c:pt idx="2429">
                  <c:v>0.26269261293655771</c:v>
                </c:pt>
                <c:pt idx="2430">
                  <c:v>0.20559111943061892</c:v>
                </c:pt>
                <c:pt idx="2431">
                  <c:v>0.20268787751484843</c:v>
                </c:pt>
                <c:pt idx="2432">
                  <c:v>0.21906765342200549</c:v>
                </c:pt>
                <c:pt idx="2433">
                  <c:v>0.25486381589766066</c:v>
                </c:pt>
                <c:pt idx="2434">
                  <c:v>0.2095836235047682</c:v>
                </c:pt>
                <c:pt idx="2435">
                  <c:v>0.21362439536556929</c:v>
                </c:pt>
                <c:pt idx="2436">
                  <c:v>0.20327413764055716</c:v>
                </c:pt>
                <c:pt idx="2437">
                  <c:v>0.22046726890205168</c:v>
                </c:pt>
                <c:pt idx="2438">
                  <c:v>0.25293910551194509</c:v>
                </c:pt>
                <c:pt idx="2439">
                  <c:v>0.25668990735570091</c:v>
                </c:pt>
                <c:pt idx="2440">
                  <c:v>0.2124762505019353</c:v>
                </c:pt>
                <c:pt idx="2441">
                  <c:v>0.19955209496724491</c:v>
                </c:pt>
                <c:pt idx="2442">
                  <c:v>0.25131923966571412</c:v>
                </c:pt>
                <c:pt idx="2443">
                  <c:v>0.20228281066316892</c:v>
                </c:pt>
                <c:pt idx="2444">
                  <c:v>0.22968406922587548</c:v>
                </c:pt>
                <c:pt idx="2445">
                  <c:v>0.25407651349757976</c:v>
                </c:pt>
                <c:pt idx="2446">
                  <c:v>0.21364769612180612</c:v>
                </c:pt>
                <c:pt idx="2447">
                  <c:v>0.22048661814660811</c:v>
                </c:pt>
                <c:pt idx="2448">
                  <c:v>0.21585618804331888</c:v>
                </c:pt>
                <c:pt idx="2449">
                  <c:v>0.21031304711618462</c:v>
                </c:pt>
                <c:pt idx="2450">
                  <c:v>0.22631420561962015</c:v>
                </c:pt>
                <c:pt idx="2451">
                  <c:v>0.1918599906515159</c:v>
                </c:pt>
                <c:pt idx="2452">
                  <c:v>0.19971298905834006</c:v>
                </c:pt>
                <c:pt idx="2453">
                  <c:v>0.21824748657611487</c:v>
                </c:pt>
                <c:pt idx="2454">
                  <c:v>0.21248540032983082</c:v>
                </c:pt>
                <c:pt idx="2455">
                  <c:v>0.21155425618438034</c:v>
                </c:pt>
                <c:pt idx="2456">
                  <c:v>0.21177256473688308</c:v>
                </c:pt>
                <c:pt idx="2457">
                  <c:v>0.23052877983180631</c:v>
                </c:pt>
                <c:pt idx="2458">
                  <c:v>0.20722343531675488</c:v>
                </c:pt>
                <c:pt idx="2459">
                  <c:v>0.23029377892692854</c:v>
                </c:pt>
                <c:pt idx="2460">
                  <c:v>0.19714267787800935</c:v>
                </c:pt>
                <c:pt idx="2461">
                  <c:v>0.2188279777265261</c:v>
                </c:pt>
                <c:pt idx="2462">
                  <c:v>0.22353235035713911</c:v>
                </c:pt>
                <c:pt idx="2463">
                  <c:v>0.19892635927505803</c:v>
                </c:pt>
                <c:pt idx="2464">
                  <c:v>0.20267637886492773</c:v>
                </c:pt>
                <c:pt idx="2465">
                  <c:v>0.19412389845715491</c:v>
                </c:pt>
                <c:pt idx="2466">
                  <c:v>0.1932242182826826</c:v>
                </c:pt>
                <c:pt idx="2467">
                  <c:v>0.18950603604791219</c:v>
                </c:pt>
                <c:pt idx="2468">
                  <c:v>0.24759271113621259</c:v>
                </c:pt>
                <c:pt idx="2469">
                  <c:v>0.22627923304026451</c:v>
                </c:pt>
                <c:pt idx="2470">
                  <c:v>0.22698824890552441</c:v>
                </c:pt>
                <c:pt idx="2471">
                  <c:v>0.19246629696481313</c:v>
                </c:pt>
                <c:pt idx="2472">
                  <c:v>0.19623513277212262</c:v>
                </c:pt>
                <c:pt idx="2473">
                  <c:v>0.19502833617337315</c:v>
                </c:pt>
                <c:pt idx="2474">
                  <c:v>0.2050396651808033</c:v>
                </c:pt>
                <c:pt idx="2475">
                  <c:v>0.22207364646853617</c:v>
                </c:pt>
                <c:pt idx="2476">
                  <c:v>0.20420679550773227</c:v>
                </c:pt>
                <c:pt idx="2477">
                  <c:v>0.25106977952503173</c:v>
                </c:pt>
                <c:pt idx="2478">
                  <c:v>0.19964602663671258</c:v>
                </c:pt>
                <c:pt idx="2479">
                  <c:v>0.19900551459719665</c:v>
                </c:pt>
                <c:pt idx="2480">
                  <c:v>0.2104993275994857</c:v>
                </c:pt>
                <c:pt idx="2481">
                  <c:v>0.20139114589253398</c:v>
                </c:pt>
                <c:pt idx="2482">
                  <c:v>0.19262217383139096</c:v>
                </c:pt>
                <c:pt idx="2483">
                  <c:v>0.19524747962301903</c:v>
                </c:pt>
                <c:pt idx="2484">
                  <c:v>0.20168697893744467</c:v>
                </c:pt>
                <c:pt idx="2485">
                  <c:v>0.26353111885036307</c:v>
                </c:pt>
                <c:pt idx="2486">
                  <c:v>0.22816399401440474</c:v>
                </c:pt>
                <c:pt idx="2487">
                  <c:v>0.22393261654072166</c:v>
                </c:pt>
                <c:pt idx="2488">
                  <c:v>0.20203131039020897</c:v>
                </c:pt>
                <c:pt idx="2489">
                  <c:v>0.21258585494968266</c:v>
                </c:pt>
                <c:pt idx="2490">
                  <c:v>0.19800166177278605</c:v>
                </c:pt>
                <c:pt idx="2491">
                  <c:v>0.21268783152544771</c:v>
                </c:pt>
                <c:pt idx="2492">
                  <c:v>0.22711390030210282</c:v>
                </c:pt>
                <c:pt idx="2493">
                  <c:v>0.27198207235697713</c:v>
                </c:pt>
                <c:pt idx="2494">
                  <c:v>0.22278365349011067</c:v>
                </c:pt>
                <c:pt idx="2495">
                  <c:v>0.20681277870680978</c:v>
                </c:pt>
                <c:pt idx="2496">
                  <c:v>0.19703995406831853</c:v>
                </c:pt>
                <c:pt idx="2497">
                  <c:v>0.21824421393434032</c:v>
                </c:pt>
                <c:pt idx="2498">
                  <c:v>0.21684217508625084</c:v>
                </c:pt>
                <c:pt idx="2499">
                  <c:v>0.23972011132808141</c:v>
                </c:pt>
                <c:pt idx="2500">
                  <c:v>0.19804372815070678</c:v>
                </c:pt>
                <c:pt idx="2501">
                  <c:v>0.2384953326406942</c:v>
                </c:pt>
                <c:pt idx="2502">
                  <c:v>0.19625643735254605</c:v>
                </c:pt>
                <c:pt idx="2503">
                  <c:v>0.20059172585005905</c:v>
                </c:pt>
                <c:pt idx="2504">
                  <c:v>0.22092597877420264</c:v>
                </c:pt>
                <c:pt idx="2505">
                  <c:v>0.24278507165458826</c:v>
                </c:pt>
                <c:pt idx="2506">
                  <c:v>0.23839651171796813</c:v>
                </c:pt>
                <c:pt idx="2507">
                  <c:v>0.24234978776095817</c:v>
                </c:pt>
                <c:pt idx="2508">
                  <c:v>0.20314687138116155</c:v>
                </c:pt>
                <c:pt idx="2509">
                  <c:v>0.21794180992285953</c:v>
                </c:pt>
                <c:pt idx="2510">
                  <c:v>0.20103767961964608</c:v>
                </c:pt>
                <c:pt idx="2511">
                  <c:v>0.19139410602175702</c:v>
                </c:pt>
                <c:pt idx="2512">
                  <c:v>0.26791238535804934</c:v>
                </c:pt>
                <c:pt idx="2513">
                  <c:v>0.19509300006225058</c:v>
                </c:pt>
                <c:pt idx="2514">
                  <c:v>0.25389475260331595</c:v>
                </c:pt>
                <c:pt idx="2515">
                  <c:v>0.20417481485741246</c:v>
                </c:pt>
                <c:pt idx="2516">
                  <c:v>0.23310257331973455</c:v>
                </c:pt>
                <c:pt idx="2517">
                  <c:v>0.2495949421324748</c:v>
                </c:pt>
                <c:pt idx="2518">
                  <c:v>0.23322108180446779</c:v>
                </c:pt>
                <c:pt idx="2519">
                  <c:v>0.21534611391091402</c:v>
                </c:pt>
                <c:pt idx="2520">
                  <c:v>0.20194228455881186</c:v>
                </c:pt>
                <c:pt idx="2521">
                  <c:v>0.2091408338843723</c:v>
                </c:pt>
                <c:pt idx="2522">
                  <c:v>0.19395247448921824</c:v>
                </c:pt>
                <c:pt idx="2523">
                  <c:v>0.23502153804103768</c:v>
                </c:pt>
                <c:pt idx="2524">
                  <c:v>0.19003826141773822</c:v>
                </c:pt>
                <c:pt idx="2525">
                  <c:v>0.22264942848726996</c:v>
                </c:pt>
                <c:pt idx="2526">
                  <c:v>0.2115093837661145</c:v>
                </c:pt>
                <c:pt idx="2527">
                  <c:v>0.22649203893928926</c:v>
                </c:pt>
                <c:pt idx="2528">
                  <c:v>0.22212629654344834</c:v>
                </c:pt>
                <c:pt idx="2529">
                  <c:v>0.23314659095673018</c:v>
                </c:pt>
                <c:pt idx="2530">
                  <c:v>0.21013126959775583</c:v>
                </c:pt>
                <c:pt idx="2531">
                  <c:v>0.28618116526236287</c:v>
                </c:pt>
                <c:pt idx="2532">
                  <c:v>0.19481989111507228</c:v>
                </c:pt>
                <c:pt idx="2533">
                  <c:v>0.20878176662494238</c:v>
                </c:pt>
                <c:pt idx="2534">
                  <c:v>0.19784506790703557</c:v>
                </c:pt>
                <c:pt idx="2535">
                  <c:v>0.20625601785732262</c:v>
                </c:pt>
                <c:pt idx="2536">
                  <c:v>0.21516880010743814</c:v>
                </c:pt>
                <c:pt idx="2537">
                  <c:v>0.23035622973950803</c:v>
                </c:pt>
                <c:pt idx="2538">
                  <c:v>0.32773452524833152</c:v>
                </c:pt>
                <c:pt idx="2539">
                  <c:v>0.19976849452335826</c:v>
                </c:pt>
                <c:pt idx="2540">
                  <c:v>0.20683807511639679</c:v>
                </c:pt>
                <c:pt idx="2541">
                  <c:v>0.21611557571167586</c:v>
                </c:pt>
                <c:pt idx="2542">
                  <c:v>0.19598376460461012</c:v>
                </c:pt>
                <c:pt idx="2543">
                  <c:v>0.20144884421833378</c:v>
                </c:pt>
                <c:pt idx="2544">
                  <c:v>0.2039884587491643</c:v>
                </c:pt>
                <c:pt idx="2545">
                  <c:v>0.29503556185411461</c:v>
                </c:pt>
                <c:pt idx="2546">
                  <c:v>0.22638906106771506</c:v>
                </c:pt>
                <c:pt idx="2547">
                  <c:v>0.23009550927581088</c:v>
                </c:pt>
                <c:pt idx="2548">
                  <c:v>0.22729594422867705</c:v>
                </c:pt>
                <c:pt idx="2549">
                  <c:v>0.19264400201689755</c:v>
                </c:pt>
                <c:pt idx="2550">
                  <c:v>0.21546584849217518</c:v>
                </c:pt>
                <c:pt idx="2551">
                  <c:v>0.21180546334750688</c:v>
                </c:pt>
                <c:pt idx="2552">
                  <c:v>0.19178188185643935</c:v>
                </c:pt>
                <c:pt idx="2553">
                  <c:v>0.26714951441144469</c:v>
                </c:pt>
                <c:pt idx="2554">
                  <c:v>0.21848963490251971</c:v>
                </c:pt>
                <c:pt idx="2555">
                  <c:v>0.19245042194904263</c:v>
                </c:pt>
                <c:pt idx="2556">
                  <c:v>0.22698240631905037</c:v>
                </c:pt>
                <c:pt idx="2557">
                  <c:v>0.24009376298125507</c:v>
                </c:pt>
                <c:pt idx="2558">
                  <c:v>0.25009327710899215</c:v>
                </c:pt>
                <c:pt idx="2559">
                  <c:v>0.1890108697088701</c:v>
                </c:pt>
                <c:pt idx="2560">
                  <c:v>0.29139618460927857</c:v>
                </c:pt>
                <c:pt idx="2561">
                  <c:v>0.21792660548386861</c:v>
                </c:pt>
                <c:pt idx="2562">
                  <c:v>0.18977234631697956</c:v>
                </c:pt>
                <c:pt idx="2563">
                  <c:v>0.19058328232744035</c:v>
                </c:pt>
                <c:pt idx="2564">
                  <c:v>0.21957304790022217</c:v>
                </c:pt>
                <c:pt idx="2565">
                  <c:v>0.20022312832497716</c:v>
                </c:pt>
                <c:pt idx="2566">
                  <c:v>0.21253864646982659</c:v>
                </c:pt>
                <c:pt idx="2567">
                  <c:v>0.19779164322852066</c:v>
                </c:pt>
                <c:pt idx="2568">
                  <c:v>0.20012684825240123</c:v>
                </c:pt>
                <c:pt idx="2569">
                  <c:v>0.2047449437199465</c:v>
                </c:pt>
                <c:pt idx="2570">
                  <c:v>0.23285122421203397</c:v>
                </c:pt>
                <c:pt idx="2571">
                  <c:v>0.19156824323218616</c:v>
                </c:pt>
                <c:pt idx="2572">
                  <c:v>0.20758040671765959</c:v>
                </c:pt>
                <c:pt idx="2573">
                  <c:v>0.22218986847364086</c:v>
                </c:pt>
                <c:pt idx="2574">
                  <c:v>0.20475376385316804</c:v>
                </c:pt>
                <c:pt idx="2575">
                  <c:v>0.203968532930492</c:v>
                </c:pt>
                <c:pt idx="2576">
                  <c:v>0.22845671037263948</c:v>
                </c:pt>
                <c:pt idx="2577">
                  <c:v>0.25499417891416509</c:v>
                </c:pt>
                <c:pt idx="2578">
                  <c:v>0.20531048251556328</c:v>
                </c:pt>
                <c:pt idx="2579">
                  <c:v>0.21587713848683729</c:v>
                </c:pt>
                <c:pt idx="2580">
                  <c:v>0.20096932001431983</c:v>
                </c:pt>
                <c:pt idx="2581">
                  <c:v>0.19887048314531497</c:v>
                </c:pt>
                <c:pt idx="2582">
                  <c:v>0.21393767036482453</c:v>
                </c:pt>
                <c:pt idx="2583">
                  <c:v>0.23067891357030271</c:v>
                </c:pt>
                <c:pt idx="2584">
                  <c:v>0.25657333829874712</c:v>
                </c:pt>
                <c:pt idx="2585">
                  <c:v>0.19761335277544934</c:v>
                </c:pt>
                <c:pt idx="2586">
                  <c:v>0.21381038504360228</c:v>
                </c:pt>
                <c:pt idx="2587">
                  <c:v>0.2328862954366672</c:v>
                </c:pt>
                <c:pt idx="2588">
                  <c:v>0.19549339088421375</c:v>
                </c:pt>
                <c:pt idx="2589">
                  <c:v>0.23531610408977224</c:v>
                </c:pt>
                <c:pt idx="2590">
                  <c:v>0.2345777815383159</c:v>
                </c:pt>
                <c:pt idx="2591">
                  <c:v>0.21910286201584539</c:v>
                </c:pt>
                <c:pt idx="2592">
                  <c:v>0.20143066873947618</c:v>
                </c:pt>
                <c:pt idx="2593">
                  <c:v>0.24578658719855145</c:v>
                </c:pt>
                <c:pt idx="2594">
                  <c:v>0.20391245809490785</c:v>
                </c:pt>
                <c:pt idx="2595">
                  <c:v>0.20523857169209075</c:v>
                </c:pt>
                <c:pt idx="2596">
                  <c:v>0.1964368898020257</c:v>
                </c:pt>
                <c:pt idx="2597">
                  <c:v>0.26947024808414988</c:v>
                </c:pt>
                <c:pt idx="2598">
                  <c:v>0.26423345474686005</c:v>
                </c:pt>
                <c:pt idx="2599">
                  <c:v>0.21249218370919354</c:v>
                </c:pt>
                <c:pt idx="2600">
                  <c:v>0.2231002775226677</c:v>
                </c:pt>
                <c:pt idx="2601">
                  <c:v>0.22346025199045738</c:v>
                </c:pt>
                <c:pt idx="2602">
                  <c:v>0.22174033377290334</c:v>
                </c:pt>
                <c:pt idx="2603">
                  <c:v>0.1985280992289957</c:v>
                </c:pt>
                <c:pt idx="2604">
                  <c:v>0.23727713084997895</c:v>
                </c:pt>
                <c:pt idx="2605">
                  <c:v>0.19573786120521863</c:v>
                </c:pt>
                <c:pt idx="2606">
                  <c:v>0.26164158657578584</c:v>
                </c:pt>
                <c:pt idx="2607">
                  <c:v>0.26158533718190408</c:v>
                </c:pt>
                <c:pt idx="2608">
                  <c:v>0.24198738160459213</c:v>
                </c:pt>
                <c:pt idx="2609">
                  <c:v>0.21923081774289105</c:v>
                </c:pt>
                <c:pt idx="2610">
                  <c:v>0.19428755097777733</c:v>
                </c:pt>
                <c:pt idx="2611">
                  <c:v>0.22517462021500592</c:v>
                </c:pt>
                <c:pt idx="2612">
                  <c:v>0.19614156254529191</c:v>
                </c:pt>
                <c:pt idx="2613">
                  <c:v>0.20414801142306283</c:v>
                </c:pt>
                <c:pt idx="2614">
                  <c:v>0.25121826617813198</c:v>
                </c:pt>
                <c:pt idx="2615">
                  <c:v>0.1909070187698666</c:v>
                </c:pt>
                <c:pt idx="2616">
                  <c:v>0.22118133371633389</c:v>
                </c:pt>
                <c:pt idx="2617">
                  <c:v>0.20292776709750029</c:v>
                </c:pt>
                <c:pt idx="2618">
                  <c:v>0.19152593561025105</c:v>
                </c:pt>
                <c:pt idx="2619">
                  <c:v>0.20784509288626249</c:v>
                </c:pt>
                <c:pt idx="2620">
                  <c:v>0.21394396263645496</c:v>
                </c:pt>
                <c:pt idx="2621">
                  <c:v>0.2110745201981942</c:v>
                </c:pt>
                <c:pt idx="2622">
                  <c:v>0.19026914274551929</c:v>
                </c:pt>
                <c:pt idx="2623">
                  <c:v>0.26617791246914091</c:v>
                </c:pt>
                <c:pt idx="2624">
                  <c:v>0.25259037772441711</c:v>
                </c:pt>
                <c:pt idx="2625">
                  <c:v>0.2012126443682479</c:v>
                </c:pt>
                <c:pt idx="2626">
                  <c:v>0.19132178566744482</c:v>
                </c:pt>
                <c:pt idx="2627">
                  <c:v>0.20206891609022548</c:v>
                </c:pt>
                <c:pt idx="2628">
                  <c:v>0.20319305713264862</c:v>
                </c:pt>
                <c:pt idx="2629">
                  <c:v>0.20330501159865363</c:v>
                </c:pt>
                <c:pt idx="2630">
                  <c:v>0.23932131510992422</c:v>
                </c:pt>
                <c:pt idx="2631">
                  <c:v>0.20803830215022315</c:v>
                </c:pt>
                <c:pt idx="2632">
                  <c:v>0.20417549238892105</c:v>
                </c:pt>
                <c:pt idx="2633">
                  <c:v>0.20549334956212653</c:v>
                </c:pt>
                <c:pt idx="2634">
                  <c:v>0.21078212447391764</c:v>
                </c:pt>
                <c:pt idx="2635">
                  <c:v>0.31559124005419098</c:v>
                </c:pt>
                <c:pt idx="2636">
                  <c:v>0.19745138341887125</c:v>
                </c:pt>
                <c:pt idx="2637">
                  <c:v>0.20520851863185979</c:v>
                </c:pt>
                <c:pt idx="2638">
                  <c:v>0.21597006407144947</c:v>
                </c:pt>
                <c:pt idx="2639">
                  <c:v>0.202600356178878</c:v>
                </c:pt>
                <c:pt idx="2640">
                  <c:v>0.1905047353909621</c:v>
                </c:pt>
                <c:pt idx="2641">
                  <c:v>0.2002986243455934</c:v>
                </c:pt>
                <c:pt idx="2642">
                  <c:v>0.21089070302891605</c:v>
                </c:pt>
                <c:pt idx="2643">
                  <c:v>0.20742438631365134</c:v>
                </c:pt>
                <c:pt idx="2644">
                  <c:v>0.20442074530801546</c:v>
                </c:pt>
                <c:pt idx="2645">
                  <c:v>0.23860950996740854</c:v>
                </c:pt>
                <c:pt idx="2646">
                  <c:v>0.22957785905309114</c:v>
                </c:pt>
                <c:pt idx="2647">
                  <c:v>0.22730688342449501</c:v>
                </c:pt>
                <c:pt idx="2648">
                  <c:v>0.19044427650036239</c:v>
                </c:pt>
                <c:pt idx="2649">
                  <c:v>0.21307429254313978</c:v>
                </c:pt>
                <c:pt idx="2650">
                  <c:v>0.18947574031143996</c:v>
                </c:pt>
                <c:pt idx="2651">
                  <c:v>0.19495124307927159</c:v>
                </c:pt>
                <c:pt idx="2652">
                  <c:v>0.225105558262507</c:v>
                </c:pt>
                <c:pt idx="2653">
                  <c:v>0.20440869851523166</c:v>
                </c:pt>
                <c:pt idx="2654">
                  <c:v>0.21553479578036577</c:v>
                </c:pt>
                <c:pt idx="2655">
                  <c:v>0.21489811892501071</c:v>
                </c:pt>
                <c:pt idx="2656">
                  <c:v>0.21060212540123058</c:v>
                </c:pt>
                <c:pt idx="2657">
                  <c:v>0.20786331186884568</c:v>
                </c:pt>
                <c:pt idx="2658">
                  <c:v>0.2086913190507407</c:v>
                </c:pt>
                <c:pt idx="2659">
                  <c:v>0.19717467843759176</c:v>
                </c:pt>
                <c:pt idx="2660">
                  <c:v>0.1968704688553756</c:v>
                </c:pt>
                <c:pt idx="2661">
                  <c:v>0.21050509233062184</c:v>
                </c:pt>
                <c:pt idx="2662">
                  <c:v>0.21483439460673559</c:v>
                </c:pt>
                <c:pt idx="2663">
                  <c:v>0.23827764845614466</c:v>
                </c:pt>
                <c:pt idx="2664">
                  <c:v>0.20350280092656498</c:v>
                </c:pt>
                <c:pt idx="2665">
                  <c:v>0.32156509293600855</c:v>
                </c:pt>
                <c:pt idx="2666">
                  <c:v>0.20652212660001334</c:v>
                </c:pt>
                <c:pt idx="2667">
                  <c:v>0.22980991125031436</c:v>
                </c:pt>
                <c:pt idx="2668">
                  <c:v>0.19449671834907153</c:v>
                </c:pt>
                <c:pt idx="2669">
                  <c:v>0.25489179146414631</c:v>
                </c:pt>
                <c:pt idx="2670">
                  <c:v>0.240116568334893</c:v>
                </c:pt>
                <c:pt idx="2671">
                  <c:v>0.22497408070278296</c:v>
                </c:pt>
                <c:pt idx="2672">
                  <c:v>0.20300054249927732</c:v>
                </c:pt>
                <c:pt idx="2673">
                  <c:v>0.21885441342408407</c:v>
                </c:pt>
                <c:pt idx="2674">
                  <c:v>0.20368821805660578</c:v>
                </c:pt>
                <c:pt idx="2675">
                  <c:v>0.20550547840778813</c:v>
                </c:pt>
                <c:pt idx="2676">
                  <c:v>0.19141532002234879</c:v>
                </c:pt>
                <c:pt idx="2677">
                  <c:v>0.18994701361337357</c:v>
                </c:pt>
                <c:pt idx="2678">
                  <c:v>0.24499575896817513</c:v>
                </c:pt>
                <c:pt idx="2679">
                  <c:v>0.19618583528751529</c:v>
                </c:pt>
                <c:pt idx="2680">
                  <c:v>0.22334848838097507</c:v>
                </c:pt>
                <c:pt idx="2681">
                  <c:v>0.20498650643340985</c:v>
                </c:pt>
                <c:pt idx="2682">
                  <c:v>0.21326304213361919</c:v>
                </c:pt>
                <c:pt idx="2683">
                  <c:v>0.26206597781056507</c:v>
                </c:pt>
                <c:pt idx="2684">
                  <c:v>0.19095327534421325</c:v>
                </c:pt>
                <c:pt idx="2685">
                  <c:v>0.1897706637485507</c:v>
                </c:pt>
                <c:pt idx="2686">
                  <c:v>0.30141822074834312</c:v>
                </c:pt>
                <c:pt idx="2687">
                  <c:v>0.27152861863384781</c:v>
                </c:pt>
                <c:pt idx="2688">
                  <c:v>0.1987203496391399</c:v>
                </c:pt>
                <c:pt idx="2689">
                  <c:v>0.20001346528001729</c:v>
                </c:pt>
                <c:pt idx="2690">
                  <c:v>0.19796026522557006</c:v>
                </c:pt>
                <c:pt idx="2691">
                  <c:v>0.19757673569632994</c:v>
                </c:pt>
                <c:pt idx="2692">
                  <c:v>0.19446436850744084</c:v>
                </c:pt>
                <c:pt idx="2693">
                  <c:v>0.2047986257570201</c:v>
                </c:pt>
                <c:pt idx="2694">
                  <c:v>0.18906239134709502</c:v>
                </c:pt>
                <c:pt idx="2695">
                  <c:v>0.21420098485334862</c:v>
                </c:pt>
                <c:pt idx="2696">
                  <c:v>0.24481690599724401</c:v>
                </c:pt>
                <c:pt idx="2697">
                  <c:v>0.19044087062212653</c:v>
                </c:pt>
                <c:pt idx="2698">
                  <c:v>0.20660107245509465</c:v>
                </c:pt>
                <c:pt idx="2699">
                  <c:v>0.20630271788500554</c:v>
                </c:pt>
                <c:pt idx="2700">
                  <c:v>0.19574698202000804</c:v>
                </c:pt>
                <c:pt idx="2701">
                  <c:v>0.20444753749864036</c:v>
                </c:pt>
                <c:pt idx="2702">
                  <c:v>0.22472240493937207</c:v>
                </c:pt>
                <c:pt idx="2703">
                  <c:v>0.21033317108922847</c:v>
                </c:pt>
                <c:pt idx="2704">
                  <c:v>0.22421005983419323</c:v>
                </c:pt>
                <c:pt idx="2705">
                  <c:v>0.19206469428715203</c:v>
                </c:pt>
                <c:pt idx="2706">
                  <c:v>0.19207482249974067</c:v>
                </c:pt>
                <c:pt idx="2707">
                  <c:v>0.19252102122608658</c:v>
                </c:pt>
                <c:pt idx="2708">
                  <c:v>0.20782557547562366</c:v>
                </c:pt>
                <c:pt idx="2709">
                  <c:v>0.19771232204296432</c:v>
                </c:pt>
                <c:pt idx="2710">
                  <c:v>0.196836693180271</c:v>
                </c:pt>
                <c:pt idx="2711">
                  <c:v>0.19478053572669224</c:v>
                </c:pt>
                <c:pt idx="2712">
                  <c:v>0.20894006989997901</c:v>
                </c:pt>
                <c:pt idx="2713">
                  <c:v>0.19875087768581959</c:v>
                </c:pt>
                <c:pt idx="2714">
                  <c:v>0.19967726456655538</c:v>
                </c:pt>
                <c:pt idx="2715">
                  <c:v>0.20153511746272806</c:v>
                </c:pt>
                <c:pt idx="2716">
                  <c:v>0.22560725649923621</c:v>
                </c:pt>
                <c:pt idx="2717">
                  <c:v>0.199154960566432</c:v>
                </c:pt>
                <c:pt idx="2718">
                  <c:v>0.19584077298674107</c:v>
                </c:pt>
                <c:pt idx="2719">
                  <c:v>0.24301245779701069</c:v>
                </c:pt>
                <c:pt idx="2720">
                  <c:v>0.21097635273314766</c:v>
                </c:pt>
                <c:pt idx="2721">
                  <c:v>0.19993682947920774</c:v>
                </c:pt>
                <c:pt idx="2722">
                  <c:v>0.19208741304005464</c:v>
                </c:pt>
                <c:pt idx="2723">
                  <c:v>0.21925900521631117</c:v>
                </c:pt>
                <c:pt idx="2724">
                  <c:v>0.18987629993650282</c:v>
                </c:pt>
                <c:pt idx="2725">
                  <c:v>0.19360113198817733</c:v>
                </c:pt>
                <c:pt idx="2726">
                  <c:v>0.20020832923728338</c:v>
                </c:pt>
                <c:pt idx="2727">
                  <c:v>0.20808225466499941</c:v>
                </c:pt>
                <c:pt idx="2728">
                  <c:v>0.20723315478131843</c:v>
                </c:pt>
                <c:pt idx="2729">
                  <c:v>0.22388542306947479</c:v>
                </c:pt>
                <c:pt idx="2730">
                  <c:v>0.29440808874529567</c:v>
                </c:pt>
                <c:pt idx="2731">
                  <c:v>0.22006285047412397</c:v>
                </c:pt>
                <c:pt idx="2732">
                  <c:v>0.20553812140897224</c:v>
                </c:pt>
                <c:pt idx="2733">
                  <c:v>0.20841119332736521</c:v>
                </c:pt>
                <c:pt idx="2734">
                  <c:v>0.21636983047264097</c:v>
                </c:pt>
                <c:pt idx="2735">
                  <c:v>0.2392461985951724</c:v>
                </c:pt>
                <c:pt idx="2736">
                  <c:v>0.19076292185240395</c:v>
                </c:pt>
                <c:pt idx="2737">
                  <c:v>0.23049202005736619</c:v>
                </c:pt>
                <c:pt idx="2738">
                  <c:v>0.19597936508719208</c:v>
                </c:pt>
                <c:pt idx="2739">
                  <c:v>0.20557798653669174</c:v>
                </c:pt>
                <c:pt idx="2740">
                  <c:v>0.20057973903582027</c:v>
                </c:pt>
                <c:pt idx="2741">
                  <c:v>0.20541445118309604</c:v>
                </c:pt>
                <c:pt idx="2742">
                  <c:v>0.1969436360433327</c:v>
                </c:pt>
                <c:pt idx="2743">
                  <c:v>0.24839279292023972</c:v>
                </c:pt>
                <c:pt idx="2744">
                  <c:v>0.21544615254618882</c:v>
                </c:pt>
                <c:pt idx="2745">
                  <c:v>0.19037686967307152</c:v>
                </c:pt>
                <c:pt idx="2746">
                  <c:v>0.20928134649650951</c:v>
                </c:pt>
                <c:pt idx="2747">
                  <c:v>0.27377284070874713</c:v>
                </c:pt>
                <c:pt idx="2748">
                  <c:v>0.21786228699878141</c:v>
                </c:pt>
                <c:pt idx="2749">
                  <c:v>0.19377360098741439</c:v>
                </c:pt>
                <c:pt idx="2750">
                  <c:v>0.20124705272002311</c:v>
                </c:pt>
                <c:pt idx="2751">
                  <c:v>0.22601521593565829</c:v>
                </c:pt>
                <c:pt idx="2752">
                  <c:v>0.24845648735699224</c:v>
                </c:pt>
                <c:pt idx="2753">
                  <c:v>0.19248220839940403</c:v>
                </c:pt>
                <c:pt idx="2754">
                  <c:v>0.28248615001810762</c:v>
                </c:pt>
                <c:pt idx="2755">
                  <c:v>0.20208961900754108</c:v>
                </c:pt>
                <c:pt idx="2756">
                  <c:v>0.24552915341681769</c:v>
                </c:pt>
                <c:pt idx="2757">
                  <c:v>0.2084004397885264</c:v>
                </c:pt>
                <c:pt idx="2758">
                  <c:v>0.20513069459047945</c:v>
                </c:pt>
                <c:pt idx="2759">
                  <c:v>0.19324043849173267</c:v>
                </c:pt>
                <c:pt idx="2760">
                  <c:v>0.21900270159460297</c:v>
                </c:pt>
                <c:pt idx="2761">
                  <c:v>0.22200622896389074</c:v>
                </c:pt>
                <c:pt idx="2762">
                  <c:v>0.19949081802036031</c:v>
                </c:pt>
                <c:pt idx="2763">
                  <c:v>0.23155637393997844</c:v>
                </c:pt>
                <c:pt idx="2764">
                  <c:v>0.24597215134704373</c:v>
                </c:pt>
                <c:pt idx="2765">
                  <c:v>0.27959222389632538</c:v>
                </c:pt>
                <c:pt idx="2766">
                  <c:v>0.24095632612382242</c:v>
                </c:pt>
                <c:pt idx="2767">
                  <c:v>0.19905514066492391</c:v>
                </c:pt>
                <c:pt idx="2768">
                  <c:v>0.20285267897096543</c:v>
                </c:pt>
                <c:pt idx="2769">
                  <c:v>0.20350584866038299</c:v>
                </c:pt>
                <c:pt idx="2770">
                  <c:v>0.22400018842085631</c:v>
                </c:pt>
                <c:pt idx="2771">
                  <c:v>0.21214126803359684</c:v>
                </c:pt>
                <c:pt idx="2772">
                  <c:v>0.23337150822895214</c:v>
                </c:pt>
                <c:pt idx="2773">
                  <c:v>0.21268495846656307</c:v>
                </c:pt>
                <c:pt idx="2774">
                  <c:v>0.1888056945718371</c:v>
                </c:pt>
                <c:pt idx="2775">
                  <c:v>0.25105177103816739</c:v>
                </c:pt>
                <c:pt idx="2776">
                  <c:v>0.22565696246001052</c:v>
                </c:pt>
                <c:pt idx="2777">
                  <c:v>0.22316342412819221</c:v>
                </c:pt>
                <c:pt idx="2778">
                  <c:v>0.18951375821633112</c:v>
                </c:pt>
                <c:pt idx="2779">
                  <c:v>0.20318841217360592</c:v>
                </c:pt>
                <c:pt idx="2780">
                  <c:v>0.24443271750781165</c:v>
                </c:pt>
                <c:pt idx="2781">
                  <c:v>0.22136924405550501</c:v>
                </c:pt>
                <c:pt idx="2782">
                  <c:v>0.19557033418608213</c:v>
                </c:pt>
                <c:pt idx="2783">
                  <c:v>0.21958371725915682</c:v>
                </c:pt>
                <c:pt idx="2784">
                  <c:v>0.22597771303204123</c:v>
                </c:pt>
                <c:pt idx="2785">
                  <c:v>0.19113354612105785</c:v>
                </c:pt>
                <c:pt idx="2786">
                  <c:v>0.20109258719824449</c:v>
                </c:pt>
                <c:pt idx="2787">
                  <c:v>0.20067135146158538</c:v>
                </c:pt>
                <c:pt idx="2788">
                  <c:v>0.21238060694535887</c:v>
                </c:pt>
                <c:pt idx="2789">
                  <c:v>0.20992135420522912</c:v>
                </c:pt>
                <c:pt idx="2790">
                  <c:v>0.20721895539954449</c:v>
                </c:pt>
                <c:pt idx="2791">
                  <c:v>0.26287319845505147</c:v>
                </c:pt>
                <c:pt idx="2792">
                  <c:v>0.19624141413462592</c:v>
                </c:pt>
                <c:pt idx="2793">
                  <c:v>0.23520264129362706</c:v>
                </c:pt>
                <c:pt idx="2794">
                  <c:v>0.25659133841658366</c:v>
                </c:pt>
                <c:pt idx="2795">
                  <c:v>0.2139954144751918</c:v>
                </c:pt>
                <c:pt idx="2796">
                  <c:v>0.19274886074898678</c:v>
                </c:pt>
                <c:pt idx="2797">
                  <c:v>0.199590244100049</c:v>
                </c:pt>
                <c:pt idx="2798">
                  <c:v>0.2310658915456075</c:v>
                </c:pt>
                <c:pt idx="2799">
                  <c:v>0.2425709299157113</c:v>
                </c:pt>
                <c:pt idx="2800">
                  <c:v>0.21881989189850778</c:v>
                </c:pt>
                <c:pt idx="2801">
                  <c:v>0.21541557416489085</c:v>
                </c:pt>
                <c:pt idx="2802">
                  <c:v>0.20485142079976604</c:v>
                </c:pt>
                <c:pt idx="2803">
                  <c:v>0.21454352725296483</c:v>
                </c:pt>
                <c:pt idx="2804">
                  <c:v>0.20215102768647603</c:v>
                </c:pt>
                <c:pt idx="2805">
                  <c:v>0.19823095244589092</c:v>
                </c:pt>
                <c:pt idx="2806">
                  <c:v>0.20344028823889851</c:v>
                </c:pt>
                <c:pt idx="2807">
                  <c:v>0.19911415480061753</c:v>
                </c:pt>
                <c:pt idx="2808">
                  <c:v>0.19214390867762976</c:v>
                </c:pt>
                <c:pt idx="2809">
                  <c:v>0.21123804831749238</c:v>
                </c:pt>
                <c:pt idx="2810">
                  <c:v>0.24279391691654983</c:v>
                </c:pt>
                <c:pt idx="2811">
                  <c:v>0.22331185603644069</c:v>
                </c:pt>
                <c:pt idx="2812">
                  <c:v>0.19904752398232048</c:v>
                </c:pt>
                <c:pt idx="2813">
                  <c:v>0.25091453011347054</c:v>
                </c:pt>
                <c:pt idx="2814">
                  <c:v>0.21769324896568304</c:v>
                </c:pt>
                <c:pt idx="2815">
                  <c:v>0.2010326023765476</c:v>
                </c:pt>
                <c:pt idx="2816">
                  <c:v>0.26929132299138619</c:v>
                </c:pt>
                <c:pt idx="2817">
                  <c:v>0.18868906293633236</c:v>
                </c:pt>
                <c:pt idx="2818">
                  <c:v>0.20634242646348647</c:v>
                </c:pt>
                <c:pt idx="2819">
                  <c:v>0.24062634086125348</c:v>
                </c:pt>
                <c:pt idx="2820">
                  <c:v>0.21607975534988036</c:v>
                </c:pt>
                <c:pt idx="2821">
                  <c:v>0.20144400133644746</c:v>
                </c:pt>
                <c:pt idx="2822">
                  <c:v>0.19616053405457143</c:v>
                </c:pt>
                <c:pt idx="2823">
                  <c:v>0.19924426362467426</c:v>
                </c:pt>
                <c:pt idx="2824">
                  <c:v>0.19794215925738964</c:v>
                </c:pt>
                <c:pt idx="2825">
                  <c:v>0.19208037760578589</c:v>
                </c:pt>
                <c:pt idx="2826">
                  <c:v>0.20127141774462967</c:v>
                </c:pt>
                <c:pt idx="2827">
                  <c:v>0.23592937516906873</c:v>
                </c:pt>
                <c:pt idx="2828">
                  <c:v>0.19908261556940449</c:v>
                </c:pt>
                <c:pt idx="2829">
                  <c:v>0.20149277754469908</c:v>
                </c:pt>
                <c:pt idx="2830">
                  <c:v>0.22900492414782797</c:v>
                </c:pt>
                <c:pt idx="2831">
                  <c:v>0.22637582054509622</c:v>
                </c:pt>
                <c:pt idx="2832">
                  <c:v>0.22294926986188252</c:v>
                </c:pt>
                <c:pt idx="2833">
                  <c:v>0.18965904638880146</c:v>
                </c:pt>
                <c:pt idx="2834">
                  <c:v>0.26600409983056306</c:v>
                </c:pt>
                <c:pt idx="2835">
                  <c:v>0.28847577339992181</c:v>
                </c:pt>
                <c:pt idx="2836">
                  <c:v>0.19642809551060922</c:v>
                </c:pt>
                <c:pt idx="2837">
                  <c:v>0.2066289070510228</c:v>
                </c:pt>
                <c:pt idx="2838">
                  <c:v>0.25124251575325113</c:v>
                </c:pt>
                <c:pt idx="2839">
                  <c:v>0.19891386424409482</c:v>
                </c:pt>
                <c:pt idx="2840">
                  <c:v>0.20903910547035826</c:v>
                </c:pt>
                <c:pt idx="2841">
                  <c:v>0.21298241271892313</c:v>
                </c:pt>
                <c:pt idx="2842">
                  <c:v>0.19064555882512077</c:v>
                </c:pt>
                <c:pt idx="2843">
                  <c:v>0.20330375973443682</c:v>
                </c:pt>
                <c:pt idx="2844">
                  <c:v>0.20683175359757783</c:v>
                </c:pt>
                <c:pt idx="2845">
                  <c:v>0.23981975925820562</c:v>
                </c:pt>
                <c:pt idx="2846">
                  <c:v>0.2661163346679481</c:v>
                </c:pt>
                <c:pt idx="2847">
                  <c:v>0.18998327355562883</c:v>
                </c:pt>
                <c:pt idx="2848">
                  <c:v>0.19150360496376162</c:v>
                </c:pt>
                <c:pt idx="2849">
                  <c:v>0.22657883788768476</c:v>
                </c:pt>
                <c:pt idx="2850">
                  <c:v>0.23226426372719688</c:v>
                </c:pt>
                <c:pt idx="2851">
                  <c:v>0.21979537716886091</c:v>
                </c:pt>
                <c:pt idx="2852">
                  <c:v>0.22652725424004733</c:v>
                </c:pt>
                <c:pt idx="2853">
                  <c:v>0.19186079279771756</c:v>
                </c:pt>
                <c:pt idx="2854">
                  <c:v>0.1977569458406668</c:v>
                </c:pt>
                <c:pt idx="2855">
                  <c:v>0.21134276893566686</c:v>
                </c:pt>
                <c:pt idx="2856">
                  <c:v>0.23992416439986827</c:v>
                </c:pt>
                <c:pt idx="2857">
                  <c:v>0.20706583068180437</c:v>
                </c:pt>
                <c:pt idx="2858">
                  <c:v>0.20605137709651686</c:v>
                </c:pt>
                <c:pt idx="2859">
                  <c:v>0.22941245332221769</c:v>
                </c:pt>
                <c:pt idx="2860">
                  <c:v>0.24323665971325034</c:v>
                </c:pt>
                <c:pt idx="2861">
                  <c:v>0.18901559181294614</c:v>
                </c:pt>
                <c:pt idx="2862">
                  <c:v>0.19835026480602957</c:v>
                </c:pt>
                <c:pt idx="2863">
                  <c:v>0.24755700216512341</c:v>
                </c:pt>
                <c:pt idx="2864">
                  <c:v>0.24133223754549452</c:v>
                </c:pt>
                <c:pt idx="2865">
                  <c:v>0.22946344005789687</c:v>
                </c:pt>
                <c:pt idx="2866">
                  <c:v>0.22808153830715822</c:v>
                </c:pt>
                <c:pt idx="2867">
                  <c:v>0.18924396365493332</c:v>
                </c:pt>
                <c:pt idx="2868">
                  <c:v>0.19650590957756037</c:v>
                </c:pt>
                <c:pt idx="2869">
                  <c:v>0.20571623018841706</c:v>
                </c:pt>
                <c:pt idx="2870">
                  <c:v>0.24599487754491031</c:v>
                </c:pt>
                <c:pt idx="2871">
                  <c:v>0.22046072056921659</c:v>
                </c:pt>
                <c:pt idx="2872">
                  <c:v>0.20807675674849185</c:v>
                </c:pt>
                <c:pt idx="2873">
                  <c:v>0.28556090785018273</c:v>
                </c:pt>
                <c:pt idx="2874">
                  <c:v>0.19657963565924158</c:v>
                </c:pt>
                <c:pt idx="2875">
                  <c:v>0.19397378838567494</c:v>
                </c:pt>
                <c:pt idx="2876">
                  <c:v>0.20511903073686105</c:v>
                </c:pt>
                <c:pt idx="2877">
                  <c:v>0.23657783220301065</c:v>
                </c:pt>
                <c:pt idx="2878">
                  <c:v>0.24506830192490986</c:v>
                </c:pt>
                <c:pt idx="2879">
                  <c:v>0.19661316100220891</c:v>
                </c:pt>
                <c:pt idx="2880">
                  <c:v>0.19635952846457227</c:v>
                </c:pt>
                <c:pt idx="2881">
                  <c:v>0.22133091474986916</c:v>
                </c:pt>
                <c:pt idx="2882">
                  <c:v>0.24670610070475646</c:v>
                </c:pt>
                <c:pt idx="2883">
                  <c:v>0.236261009618535</c:v>
                </c:pt>
                <c:pt idx="2884">
                  <c:v>0.22203916416915065</c:v>
                </c:pt>
                <c:pt idx="2885">
                  <c:v>0.1942270711539576</c:v>
                </c:pt>
                <c:pt idx="2886">
                  <c:v>0.19750293711914468</c:v>
                </c:pt>
                <c:pt idx="2887">
                  <c:v>0.22300548142190824</c:v>
                </c:pt>
                <c:pt idx="2888">
                  <c:v>0.19847723071483767</c:v>
                </c:pt>
                <c:pt idx="2889">
                  <c:v>0.25763989161805856</c:v>
                </c:pt>
                <c:pt idx="2890">
                  <c:v>0.1954145352864792</c:v>
                </c:pt>
                <c:pt idx="2891">
                  <c:v>0.21641793984292457</c:v>
                </c:pt>
                <c:pt idx="2892">
                  <c:v>0.21283102983112989</c:v>
                </c:pt>
                <c:pt idx="2893">
                  <c:v>0.19697504480459266</c:v>
                </c:pt>
                <c:pt idx="2894">
                  <c:v>0.23867609731823439</c:v>
                </c:pt>
                <c:pt idx="2895">
                  <c:v>0.19278531997798262</c:v>
                </c:pt>
                <c:pt idx="2896">
                  <c:v>0.20250432198542573</c:v>
                </c:pt>
                <c:pt idx="2897">
                  <c:v>0.20294404544222902</c:v>
                </c:pt>
                <c:pt idx="2898">
                  <c:v>0.22249543075980888</c:v>
                </c:pt>
                <c:pt idx="2899">
                  <c:v>0.24247368326433277</c:v>
                </c:pt>
                <c:pt idx="2900">
                  <c:v>0.25209199847394559</c:v>
                </c:pt>
                <c:pt idx="2901">
                  <c:v>0.24984588578552883</c:v>
                </c:pt>
                <c:pt idx="2902">
                  <c:v>0.2027527287789819</c:v>
                </c:pt>
                <c:pt idx="2903">
                  <c:v>0.20878804378386992</c:v>
                </c:pt>
                <c:pt idx="2904">
                  <c:v>0.20675993876552681</c:v>
                </c:pt>
                <c:pt idx="2905">
                  <c:v>0.21412312094602406</c:v>
                </c:pt>
                <c:pt idx="2906">
                  <c:v>0.22550887187993365</c:v>
                </c:pt>
                <c:pt idx="2907">
                  <c:v>0.19243221446827147</c:v>
                </c:pt>
                <c:pt idx="2908">
                  <c:v>0.194510656930836</c:v>
                </c:pt>
                <c:pt idx="2909">
                  <c:v>0.19077957542718679</c:v>
                </c:pt>
                <c:pt idx="2910">
                  <c:v>0.21633989105967169</c:v>
                </c:pt>
                <c:pt idx="2911">
                  <c:v>0.22850041845189012</c:v>
                </c:pt>
                <c:pt idx="2912">
                  <c:v>0.21590183513760017</c:v>
                </c:pt>
                <c:pt idx="2913">
                  <c:v>0.19623744480727251</c:v>
                </c:pt>
                <c:pt idx="2914">
                  <c:v>0.2289430526688519</c:v>
                </c:pt>
                <c:pt idx="2915">
                  <c:v>0.19804515782927262</c:v>
                </c:pt>
                <c:pt idx="2916">
                  <c:v>0.21458721913509515</c:v>
                </c:pt>
                <c:pt idx="2917">
                  <c:v>0.25267804727023702</c:v>
                </c:pt>
                <c:pt idx="2918">
                  <c:v>0.20408378976396727</c:v>
                </c:pt>
                <c:pt idx="2919">
                  <c:v>0.19772564248682142</c:v>
                </c:pt>
                <c:pt idx="2920">
                  <c:v>0.32277250761412313</c:v>
                </c:pt>
                <c:pt idx="2921">
                  <c:v>0.26957131132928086</c:v>
                </c:pt>
                <c:pt idx="2922">
                  <c:v>0.20218137932491198</c:v>
                </c:pt>
                <c:pt idx="2923">
                  <c:v>0.20215967962330131</c:v>
                </c:pt>
                <c:pt idx="2924">
                  <c:v>0.18893991594115811</c:v>
                </c:pt>
                <c:pt idx="2925">
                  <c:v>0.19373746200732131</c:v>
                </c:pt>
                <c:pt idx="2926">
                  <c:v>0.21765245071701619</c:v>
                </c:pt>
                <c:pt idx="2927">
                  <c:v>0.21047502524635972</c:v>
                </c:pt>
                <c:pt idx="2928">
                  <c:v>0.24544984729879021</c:v>
                </c:pt>
                <c:pt idx="2929">
                  <c:v>0.24622591586961357</c:v>
                </c:pt>
                <c:pt idx="2930">
                  <c:v>0.19062398312243706</c:v>
                </c:pt>
                <c:pt idx="2931">
                  <c:v>0.19559799512462575</c:v>
                </c:pt>
                <c:pt idx="2932">
                  <c:v>0.19810949123791927</c:v>
                </c:pt>
                <c:pt idx="2933">
                  <c:v>0.18915511306702923</c:v>
                </c:pt>
                <c:pt idx="2934">
                  <c:v>0.21745036606946047</c:v>
                </c:pt>
                <c:pt idx="2935">
                  <c:v>0.20094587131625763</c:v>
                </c:pt>
                <c:pt idx="2936">
                  <c:v>0.19075852609537627</c:v>
                </c:pt>
                <c:pt idx="2937">
                  <c:v>0.19667303076674786</c:v>
                </c:pt>
                <c:pt idx="2938">
                  <c:v>0.18899343531276153</c:v>
                </c:pt>
                <c:pt idx="2939">
                  <c:v>0.23459788205543972</c:v>
                </c:pt>
                <c:pt idx="2940">
                  <c:v>0.19589410891744052</c:v>
                </c:pt>
                <c:pt idx="2941">
                  <c:v>0.20603241712523246</c:v>
                </c:pt>
                <c:pt idx="2942">
                  <c:v>0.22537924957593888</c:v>
                </c:pt>
                <c:pt idx="2943">
                  <c:v>0.23625584625356033</c:v>
                </c:pt>
                <c:pt idx="2944">
                  <c:v>0.213856891131527</c:v>
                </c:pt>
                <c:pt idx="2945">
                  <c:v>0.21563240222769461</c:v>
                </c:pt>
                <c:pt idx="2946">
                  <c:v>0.19888663268420695</c:v>
                </c:pt>
                <c:pt idx="2947">
                  <c:v>0.2014737647369034</c:v>
                </c:pt>
                <c:pt idx="2948">
                  <c:v>0.19312451429354491</c:v>
                </c:pt>
                <c:pt idx="2949">
                  <c:v>0.19508021071603893</c:v>
                </c:pt>
                <c:pt idx="2950">
                  <c:v>0.2309606826361196</c:v>
                </c:pt>
                <c:pt idx="2951">
                  <c:v>0.19244888968778048</c:v>
                </c:pt>
                <c:pt idx="2952">
                  <c:v>0.20689396752436784</c:v>
                </c:pt>
                <c:pt idx="2953">
                  <c:v>0.19054955763466758</c:v>
                </c:pt>
                <c:pt idx="2954">
                  <c:v>0.22310056824992244</c:v>
                </c:pt>
                <c:pt idx="2955">
                  <c:v>0.20686775536365021</c:v>
                </c:pt>
                <c:pt idx="2956">
                  <c:v>0.25394105633227237</c:v>
                </c:pt>
                <c:pt idx="2957">
                  <c:v>0.20810350008971323</c:v>
                </c:pt>
                <c:pt idx="2958">
                  <c:v>0.19847432990556488</c:v>
                </c:pt>
                <c:pt idx="2959">
                  <c:v>0.19669709840276942</c:v>
                </c:pt>
                <c:pt idx="2960">
                  <c:v>0.22345261404142711</c:v>
                </c:pt>
                <c:pt idx="2961">
                  <c:v>0.23081280584816818</c:v>
                </c:pt>
                <c:pt idx="2962">
                  <c:v>0.28870618753289401</c:v>
                </c:pt>
                <c:pt idx="2963">
                  <c:v>0.2474529608256153</c:v>
                </c:pt>
                <c:pt idx="2964">
                  <c:v>0.20135778340385421</c:v>
                </c:pt>
                <c:pt idx="2965">
                  <c:v>0.2501778620060468</c:v>
                </c:pt>
                <c:pt idx="2966">
                  <c:v>0.19258947293678172</c:v>
                </c:pt>
                <c:pt idx="2967">
                  <c:v>0.20098672370266432</c:v>
                </c:pt>
                <c:pt idx="2968">
                  <c:v>0.2372305597269902</c:v>
                </c:pt>
                <c:pt idx="2969">
                  <c:v>0.18927970354074297</c:v>
                </c:pt>
                <c:pt idx="2970">
                  <c:v>0.19450920801128785</c:v>
                </c:pt>
                <c:pt idx="2971">
                  <c:v>0.22692290728481626</c:v>
                </c:pt>
                <c:pt idx="2972">
                  <c:v>0.20049303817638617</c:v>
                </c:pt>
                <c:pt idx="2973">
                  <c:v>0.19231256396073976</c:v>
                </c:pt>
                <c:pt idx="2974">
                  <c:v>0.21901415450245129</c:v>
                </c:pt>
                <c:pt idx="2975">
                  <c:v>0.19886075270414744</c:v>
                </c:pt>
                <c:pt idx="2976">
                  <c:v>0.2483078830864259</c:v>
                </c:pt>
                <c:pt idx="2977">
                  <c:v>0.20424823680239626</c:v>
                </c:pt>
                <c:pt idx="2978">
                  <c:v>0.19169978302251714</c:v>
                </c:pt>
                <c:pt idx="2979">
                  <c:v>0.20296863362387554</c:v>
                </c:pt>
                <c:pt idx="2980">
                  <c:v>0.21094977819725755</c:v>
                </c:pt>
                <c:pt idx="2981">
                  <c:v>0.2272821289814099</c:v>
                </c:pt>
                <c:pt idx="2982">
                  <c:v>0.19393487734621936</c:v>
                </c:pt>
                <c:pt idx="2983">
                  <c:v>0.19338636949148777</c:v>
                </c:pt>
                <c:pt idx="2984">
                  <c:v>0.25072573100685386</c:v>
                </c:pt>
                <c:pt idx="2985">
                  <c:v>0.22644282707203711</c:v>
                </c:pt>
                <c:pt idx="2986">
                  <c:v>0.28162761500518413</c:v>
                </c:pt>
                <c:pt idx="2987">
                  <c:v>0.20475068189325071</c:v>
                </c:pt>
                <c:pt idx="2988">
                  <c:v>0.19740482409162921</c:v>
                </c:pt>
                <c:pt idx="2989">
                  <c:v>0.20148032245667535</c:v>
                </c:pt>
                <c:pt idx="2990">
                  <c:v>0.31647397905296143</c:v>
                </c:pt>
                <c:pt idx="2991">
                  <c:v>0.20251148396150959</c:v>
                </c:pt>
                <c:pt idx="2992">
                  <c:v>0.27727862256283303</c:v>
                </c:pt>
                <c:pt idx="2993">
                  <c:v>0.21316736421334767</c:v>
                </c:pt>
                <c:pt idx="2994">
                  <c:v>0.20273434131807935</c:v>
                </c:pt>
                <c:pt idx="2995">
                  <c:v>0.21830158493637386</c:v>
                </c:pt>
                <c:pt idx="2996">
                  <c:v>0.21346921692582271</c:v>
                </c:pt>
                <c:pt idx="2997">
                  <c:v>0.20903371142308055</c:v>
                </c:pt>
                <c:pt idx="2998">
                  <c:v>0.25498598831932806</c:v>
                </c:pt>
                <c:pt idx="2999">
                  <c:v>0.23475071996412017</c:v>
                </c:pt>
                <c:pt idx="3000">
                  <c:v>0.27001754697007951</c:v>
                </c:pt>
                <c:pt idx="3001">
                  <c:v>0.20297659336324728</c:v>
                </c:pt>
                <c:pt idx="3002">
                  <c:v>0.21161646228538145</c:v>
                </c:pt>
                <c:pt idx="3003">
                  <c:v>0.19329077567912364</c:v>
                </c:pt>
                <c:pt idx="3004">
                  <c:v>0.21852386291417364</c:v>
                </c:pt>
                <c:pt idx="3005">
                  <c:v>0.20140716816087836</c:v>
                </c:pt>
                <c:pt idx="3006">
                  <c:v>0.19357717952152065</c:v>
                </c:pt>
                <c:pt idx="3007">
                  <c:v>0.19264975007654328</c:v>
                </c:pt>
                <c:pt idx="3008">
                  <c:v>0.19521947192481923</c:v>
                </c:pt>
                <c:pt idx="3009">
                  <c:v>0.19020493492293875</c:v>
                </c:pt>
                <c:pt idx="3010">
                  <c:v>0.25612168867717627</c:v>
                </c:pt>
                <c:pt idx="3011">
                  <c:v>0.19763955951961287</c:v>
                </c:pt>
                <c:pt idx="3012">
                  <c:v>0.19908223910327755</c:v>
                </c:pt>
                <c:pt idx="3013">
                  <c:v>0.24538580144118213</c:v>
                </c:pt>
                <c:pt idx="3014">
                  <c:v>0.19159561209579551</c:v>
                </c:pt>
                <c:pt idx="3015">
                  <c:v>0.29675155430209316</c:v>
                </c:pt>
                <c:pt idx="3016">
                  <c:v>0.20998140795838754</c:v>
                </c:pt>
                <c:pt idx="3017">
                  <c:v>0.20271267335082313</c:v>
                </c:pt>
                <c:pt idx="3018">
                  <c:v>0.19733911398961965</c:v>
                </c:pt>
                <c:pt idx="3019">
                  <c:v>0.21594738224851442</c:v>
                </c:pt>
                <c:pt idx="3020">
                  <c:v>0.29773643345151568</c:v>
                </c:pt>
                <c:pt idx="3021">
                  <c:v>0.21412737761462272</c:v>
                </c:pt>
                <c:pt idx="3022">
                  <c:v>0.2305090273772453</c:v>
                </c:pt>
                <c:pt idx="3023">
                  <c:v>0.21001190681797233</c:v>
                </c:pt>
                <c:pt idx="3024">
                  <c:v>0.19039026678079513</c:v>
                </c:pt>
                <c:pt idx="3025">
                  <c:v>0.19352389117079985</c:v>
                </c:pt>
                <c:pt idx="3026">
                  <c:v>0.23522081271333542</c:v>
                </c:pt>
                <c:pt idx="3027">
                  <c:v>0.27968782412947657</c:v>
                </c:pt>
                <c:pt idx="3028">
                  <c:v>0.19187898210360832</c:v>
                </c:pt>
                <c:pt idx="3029">
                  <c:v>0.23262788794308847</c:v>
                </c:pt>
                <c:pt idx="3030">
                  <c:v>0.26547758884282374</c:v>
                </c:pt>
                <c:pt idx="3031">
                  <c:v>0.19002531553690941</c:v>
                </c:pt>
                <c:pt idx="3032">
                  <c:v>0.19746964989514301</c:v>
                </c:pt>
                <c:pt idx="3033">
                  <c:v>0.19146840912079266</c:v>
                </c:pt>
                <c:pt idx="3034">
                  <c:v>0.20495890401440756</c:v>
                </c:pt>
                <c:pt idx="3035">
                  <c:v>0.2063741629415993</c:v>
                </c:pt>
                <c:pt idx="3036">
                  <c:v>0.21749912620019821</c:v>
                </c:pt>
                <c:pt idx="3037">
                  <c:v>0.29930502741997334</c:v>
                </c:pt>
                <c:pt idx="3038">
                  <c:v>0.27870633238683806</c:v>
                </c:pt>
                <c:pt idx="3039">
                  <c:v>0.21707259807713314</c:v>
                </c:pt>
                <c:pt idx="3040">
                  <c:v>0.20538288889527154</c:v>
                </c:pt>
                <c:pt idx="3041">
                  <c:v>0.1971092711370466</c:v>
                </c:pt>
                <c:pt idx="3042">
                  <c:v>0.20666584668999394</c:v>
                </c:pt>
                <c:pt idx="3043">
                  <c:v>0.2338947927865738</c:v>
                </c:pt>
                <c:pt idx="3044">
                  <c:v>0.20303928134570237</c:v>
                </c:pt>
                <c:pt idx="3045">
                  <c:v>0.20827115319127582</c:v>
                </c:pt>
                <c:pt idx="3046">
                  <c:v>0.23190234955457606</c:v>
                </c:pt>
                <c:pt idx="3047">
                  <c:v>0.26819025585924616</c:v>
                </c:pt>
                <c:pt idx="3048">
                  <c:v>0.20988555584668173</c:v>
                </c:pt>
                <c:pt idx="3049">
                  <c:v>0.24698604936532184</c:v>
                </c:pt>
                <c:pt idx="3050">
                  <c:v>0.24482616411853581</c:v>
                </c:pt>
                <c:pt idx="3051">
                  <c:v>0.21148604890429051</c:v>
                </c:pt>
                <c:pt idx="3052">
                  <c:v>0.22378251233670268</c:v>
                </c:pt>
                <c:pt idx="3053">
                  <c:v>0.1902117469935129</c:v>
                </c:pt>
                <c:pt idx="3054">
                  <c:v>0.2155367504438849</c:v>
                </c:pt>
                <c:pt idx="3055">
                  <c:v>0.32936481182193728</c:v>
                </c:pt>
                <c:pt idx="3056">
                  <c:v>0.26391476496508953</c:v>
                </c:pt>
                <c:pt idx="3057">
                  <c:v>0.20305457216406178</c:v>
                </c:pt>
                <c:pt idx="3058">
                  <c:v>0.22891298947231051</c:v>
                </c:pt>
                <c:pt idx="3059">
                  <c:v>0.21278811537991205</c:v>
                </c:pt>
                <c:pt idx="3060">
                  <c:v>0.24053981071517092</c:v>
                </c:pt>
                <c:pt idx="3061">
                  <c:v>0.20692695189045793</c:v>
                </c:pt>
                <c:pt idx="3062">
                  <c:v>0.23904132524599461</c:v>
                </c:pt>
                <c:pt idx="3063">
                  <c:v>0.31873099954076278</c:v>
                </c:pt>
                <c:pt idx="3064">
                  <c:v>0.23594973985570453</c:v>
                </c:pt>
                <c:pt idx="3065">
                  <c:v>0.19057364260470741</c:v>
                </c:pt>
                <c:pt idx="3066">
                  <c:v>0.20779175683071532</c:v>
                </c:pt>
                <c:pt idx="3067">
                  <c:v>0.19696069516581516</c:v>
                </c:pt>
                <c:pt idx="3068">
                  <c:v>0.19641038134587516</c:v>
                </c:pt>
                <c:pt idx="3069">
                  <c:v>0.21221869040648675</c:v>
                </c:pt>
                <c:pt idx="3070">
                  <c:v>0.24836753866848488</c:v>
                </c:pt>
                <c:pt idx="3071">
                  <c:v>0.1905976310865706</c:v>
                </c:pt>
                <c:pt idx="3072">
                  <c:v>0.24812165223917915</c:v>
                </c:pt>
                <c:pt idx="3073">
                  <c:v>0.19036421390879724</c:v>
                </c:pt>
                <c:pt idx="3074">
                  <c:v>0.25185068852312625</c:v>
                </c:pt>
                <c:pt idx="3075">
                  <c:v>0.19003280054776084</c:v>
                </c:pt>
                <c:pt idx="3076">
                  <c:v>0.21332560194681052</c:v>
                </c:pt>
                <c:pt idx="3077">
                  <c:v>0.18898419946129164</c:v>
                </c:pt>
                <c:pt idx="3078">
                  <c:v>0.2083877649484871</c:v>
                </c:pt>
                <c:pt idx="3079">
                  <c:v>0.19980455833639937</c:v>
                </c:pt>
                <c:pt idx="3080">
                  <c:v>0.22670533646805835</c:v>
                </c:pt>
                <c:pt idx="3081">
                  <c:v>0.20021115790416363</c:v>
                </c:pt>
                <c:pt idx="3082">
                  <c:v>0.24279282523002238</c:v>
                </c:pt>
                <c:pt idx="3083">
                  <c:v>0.23194385295316927</c:v>
                </c:pt>
                <c:pt idx="3084">
                  <c:v>0.19116907642353226</c:v>
                </c:pt>
                <c:pt idx="3085">
                  <c:v>0.21721558246147235</c:v>
                </c:pt>
                <c:pt idx="3086">
                  <c:v>0.21290341401756058</c:v>
                </c:pt>
                <c:pt idx="3087">
                  <c:v>0.20505546691727444</c:v>
                </c:pt>
                <c:pt idx="3088">
                  <c:v>0.20236569072503022</c:v>
                </c:pt>
                <c:pt idx="3089">
                  <c:v>0.20834043326586782</c:v>
                </c:pt>
                <c:pt idx="3090">
                  <c:v>0.20705700441264635</c:v>
                </c:pt>
                <c:pt idx="3091">
                  <c:v>0.19627221119129207</c:v>
                </c:pt>
                <c:pt idx="3092">
                  <c:v>0.25285734687261546</c:v>
                </c:pt>
                <c:pt idx="3093">
                  <c:v>0.19443112603903034</c:v>
                </c:pt>
                <c:pt idx="3094">
                  <c:v>0.22599894636211976</c:v>
                </c:pt>
                <c:pt idx="3095">
                  <c:v>0.19638128112846692</c:v>
                </c:pt>
                <c:pt idx="3096">
                  <c:v>0.19972233969217906</c:v>
                </c:pt>
                <c:pt idx="3097">
                  <c:v>0.18886724000212599</c:v>
                </c:pt>
                <c:pt idx="3098">
                  <c:v>0.20339251369274908</c:v>
                </c:pt>
                <c:pt idx="3099">
                  <c:v>0.27820855904151148</c:v>
                </c:pt>
                <c:pt idx="3100">
                  <c:v>0.22588968838997456</c:v>
                </c:pt>
                <c:pt idx="3101">
                  <c:v>0.19844085035043427</c:v>
                </c:pt>
                <c:pt idx="3102">
                  <c:v>0.21734096418188442</c:v>
                </c:pt>
                <c:pt idx="3103">
                  <c:v>0.19771464540162206</c:v>
                </c:pt>
                <c:pt idx="3104">
                  <c:v>0.20712030592629968</c:v>
                </c:pt>
                <c:pt idx="3105">
                  <c:v>0.21252078898619228</c:v>
                </c:pt>
                <c:pt idx="3106">
                  <c:v>0.19503315356137968</c:v>
                </c:pt>
                <c:pt idx="3107">
                  <c:v>0.19379578903709643</c:v>
                </c:pt>
                <c:pt idx="3108">
                  <c:v>0.27486672846876387</c:v>
                </c:pt>
                <c:pt idx="3109">
                  <c:v>0.22113280708137234</c:v>
                </c:pt>
                <c:pt idx="3110">
                  <c:v>0.19842624170525597</c:v>
                </c:pt>
                <c:pt idx="3111">
                  <c:v>0.20618860402372055</c:v>
                </c:pt>
                <c:pt idx="3112">
                  <c:v>0.19241587105290495</c:v>
                </c:pt>
                <c:pt idx="3113">
                  <c:v>0.31040487194663247</c:v>
                </c:pt>
                <c:pt idx="3114">
                  <c:v>0.23266905062951418</c:v>
                </c:pt>
                <c:pt idx="3115">
                  <c:v>0.19256675458537778</c:v>
                </c:pt>
                <c:pt idx="3116">
                  <c:v>0.21389060713780167</c:v>
                </c:pt>
                <c:pt idx="3117">
                  <c:v>0.19148607087277889</c:v>
                </c:pt>
                <c:pt idx="3118">
                  <c:v>0.1953577872138669</c:v>
                </c:pt>
                <c:pt idx="3119">
                  <c:v>0.23891351295190852</c:v>
                </c:pt>
                <c:pt idx="3120">
                  <c:v>0.2448533467078583</c:v>
                </c:pt>
                <c:pt idx="3121">
                  <c:v>0.20445846399785794</c:v>
                </c:pt>
                <c:pt idx="3122">
                  <c:v>0.20540774562354966</c:v>
                </c:pt>
                <c:pt idx="3123">
                  <c:v>0.19357295337901881</c:v>
                </c:pt>
                <c:pt idx="3124">
                  <c:v>0.19785791972436201</c:v>
                </c:pt>
                <c:pt idx="3125">
                  <c:v>0.19644356459852247</c:v>
                </c:pt>
                <c:pt idx="3126">
                  <c:v>0.20167031040490013</c:v>
                </c:pt>
                <c:pt idx="3127">
                  <c:v>0.21113303736949457</c:v>
                </c:pt>
                <c:pt idx="3128">
                  <c:v>0.20548952444742385</c:v>
                </c:pt>
                <c:pt idx="3129">
                  <c:v>0.27095954480491918</c:v>
                </c:pt>
                <c:pt idx="3130">
                  <c:v>0.19021681552148353</c:v>
                </c:pt>
                <c:pt idx="3131">
                  <c:v>0.1927369388741961</c:v>
                </c:pt>
                <c:pt idx="3132">
                  <c:v>0.20913876248446692</c:v>
                </c:pt>
                <c:pt idx="3133">
                  <c:v>0.21188912960677431</c:v>
                </c:pt>
                <c:pt idx="3134">
                  <c:v>0.21964259344142181</c:v>
                </c:pt>
                <c:pt idx="3135">
                  <c:v>0.23679169406842498</c:v>
                </c:pt>
                <c:pt idx="3136">
                  <c:v>0.22791477349316108</c:v>
                </c:pt>
                <c:pt idx="3137">
                  <c:v>0.21346546602443289</c:v>
                </c:pt>
                <c:pt idx="3138">
                  <c:v>0.2917274438426698</c:v>
                </c:pt>
                <c:pt idx="3139">
                  <c:v>0.21660087316457116</c:v>
                </c:pt>
                <c:pt idx="3140">
                  <c:v>0.19839829095421035</c:v>
                </c:pt>
                <c:pt idx="3141">
                  <c:v>0.20148635244292046</c:v>
                </c:pt>
                <c:pt idx="3142">
                  <c:v>0.20527628990816313</c:v>
                </c:pt>
                <c:pt idx="3143">
                  <c:v>0.24334520708035373</c:v>
                </c:pt>
                <c:pt idx="3144">
                  <c:v>0.20627719950744169</c:v>
                </c:pt>
                <c:pt idx="3145">
                  <c:v>0.23683332610878749</c:v>
                </c:pt>
                <c:pt idx="3146">
                  <c:v>0.24202661644522144</c:v>
                </c:pt>
                <c:pt idx="3147">
                  <c:v>0.22974479260721001</c:v>
                </c:pt>
                <c:pt idx="3148">
                  <c:v>0.24657324272729803</c:v>
                </c:pt>
                <c:pt idx="3149">
                  <c:v>0.19609787077622981</c:v>
                </c:pt>
                <c:pt idx="3150">
                  <c:v>0.19098054202040224</c:v>
                </c:pt>
                <c:pt idx="3151">
                  <c:v>0.19169379522620139</c:v>
                </c:pt>
                <c:pt idx="3152">
                  <c:v>0.20376132153010446</c:v>
                </c:pt>
                <c:pt idx="3153">
                  <c:v>0.19039496965224503</c:v>
                </c:pt>
                <c:pt idx="3154">
                  <c:v>0.25073730356647378</c:v>
                </c:pt>
                <c:pt idx="3155">
                  <c:v>0.21450132925494855</c:v>
                </c:pt>
                <c:pt idx="3156">
                  <c:v>0.1958522546737686</c:v>
                </c:pt>
                <c:pt idx="3157">
                  <c:v>0.26089404504055802</c:v>
                </c:pt>
                <c:pt idx="3158">
                  <c:v>0.21389497939270039</c:v>
                </c:pt>
                <c:pt idx="3159">
                  <c:v>0.19751678102315412</c:v>
                </c:pt>
                <c:pt idx="3160">
                  <c:v>0.22103797658995653</c:v>
                </c:pt>
                <c:pt idx="3161">
                  <c:v>0.21209350149177911</c:v>
                </c:pt>
                <c:pt idx="3162">
                  <c:v>0.19962705879356787</c:v>
                </c:pt>
                <c:pt idx="3163">
                  <c:v>0.26597892443110088</c:v>
                </c:pt>
                <c:pt idx="3164">
                  <c:v>0.20458977232367037</c:v>
                </c:pt>
                <c:pt idx="3165">
                  <c:v>0.21391149318579336</c:v>
                </c:pt>
                <c:pt idx="3166">
                  <c:v>0.21389627785191737</c:v>
                </c:pt>
                <c:pt idx="3167">
                  <c:v>0.19463932877154078</c:v>
                </c:pt>
                <c:pt idx="3168">
                  <c:v>0.26772196560485217</c:v>
                </c:pt>
                <c:pt idx="3169">
                  <c:v>0.19193127023404538</c:v>
                </c:pt>
                <c:pt idx="3170">
                  <c:v>0.21070558943175213</c:v>
                </c:pt>
                <c:pt idx="3171">
                  <c:v>0.20310796813307622</c:v>
                </c:pt>
                <c:pt idx="3172">
                  <c:v>0.25918965399845212</c:v>
                </c:pt>
                <c:pt idx="3173">
                  <c:v>0.19689593178099266</c:v>
                </c:pt>
                <c:pt idx="3174">
                  <c:v>0.23449318535816713</c:v>
                </c:pt>
                <c:pt idx="3175">
                  <c:v>0.22065889029709207</c:v>
                </c:pt>
                <c:pt idx="3176">
                  <c:v>0.1982332989964502</c:v>
                </c:pt>
                <c:pt idx="3177">
                  <c:v>0.20236186735331457</c:v>
                </c:pt>
                <c:pt idx="3178">
                  <c:v>0.19557650866565757</c:v>
                </c:pt>
                <c:pt idx="3179">
                  <c:v>0.19880297285562887</c:v>
                </c:pt>
                <c:pt idx="3180">
                  <c:v>0.22772530348755957</c:v>
                </c:pt>
                <c:pt idx="3181">
                  <c:v>0.188910266564534</c:v>
                </c:pt>
                <c:pt idx="3182">
                  <c:v>0.19750699439549149</c:v>
                </c:pt>
                <c:pt idx="3183">
                  <c:v>0.22270502248394447</c:v>
                </c:pt>
                <c:pt idx="3184">
                  <c:v>0.19481188345982234</c:v>
                </c:pt>
                <c:pt idx="3185">
                  <c:v>0.23380236795310894</c:v>
                </c:pt>
                <c:pt idx="3186">
                  <c:v>0.20913733512103255</c:v>
                </c:pt>
                <c:pt idx="3187">
                  <c:v>0.24190400125921371</c:v>
                </c:pt>
                <c:pt idx="3188">
                  <c:v>0.22147270782404799</c:v>
                </c:pt>
                <c:pt idx="3189">
                  <c:v>0.21285736102467134</c:v>
                </c:pt>
                <c:pt idx="3190">
                  <c:v>0.22048145590734286</c:v>
                </c:pt>
                <c:pt idx="3191">
                  <c:v>0.21398350538645372</c:v>
                </c:pt>
                <c:pt idx="3192">
                  <c:v>0.2101792727971375</c:v>
                </c:pt>
                <c:pt idx="3193">
                  <c:v>0.22566546516746797</c:v>
                </c:pt>
                <c:pt idx="3194">
                  <c:v>0.21778406060200003</c:v>
                </c:pt>
                <c:pt idx="3195">
                  <c:v>0.21003495460998547</c:v>
                </c:pt>
                <c:pt idx="3196">
                  <c:v>0.19789837268179103</c:v>
                </c:pt>
                <c:pt idx="3197">
                  <c:v>0.20861583859297883</c:v>
                </c:pt>
                <c:pt idx="3198">
                  <c:v>0.19047618696727123</c:v>
                </c:pt>
                <c:pt idx="3199">
                  <c:v>0.21521187487306156</c:v>
                </c:pt>
                <c:pt idx="3200">
                  <c:v>0.26015854773093372</c:v>
                </c:pt>
                <c:pt idx="3201">
                  <c:v>0.25070979671626176</c:v>
                </c:pt>
                <c:pt idx="3202">
                  <c:v>0.2349865772204571</c:v>
                </c:pt>
                <c:pt idx="3203">
                  <c:v>0.19562381132752421</c:v>
                </c:pt>
                <c:pt idx="3204">
                  <c:v>0.25869721671396656</c:v>
                </c:pt>
                <c:pt idx="3205">
                  <c:v>0.20202715745865998</c:v>
                </c:pt>
                <c:pt idx="3206">
                  <c:v>0.21914647433802345</c:v>
                </c:pt>
                <c:pt idx="3207">
                  <c:v>0.25730168098269107</c:v>
                </c:pt>
                <c:pt idx="3208">
                  <c:v>0.20473181089246401</c:v>
                </c:pt>
                <c:pt idx="3209">
                  <c:v>0.23665648912387463</c:v>
                </c:pt>
                <c:pt idx="3210">
                  <c:v>0.22062194122986192</c:v>
                </c:pt>
                <c:pt idx="3211">
                  <c:v>0.18982238631896103</c:v>
                </c:pt>
                <c:pt idx="3212">
                  <c:v>0.19562093151563509</c:v>
                </c:pt>
                <c:pt idx="3213">
                  <c:v>0.25063323824206557</c:v>
                </c:pt>
                <c:pt idx="3214">
                  <c:v>0.22851516805556721</c:v>
                </c:pt>
                <c:pt idx="3215">
                  <c:v>0.25838517109243531</c:v>
                </c:pt>
                <c:pt idx="3216">
                  <c:v>0.19792350150859689</c:v>
                </c:pt>
                <c:pt idx="3217">
                  <c:v>0.20411715859573085</c:v>
                </c:pt>
                <c:pt idx="3218">
                  <c:v>0.23345504876121689</c:v>
                </c:pt>
                <c:pt idx="3219">
                  <c:v>0.19238673062520203</c:v>
                </c:pt>
                <c:pt idx="3220">
                  <c:v>0.19310747054058205</c:v>
                </c:pt>
                <c:pt idx="3221">
                  <c:v>0.23467840422348105</c:v>
                </c:pt>
                <c:pt idx="3222">
                  <c:v>0.22883928677852253</c:v>
                </c:pt>
                <c:pt idx="3223">
                  <c:v>0.20824086976213663</c:v>
                </c:pt>
                <c:pt idx="3224">
                  <c:v>0.22616802953619686</c:v>
                </c:pt>
                <c:pt idx="3225">
                  <c:v>0.24788938657529166</c:v>
                </c:pt>
                <c:pt idx="3226">
                  <c:v>0.22787615886112986</c:v>
                </c:pt>
                <c:pt idx="3227">
                  <c:v>0.22269268945978879</c:v>
                </c:pt>
                <c:pt idx="3228">
                  <c:v>0.20525232304955573</c:v>
                </c:pt>
                <c:pt idx="3229">
                  <c:v>0.19717379560761697</c:v>
                </c:pt>
                <c:pt idx="3230">
                  <c:v>0.19340539327053066</c:v>
                </c:pt>
                <c:pt idx="3231">
                  <c:v>0.19403882042654264</c:v>
                </c:pt>
                <c:pt idx="3232">
                  <c:v>0.20219921725230369</c:v>
                </c:pt>
                <c:pt idx="3233">
                  <c:v>0.2221779299820319</c:v>
                </c:pt>
                <c:pt idx="3234">
                  <c:v>0.19119165549691661</c:v>
                </c:pt>
                <c:pt idx="3235">
                  <c:v>0.26830344950140123</c:v>
                </c:pt>
                <c:pt idx="3236">
                  <c:v>0.20469954168918261</c:v>
                </c:pt>
                <c:pt idx="3237">
                  <c:v>0.19559621862070053</c:v>
                </c:pt>
                <c:pt idx="3238">
                  <c:v>0.20972156664727407</c:v>
                </c:pt>
                <c:pt idx="3239">
                  <c:v>0.21280451985658269</c:v>
                </c:pt>
                <c:pt idx="3240">
                  <c:v>0.19283817839013326</c:v>
                </c:pt>
                <c:pt idx="3241">
                  <c:v>0.19005488212615967</c:v>
                </c:pt>
                <c:pt idx="3242">
                  <c:v>0.20466488420468185</c:v>
                </c:pt>
                <c:pt idx="3243">
                  <c:v>0.19749795840003331</c:v>
                </c:pt>
                <c:pt idx="3244">
                  <c:v>0.21409592727442056</c:v>
                </c:pt>
                <c:pt idx="3245">
                  <c:v>0.22220212180306309</c:v>
                </c:pt>
                <c:pt idx="3246">
                  <c:v>0.25429690403728938</c:v>
                </c:pt>
                <c:pt idx="3247">
                  <c:v>0.20757610450051334</c:v>
                </c:pt>
                <c:pt idx="3248">
                  <c:v>0.19077224213414412</c:v>
                </c:pt>
                <c:pt idx="3249">
                  <c:v>0.24005978867922062</c:v>
                </c:pt>
                <c:pt idx="3250">
                  <c:v>0.20958139575966034</c:v>
                </c:pt>
                <c:pt idx="3251">
                  <c:v>0.20645354918841935</c:v>
                </c:pt>
                <c:pt idx="3252">
                  <c:v>0.23225054074993856</c:v>
                </c:pt>
                <c:pt idx="3253">
                  <c:v>0.23493142178852364</c:v>
                </c:pt>
                <c:pt idx="3254">
                  <c:v>0.21312778217431055</c:v>
                </c:pt>
                <c:pt idx="3255">
                  <c:v>0.22473075329584008</c:v>
                </c:pt>
                <c:pt idx="3256">
                  <c:v>0.21176032701365061</c:v>
                </c:pt>
                <c:pt idx="3257">
                  <c:v>0.23999576450806642</c:v>
                </c:pt>
                <c:pt idx="3258">
                  <c:v>0.20059256181749088</c:v>
                </c:pt>
                <c:pt idx="3259">
                  <c:v>0.21229163444679403</c:v>
                </c:pt>
                <c:pt idx="3260">
                  <c:v>0.19220046962220116</c:v>
                </c:pt>
                <c:pt idx="3261">
                  <c:v>0.21781939568033545</c:v>
                </c:pt>
                <c:pt idx="3262">
                  <c:v>0.19692361929745852</c:v>
                </c:pt>
                <c:pt idx="3263">
                  <c:v>0.19533774847119589</c:v>
                </c:pt>
                <c:pt idx="3264">
                  <c:v>0.21148144922189552</c:v>
                </c:pt>
                <c:pt idx="3265">
                  <c:v>0.19297161658169665</c:v>
                </c:pt>
                <c:pt idx="3266">
                  <c:v>0.19591910353811612</c:v>
                </c:pt>
                <c:pt idx="3267">
                  <c:v>0.21908568557156138</c:v>
                </c:pt>
                <c:pt idx="3268">
                  <c:v>0.18894131908036946</c:v>
                </c:pt>
                <c:pt idx="3269">
                  <c:v>0.19206856708186365</c:v>
                </c:pt>
                <c:pt idx="3270">
                  <c:v>0.19888059918436665</c:v>
                </c:pt>
                <c:pt idx="3271">
                  <c:v>0.23021002257682036</c:v>
                </c:pt>
                <c:pt idx="3272">
                  <c:v>0.1996105448188058</c:v>
                </c:pt>
                <c:pt idx="3273">
                  <c:v>0.21270495264121145</c:v>
                </c:pt>
                <c:pt idx="3274">
                  <c:v>0.19964499436224731</c:v>
                </c:pt>
                <c:pt idx="3275">
                  <c:v>0.19295350002794301</c:v>
                </c:pt>
                <c:pt idx="3276">
                  <c:v>0.20092638619877301</c:v>
                </c:pt>
                <c:pt idx="3277">
                  <c:v>0.23135568955173544</c:v>
                </c:pt>
                <c:pt idx="3278">
                  <c:v>0.2035549834197973</c:v>
                </c:pt>
                <c:pt idx="3279">
                  <c:v>0.22190367493518989</c:v>
                </c:pt>
                <c:pt idx="3280">
                  <c:v>0.23681307520526254</c:v>
                </c:pt>
                <c:pt idx="3281">
                  <c:v>0.23481874240054912</c:v>
                </c:pt>
                <c:pt idx="3282">
                  <c:v>0.19102460006586278</c:v>
                </c:pt>
                <c:pt idx="3283">
                  <c:v>0.25624011258301227</c:v>
                </c:pt>
                <c:pt idx="3284">
                  <c:v>0.21798470279481791</c:v>
                </c:pt>
                <c:pt idx="3285">
                  <c:v>0.19168491813034022</c:v>
                </c:pt>
                <c:pt idx="3286">
                  <c:v>0.21062254685442444</c:v>
                </c:pt>
                <c:pt idx="3287">
                  <c:v>0.22398572881684053</c:v>
                </c:pt>
                <c:pt idx="3288">
                  <c:v>0.19444092491382076</c:v>
                </c:pt>
                <c:pt idx="3289">
                  <c:v>0.19323265635684297</c:v>
                </c:pt>
                <c:pt idx="3290">
                  <c:v>0.20896110029258622</c:v>
                </c:pt>
                <c:pt idx="3291">
                  <c:v>0.18909857661735655</c:v>
                </c:pt>
                <c:pt idx="3292">
                  <c:v>0.19510408426718387</c:v>
                </c:pt>
                <c:pt idx="3293">
                  <c:v>0.20941700149576822</c:v>
                </c:pt>
                <c:pt idx="3294">
                  <c:v>0.21879288856298604</c:v>
                </c:pt>
                <c:pt idx="3295">
                  <c:v>0.1976661943481072</c:v>
                </c:pt>
                <c:pt idx="3296">
                  <c:v>0.23205863266874854</c:v>
                </c:pt>
                <c:pt idx="3297">
                  <c:v>0.19889061047166548</c:v>
                </c:pt>
                <c:pt idx="3298">
                  <c:v>0.21658075978985761</c:v>
                </c:pt>
                <c:pt idx="3299">
                  <c:v>0.21165897422349178</c:v>
                </c:pt>
                <c:pt idx="3300">
                  <c:v>0.24341058689981376</c:v>
                </c:pt>
                <c:pt idx="3301">
                  <c:v>0.19633634579147013</c:v>
                </c:pt>
                <c:pt idx="3302">
                  <c:v>0.18940014490155177</c:v>
                </c:pt>
                <c:pt idx="3303">
                  <c:v>0.22883850382704468</c:v>
                </c:pt>
                <c:pt idx="3304">
                  <c:v>0.22160712821816844</c:v>
                </c:pt>
                <c:pt idx="3305">
                  <c:v>0.19604796391270971</c:v>
                </c:pt>
                <c:pt idx="3306">
                  <c:v>0.22229601795416978</c:v>
                </c:pt>
                <c:pt idx="3307">
                  <c:v>0.20004477581351499</c:v>
                </c:pt>
                <c:pt idx="3308">
                  <c:v>0.20733328024557263</c:v>
                </c:pt>
                <c:pt idx="3309">
                  <c:v>0.20165095052426088</c:v>
                </c:pt>
                <c:pt idx="3310">
                  <c:v>0.26811942181323689</c:v>
                </c:pt>
                <c:pt idx="3311">
                  <c:v>0.33880222459266135</c:v>
                </c:pt>
                <c:pt idx="3312">
                  <c:v>0.18965225272409775</c:v>
                </c:pt>
                <c:pt idx="3313">
                  <c:v>0.19258151984579752</c:v>
                </c:pt>
                <c:pt idx="3314">
                  <c:v>0.22866738828040578</c:v>
                </c:pt>
                <c:pt idx="3315">
                  <c:v>0.22105895572101192</c:v>
                </c:pt>
                <c:pt idx="3316">
                  <c:v>0.23504106436922023</c:v>
                </c:pt>
                <c:pt idx="3317">
                  <c:v>0.23642955935314003</c:v>
                </c:pt>
                <c:pt idx="3318">
                  <c:v>0.19150240219013789</c:v>
                </c:pt>
                <c:pt idx="3319">
                  <c:v>0.20233355194751068</c:v>
                </c:pt>
                <c:pt idx="3320">
                  <c:v>0.22237723539060053</c:v>
                </c:pt>
                <c:pt idx="3321">
                  <c:v>0.23324981998482472</c:v>
                </c:pt>
                <c:pt idx="3322">
                  <c:v>0.22270069398186781</c:v>
                </c:pt>
                <c:pt idx="3323">
                  <c:v>0.25764112284140572</c:v>
                </c:pt>
                <c:pt idx="3324">
                  <c:v>0.23424322171617099</c:v>
                </c:pt>
                <c:pt idx="3325">
                  <c:v>0.23778087662029745</c:v>
                </c:pt>
                <c:pt idx="3326">
                  <c:v>0.20656982508334229</c:v>
                </c:pt>
                <c:pt idx="3327">
                  <c:v>0.21109107814053554</c:v>
                </c:pt>
                <c:pt idx="3328">
                  <c:v>0.19829497532670781</c:v>
                </c:pt>
                <c:pt idx="3329">
                  <c:v>0.19431461726085059</c:v>
                </c:pt>
                <c:pt idx="3330">
                  <c:v>0.24096690665078549</c:v>
                </c:pt>
                <c:pt idx="3331">
                  <c:v>0.18923848078889524</c:v>
                </c:pt>
                <c:pt idx="3332">
                  <c:v>0.18908492244656225</c:v>
                </c:pt>
                <c:pt idx="3333">
                  <c:v>0.22182868800181449</c:v>
                </c:pt>
                <c:pt idx="3334">
                  <c:v>0.22555522472566231</c:v>
                </c:pt>
                <c:pt idx="3335">
                  <c:v>0.21325455913515176</c:v>
                </c:pt>
                <c:pt idx="3336">
                  <c:v>0.19976473037090822</c:v>
                </c:pt>
                <c:pt idx="3337">
                  <c:v>0.20473829812889593</c:v>
                </c:pt>
                <c:pt idx="3338">
                  <c:v>0.19018960369092908</c:v>
                </c:pt>
                <c:pt idx="3339">
                  <c:v>0.24091204789914128</c:v>
                </c:pt>
                <c:pt idx="3340">
                  <c:v>0.2243407710607658</c:v>
                </c:pt>
                <c:pt idx="3341">
                  <c:v>0.25118984348697065</c:v>
                </c:pt>
                <c:pt idx="3342">
                  <c:v>0.1891155486513699</c:v>
                </c:pt>
                <c:pt idx="3343">
                  <c:v>0.23760215897391018</c:v>
                </c:pt>
                <c:pt idx="3344">
                  <c:v>0.20630352405035615</c:v>
                </c:pt>
                <c:pt idx="3345">
                  <c:v>0.1903269016152124</c:v>
                </c:pt>
                <c:pt idx="3346">
                  <c:v>0.21678038299816968</c:v>
                </c:pt>
                <c:pt idx="3347">
                  <c:v>0.19585827614430304</c:v>
                </c:pt>
                <c:pt idx="3348">
                  <c:v>0.20809628593251162</c:v>
                </c:pt>
                <c:pt idx="3349">
                  <c:v>0.20673329141078289</c:v>
                </c:pt>
                <c:pt idx="3350">
                  <c:v>0.24764854563608943</c:v>
                </c:pt>
                <c:pt idx="3351">
                  <c:v>0.23918616733094775</c:v>
                </c:pt>
                <c:pt idx="3352">
                  <c:v>0.25511811306900156</c:v>
                </c:pt>
                <c:pt idx="3353">
                  <c:v>0.21786534432410462</c:v>
                </c:pt>
                <c:pt idx="3354">
                  <c:v>0.21995743892084341</c:v>
                </c:pt>
                <c:pt idx="3355">
                  <c:v>0.20565341346350252</c:v>
                </c:pt>
                <c:pt idx="3356">
                  <c:v>0.18979977410879806</c:v>
                </c:pt>
                <c:pt idx="3357">
                  <c:v>0.25310669802964947</c:v>
                </c:pt>
                <c:pt idx="3358">
                  <c:v>0.20874881109178386</c:v>
                </c:pt>
                <c:pt idx="3359">
                  <c:v>0.22558855103988779</c:v>
                </c:pt>
                <c:pt idx="3360">
                  <c:v>0.19459164635209439</c:v>
                </c:pt>
                <c:pt idx="3361">
                  <c:v>0.19851643139727709</c:v>
                </c:pt>
                <c:pt idx="3362">
                  <c:v>0.20958050053970018</c:v>
                </c:pt>
                <c:pt idx="3363">
                  <c:v>0.2054948375279893</c:v>
                </c:pt>
                <c:pt idx="3364">
                  <c:v>0.20994036313313624</c:v>
                </c:pt>
                <c:pt idx="3365">
                  <c:v>0.22698474160604695</c:v>
                </c:pt>
                <c:pt idx="3366">
                  <c:v>0.22585816749349669</c:v>
                </c:pt>
                <c:pt idx="3367">
                  <c:v>0.20842067752482113</c:v>
                </c:pt>
                <c:pt idx="3368">
                  <c:v>0.2004867258132593</c:v>
                </c:pt>
                <c:pt idx="3369">
                  <c:v>0.2272385001941897</c:v>
                </c:pt>
                <c:pt idx="3370">
                  <c:v>0.27967213576879463</c:v>
                </c:pt>
                <c:pt idx="3371">
                  <c:v>0.23434562657061198</c:v>
                </c:pt>
                <c:pt idx="3372">
                  <c:v>0.20146061883770158</c:v>
                </c:pt>
                <c:pt idx="3373">
                  <c:v>0.19593535328808526</c:v>
                </c:pt>
                <c:pt idx="3374">
                  <c:v>0.21431538351888077</c:v>
                </c:pt>
                <c:pt idx="3375">
                  <c:v>0.19741931841280341</c:v>
                </c:pt>
                <c:pt idx="3376">
                  <c:v>0.20740785100143511</c:v>
                </c:pt>
                <c:pt idx="3377">
                  <c:v>0.24685850388772604</c:v>
                </c:pt>
                <c:pt idx="3378">
                  <c:v>0.24005794629332824</c:v>
                </c:pt>
                <c:pt idx="3379">
                  <c:v>0.21096209364999546</c:v>
                </c:pt>
                <c:pt idx="3380">
                  <c:v>0.26624599385980946</c:v>
                </c:pt>
                <c:pt idx="3381">
                  <c:v>0.22110277077943008</c:v>
                </c:pt>
                <c:pt idx="3382">
                  <c:v>0.26136941863114582</c:v>
                </c:pt>
                <c:pt idx="3383">
                  <c:v>0.28404645235174403</c:v>
                </c:pt>
                <c:pt idx="3384">
                  <c:v>0.21273459537649161</c:v>
                </c:pt>
                <c:pt idx="3385">
                  <c:v>0.21081119261345116</c:v>
                </c:pt>
                <c:pt idx="3386">
                  <c:v>0.20728356574726722</c:v>
                </c:pt>
                <c:pt idx="3387">
                  <c:v>0.26342410544429778</c:v>
                </c:pt>
                <c:pt idx="3388">
                  <c:v>0.20868686541702539</c:v>
                </c:pt>
                <c:pt idx="3389">
                  <c:v>0.24367996329268979</c:v>
                </c:pt>
                <c:pt idx="3390">
                  <c:v>0.21308492025995518</c:v>
                </c:pt>
                <c:pt idx="3391">
                  <c:v>0.22411578749347294</c:v>
                </c:pt>
                <c:pt idx="3392">
                  <c:v>0.23795497818725062</c:v>
                </c:pt>
                <c:pt idx="3393">
                  <c:v>0.20453809070679446</c:v>
                </c:pt>
                <c:pt idx="3394">
                  <c:v>0.19386050512347647</c:v>
                </c:pt>
                <c:pt idx="3395">
                  <c:v>0.19213323294471826</c:v>
                </c:pt>
                <c:pt idx="3396">
                  <c:v>0.20509946540062884</c:v>
                </c:pt>
                <c:pt idx="3397">
                  <c:v>0.25048492151056317</c:v>
                </c:pt>
                <c:pt idx="3398">
                  <c:v>0.21681445241995534</c:v>
                </c:pt>
                <c:pt idx="3399">
                  <c:v>0.18870330408122221</c:v>
                </c:pt>
                <c:pt idx="3400">
                  <c:v>0.19773952115199583</c:v>
                </c:pt>
                <c:pt idx="3401">
                  <c:v>0.22985578387553063</c:v>
                </c:pt>
                <c:pt idx="3402">
                  <c:v>0.20872323887742555</c:v>
                </c:pt>
                <c:pt idx="3403">
                  <c:v>0.2283893560949124</c:v>
                </c:pt>
                <c:pt idx="3404">
                  <c:v>0.20560332044228155</c:v>
                </c:pt>
                <c:pt idx="3405">
                  <c:v>0.21001723734079397</c:v>
                </c:pt>
                <c:pt idx="3406">
                  <c:v>0.21853241541389559</c:v>
                </c:pt>
                <c:pt idx="3407">
                  <c:v>0.19605394787966796</c:v>
                </c:pt>
                <c:pt idx="3408">
                  <c:v>0.20195223621458225</c:v>
                </c:pt>
                <c:pt idx="3409">
                  <c:v>0.19987466749457841</c:v>
                </c:pt>
                <c:pt idx="3410">
                  <c:v>0.21443231185162923</c:v>
                </c:pt>
                <c:pt idx="3411">
                  <c:v>0.19867012819528987</c:v>
                </c:pt>
                <c:pt idx="3412">
                  <c:v>0.19256829380047069</c:v>
                </c:pt>
                <c:pt idx="3413">
                  <c:v>0.19435443434888794</c:v>
                </c:pt>
                <c:pt idx="3414">
                  <c:v>0.22797967838671809</c:v>
                </c:pt>
                <c:pt idx="3415">
                  <c:v>0.20772664975845173</c:v>
                </c:pt>
                <c:pt idx="3416">
                  <c:v>0.23659167954816918</c:v>
                </c:pt>
                <c:pt idx="3417">
                  <c:v>0.19586489082690495</c:v>
                </c:pt>
                <c:pt idx="3418">
                  <c:v>0.20815298908732319</c:v>
                </c:pt>
                <c:pt idx="3419">
                  <c:v>0.20755394230353566</c:v>
                </c:pt>
                <c:pt idx="3420">
                  <c:v>0.21034386269459257</c:v>
                </c:pt>
                <c:pt idx="3421">
                  <c:v>0.19552194344198442</c:v>
                </c:pt>
                <c:pt idx="3422">
                  <c:v>0.2168687636709519</c:v>
                </c:pt>
                <c:pt idx="3423">
                  <c:v>0.21188533861005671</c:v>
                </c:pt>
                <c:pt idx="3424">
                  <c:v>0.21006287663479206</c:v>
                </c:pt>
                <c:pt idx="3425">
                  <c:v>0.1893442613888959</c:v>
                </c:pt>
                <c:pt idx="3426">
                  <c:v>0.202998805358616</c:v>
                </c:pt>
                <c:pt idx="3427">
                  <c:v>0.20198740522012809</c:v>
                </c:pt>
                <c:pt idx="3428">
                  <c:v>0.22107088577508327</c:v>
                </c:pt>
                <c:pt idx="3429">
                  <c:v>0.24500916963821273</c:v>
                </c:pt>
                <c:pt idx="3430">
                  <c:v>0.20297606309684424</c:v>
                </c:pt>
                <c:pt idx="3431">
                  <c:v>0.19516992019538146</c:v>
                </c:pt>
                <c:pt idx="3432">
                  <c:v>0.20832577055355908</c:v>
                </c:pt>
                <c:pt idx="3433">
                  <c:v>0.19430812179153226</c:v>
                </c:pt>
                <c:pt idx="3434">
                  <c:v>0.20504951718049774</c:v>
                </c:pt>
                <c:pt idx="3435">
                  <c:v>0.20527340137614603</c:v>
                </c:pt>
                <c:pt idx="3436">
                  <c:v>0.2065815455359214</c:v>
                </c:pt>
                <c:pt idx="3437">
                  <c:v>0.19399076001891308</c:v>
                </c:pt>
                <c:pt idx="3438">
                  <c:v>0.2101441004092007</c:v>
                </c:pt>
                <c:pt idx="3439">
                  <c:v>0.22862714687983687</c:v>
                </c:pt>
                <c:pt idx="3440">
                  <c:v>0.19841778632469201</c:v>
                </c:pt>
                <c:pt idx="3441">
                  <c:v>0.23318110804998129</c:v>
                </c:pt>
                <c:pt idx="3442">
                  <c:v>0.20045696841011937</c:v>
                </c:pt>
                <c:pt idx="3443">
                  <c:v>0.1918987238551034</c:v>
                </c:pt>
                <c:pt idx="3444">
                  <c:v>0.21285915655772739</c:v>
                </c:pt>
                <c:pt idx="3445">
                  <c:v>0.19014576233395519</c:v>
                </c:pt>
                <c:pt idx="3446">
                  <c:v>0.20519305366127438</c:v>
                </c:pt>
                <c:pt idx="3447">
                  <c:v>0.19620967488194974</c:v>
                </c:pt>
                <c:pt idx="3448">
                  <c:v>0.22024057377253639</c:v>
                </c:pt>
                <c:pt idx="3449">
                  <c:v>0.21670700409930876</c:v>
                </c:pt>
                <c:pt idx="3450">
                  <c:v>0.22875036482676542</c:v>
                </c:pt>
                <c:pt idx="3451">
                  <c:v>0.20029710634460163</c:v>
                </c:pt>
                <c:pt idx="3452">
                  <c:v>0.19001719331639577</c:v>
                </c:pt>
                <c:pt idx="3453">
                  <c:v>0.22329124066524464</c:v>
                </c:pt>
                <c:pt idx="3454">
                  <c:v>0.25163472424790806</c:v>
                </c:pt>
                <c:pt idx="3455">
                  <c:v>0.21716288015084373</c:v>
                </c:pt>
                <c:pt idx="3456">
                  <c:v>0.21915914009753126</c:v>
                </c:pt>
                <c:pt idx="3457">
                  <c:v>0.20169202111395743</c:v>
                </c:pt>
                <c:pt idx="3458">
                  <c:v>0.20156467021585714</c:v>
                </c:pt>
                <c:pt idx="3459">
                  <c:v>0.19887768225725086</c:v>
                </c:pt>
                <c:pt idx="3460">
                  <c:v>0.19510296567173169</c:v>
                </c:pt>
                <c:pt idx="3461">
                  <c:v>0.2137789779641375</c:v>
                </c:pt>
                <c:pt idx="3462">
                  <c:v>0.23487535583064512</c:v>
                </c:pt>
                <c:pt idx="3463">
                  <c:v>0.20476553423730859</c:v>
                </c:pt>
                <c:pt idx="3464">
                  <c:v>0.2279055465435883</c:v>
                </c:pt>
                <c:pt idx="3465">
                  <c:v>0.19128928123735459</c:v>
                </c:pt>
                <c:pt idx="3466">
                  <c:v>0.18913012234109761</c:v>
                </c:pt>
                <c:pt idx="3467">
                  <c:v>0.20751932621806007</c:v>
                </c:pt>
                <c:pt idx="3468">
                  <c:v>0.19598397743755949</c:v>
                </c:pt>
                <c:pt idx="3469">
                  <c:v>0.18925808322586612</c:v>
                </c:pt>
                <c:pt idx="3470">
                  <c:v>0.20183858526737261</c:v>
                </c:pt>
                <c:pt idx="3471">
                  <c:v>0.19678727429868415</c:v>
                </c:pt>
                <c:pt idx="3472">
                  <c:v>0.25489429132439873</c:v>
                </c:pt>
                <c:pt idx="3473">
                  <c:v>0.19852106954338236</c:v>
                </c:pt>
                <c:pt idx="3474">
                  <c:v>0.19462651506565554</c:v>
                </c:pt>
                <c:pt idx="3475">
                  <c:v>0.21654787753600016</c:v>
                </c:pt>
                <c:pt idx="3476">
                  <c:v>0.23049426777723914</c:v>
                </c:pt>
                <c:pt idx="3477">
                  <c:v>0.20203067294263274</c:v>
                </c:pt>
                <c:pt idx="3478">
                  <c:v>0.21700102117050166</c:v>
                </c:pt>
                <c:pt idx="3479">
                  <c:v>0.19670108977799419</c:v>
                </c:pt>
                <c:pt idx="3480">
                  <c:v>0.22379142245625261</c:v>
                </c:pt>
                <c:pt idx="3481">
                  <c:v>0.23446367131324239</c:v>
                </c:pt>
                <c:pt idx="3482">
                  <c:v>0.30638663936206867</c:v>
                </c:pt>
                <c:pt idx="3483">
                  <c:v>0.28664403593985732</c:v>
                </c:pt>
                <c:pt idx="3484">
                  <c:v>0.23399914935858271</c:v>
                </c:pt>
                <c:pt idx="3485">
                  <c:v>0.21217671136524008</c:v>
                </c:pt>
                <c:pt idx="3486">
                  <c:v>0.18918208331618103</c:v>
                </c:pt>
                <c:pt idx="3487">
                  <c:v>0.22088395106193515</c:v>
                </c:pt>
                <c:pt idx="3488">
                  <c:v>0.20202796616609853</c:v>
                </c:pt>
                <c:pt idx="3489">
                  <c:v>0.19231108999620627</c:v>
                </c:pt>
                <c:pt idx="3490">
                  <c:v>0.248470242842837</c:v>
                </c:pt>
                <c:pt idx="3491">
                  <c:v>0.21665942928081477</c:v>
                </c:pt>
                <c:pt idx="3492">
                  <c:v>0.1944749027440863</c:v>
                </c:pt>
                <c:pt idx="3493">
                  <c:v>0.25297943056068989</c:v>
                </c:pt>
                <c:pt idx="3494">
                  <c:v>0.22835640244668057</c:v>
                </c:pt>
                <c:pt idx="3495">
                  <c:v>0.24748493942526059</c:v>
                </c:pt>
                <c:pt idx="3496">
                  <c:v>0.20822808165638315</c:v>
                </c:pt>
                <c:pt idx="3497">
                  <c:v>0.21818813681469343</c:v>
                </c:pt>
                <c:pt idx="3498">
                  <c:v>0.21932571574939411</c:v>
                </c:pt>
                <c:pt idx="3499">
                  <c:v>0.19893405467122671</c:v>
                </c:pt>
                <c:pt idx="3500">
                  <c:v>0.24492119094844947</c:v>
                </c:pt>
                <c:pt idx="3501">
                  <c:v>0.23064510312703734</c:v>
                </c:pt>
                <c:pt idx="3502">
                  <c:v>0.22703065189484653</c:v>
                </c:pt>
                <c:pt idx="3503">
                  <c:v>0.19426338190906062</c:v>
                </c:pt>
                <c:pt idx="3504">
                  <c:v>0.18952488180926338</c:v>
                </c:pt>
                <c:pt idx="3505">
                  <c:v>0.21473772643454631</c:v>
                </c:pt>
                <c:pt idx="3506">
                  <c:v>0.22660272273328827</c:v>
                </c:pt>
                <c:pt idx="3507">
                  <c:v>0.2126914408680422</c:v>
                </c:pt>
                <c:pt idx="3508">
                  <c:v>0.20743384519100533</c:v>
                </c:pt>
                <c:pt idx="3509">
                  <c:v>0.22846105472671968</c:v>
                </c:pt>
                <c:pt idx="3510">
                  <c:v>0.24436125717620613</c:v>
                </c:pt>
                <c:pt idx="3511">
                  <c:v>0.20003992203318544</c:v>
                </c:pt>
                <c:pt idx="3512">
                  <c:v>0.19605684543638355</c:v>
                </c:pt>
                <c:pt idx="3513">
                  <c:v>0.24766549349163738</c:v>
                </c:pt>
                <c:pt idx="3514">
                  <c:v>0.23213853486439553</c:v>
                </c:pt>
                <c:pt idx="3515">
                  <c:v>0.2201214807321592</c:v>
                </c:pt>
                <c:pt idx="3516">
                  <c:v>0.27284824373680372</c:v>
                </c:pt>
                <c:pt idx="3517">
                  <c:v>0.2015315334435164</c:v>
                </c:pt>
                <c:pt idx="3518">
                  <c:v>0.24658479984381637</c:v>
                </c:pt>
                <c:pt idx="3519">
                  <c:v>0.19084019815059064</c:v>
                </c:pt>
                <c:pt idx="3520">
                  <c:v>0.19104433920868782</c:v>
                </c:pt>
                <c:pt idx="3521">
                  <c:v>0.19005952842711948</c:v>
                </c:pt>
                <c:pt idx="3522">
                  <c:v>0.23040395845376971</c:v>
                </c:pt>
                <c:pt idx="3523">
                  <c:v>0.25582874726925126</c:v>
                </c:pt>
                <c:pt idx="3524">
                  <c:v>0.23955705645227857</c:v>
                </c:pt>
                <c:pt idx="3525">
                  <c:v>0.25718945167239377</c:v>
                </c:pt>
                <c:pt idx="3526">
                  <c:v>0.22945643735906962</c:v>
                </c:pt>
                <c:pt idx="3527">
                  <c:v>0.18909543387075187</c:v>
                </c:pt>
                <c:pt idx="3528">
                  <c:v>0.20789804694369846</c:v>
                </c:pt>
                <c:pt idx="3529">
                  <c:v>0.21741304265521735</c:v>
                </c:pt>
                <c:pt idx="3530">
                  <c:v>0.26807196860832522</c:v>
                </c:pt>
                <c:pt idx="3531">
                  <c:v>0.21070303803383478</c:v>
                </c:pt>
                <c:pt idx="3532">
                  <c:v>0.19427694001701964</c:v>
                </c:pt>
                <c:pt idx="3533">
                  <c:v>0.24013828033600465</c:v>
                </c:pt>
                <c:pt idx="3534">
                  <c:v>0.20600147402684676</c:v>
                </c:pt>
                <c:pt idx="3535">
                  <c:v>0.22777665447527859</c:v>
                </c:pt>
                <c:pt idx="3536">
                  <c:v>0.2162115664329867</c:v>
                </c:pt>
                <c:pt idx="3537">
                  <c:v>0.21118642056469003</c:v>
                </c:pt>
                <c:pt idx="3538">
                  <c:v>0.19793451259649542</c:v>
                </c:pt>
                <c:pt idx="3539">
                  <c:v>0.1912199140408081</c:v>
                </c:pt>
                <c:pt idx="3540">
                  <c:v>0.20600278184698287</c:v>
                </c:pt>
                <c:pt idx="3541">
                  <c:v>0.20350227105715951</c:v>
                </c:pt>
                <c:pt idx="3542">
                  <c:v>0.24252209113599726</c:v>
                </c:pt>
                <c:pt idx="3543">
                  <c:v>0.25300204964060802</c:v>
                </c:pt>
                <c:pt idx="3544">
                  <c:v>0.19009752297940932</c:v>
                </c:pt>
                <c:pt idx="3545">
                  <c:v>0.21291400237780927</c:v>
                </c:pt>
                <c:pt idx="3546">
                  <c:v>0.21580458182655243</c:v>
                </c:pt>
                <c:pt idx="3547">
                  <c:v>0.26006927553489945</c:v>
                </c:pt>
                <c:pt idx="3548">
                  <c:v>0.20359270929697876</c:v>
                </c:pt>
                <c:pt idx="3549">
                  <c:v>0.18940691502817378</c:v>
                </c:pt>
                <c:pt idx="3550">
                  <c:v>0.20634013794415867</c:v>
                </c:pt>
                <c:pt idx="3551">
                  <c:v>0.23229135942216214</c:v>
                </c:pt>
                <c:pt idx="3552">
                  <c:v>0.19692562403083677</c:v>
                </c:pt>
                <c:pt idx="3553">
                  <c:v>0.19829810171437867</c:v>
                </c:pt>
                <c:pt idx="3554">
                  <c:v>0.21108853453378515</c:v>
                </c:pt>
                <c:pt idx="3555">
                  <c:v>0.23604629788497189</c:v>
                </c:pt>
                <c:pt idx="3556">
                  <c:v>0.24518560656088295</c:v>
                </c:pt>
                <c:pt idx="3557">
                  <c:v>0.20034495502395186</c:v>
                </c:pt>
                <c:pt idx="3558">
                  <c:v>0.19406573143340045</c:v>
                </c:pt>
                <c:pt idx="3559">
                  <c:v>0.21836473022207417</c:v>
                </c:pt>
                <c:pt idx="3560">
                  <c:v>0.20918079265653997</c:v>
                </c:pt>
                <c:pt idx="3561">
                  <c:v>0.20817593012702862</c:v>
                </c:pt>
                <c:pt idx="3562">
                  <c:v>0.21563609854680227</c:v>
                </c:pt>
                <c:pt idx="3563">
                  <c:v>0.19604073789831825</c:v>
                </c:pt>
                <c:pt idx="3564">
                  <c:v>0.23269831688066628</c:v>
                </c:pt>
                <c:pt idx="3565">
                  <c:v>0.19143116448638586</c:v>
                </c:pt>
                <c:pt idx="3566">
                  <c:v>0.19794816777041976</c:v>
                </c:pt>
                <c:pt idx="3567">
                  <c:v>0.18954765658876424</c:v>
                </c:pt>
                <c:pt idx="3568">
                  <c:v>0.19709032970436019</c:v>
                </c:pt>
                <c:pt idx="3569">
                  <c:v>0.19877901477417259</c:v>
                </c:pt>
                <c:pt idx="3570">
                  <c:v>0.24865890758595174</c:v>
                </c:pt>
                <c:pt idx="3571">
                  <c:v>0.19162438749056693</c:v>
                </c:pt>
                <c:pt idx="3572">
                  <c:v>0.19110446829869027</c:v>
                </c:pt>
                <c:pt idx="3573">
                  <c:v>0.24362668659010264</c:v>
                </c:pt>
                <c:pt idx="3574">
                  <c:v>0.19524575925423737</c:v>
                </c:pt>
                <c:pt idx="3575">
                  <c:v>0.23863643607624488</c:v>
                </c:pt>
                <c:pt idx="3576">
                  <c:v>0.24499270269063056</c:v>
                </c:pt>
                <c:pt idx="3577">
                  <c:v>0.22319696496539826</c:v>
                </c:pt>
                <c:pt idx="3578">
                  <c:v>0.1899955044051807</c:v>
                </c:pt>
                <c:pt idx="3579">
                  <c:v>0.19333656184599343</c:v>
                </c:pt>
                <c:pt idx="3580">
                  <c:v>0.20630508253657376</c:v>
                </c:pt>
                <c:pt idx="3581">
                  <c:v>0.24272326350616105</c:v>
                </c:pt>
                <c:pt idx="3582">
                  <c:v>0.20465678619004243</c:v>
                </c:pt>
                <c:pt idx="3583">
                  <c:v>0.196329821103361</c:v>
                </c:pt>
                <c:pt idx="3584">
                  <c:v>0.211045871386638</c:v>
                </c:pt>
                <c:pt idx="3585">
                  <c:v>0.22711802616358029</c:v>
                </c:pt>
                <c:pt idx="3586">
                  <c:v>0.1982000801659651</c:v>
                </c:pt>
                <c:pt idx="3587">
                  <c:v>0.1938419911388162</c:v>
                </c:pt>
                <c:pt idx="3588">
                  <c:v>0.22396615969344058</c:v>
                </c:pt>
                <c:pt idx="3589">
                  <c:v>0.21463145427998839</c:v>
                </c:pt>
                <c:pt idx="3590">
                  <c:v>0.19549359049689227</c:v>
                </c:pt>
                <c:pt idx="3591">
                  <c:v>0.20121691558222729</c:v>
                </c:pt>
                <c:pt idx="3592">
                  <c:v>0.19198382806555031</c:v>
                </c:pt>
                <c:pt idx="3593">
                  <c:v>0.18934900894715492</c:v>
                </c:pt>
                <c:pt idx="3594">
                  <c:v>0.1933370796755865</c:v>
                </c:pt>
                <c:pt idx="3595">
                  <c:v>0.28729916740498967</c:v>
                </c:pt>
                <c:pt idx="3596">
                  <c:v>0.21317408277144306</c:v>
                </c:pt>
                <c:pt idx="3597">
                  <c:v>0.22286100847230664</c:v>
                </c:pt>
                <c:pt idx="3598">
                  <c:v>0.21532133126273903</c:v>
                </c:pt>
                <c:pt idx="3599">
                  <c:v>0.19304733531159837</c:v>
                </c:pt>
                <c:pt idx="3600">
                  <c:v>0.199261604198923</c:v>
                </c:pt>
                <c:pt idx="3601">
                  <c:v>0.19168855688526421</c:v>
                </c:pt>
                <c:pt idx="3602">
                  <c:v>0.20450408848511187</c:v>
                </c:pt>
                <c:pt idx="3603">
                  <c:v>0.21236074742823005</c:v>
                </c:pt>
                <c:pt idx="3604">
                  <c:v>0.19384669364810134</c:v>
                </c:pt>
                <c:pt idx="3605">
                  <c:v>0.24430921588263088</c:v>
                </c:pt>
                <c:pt idx="3606">
                  <c:v>0.24708290521840523</c:v>
                </c:pt>
                <c:pt idx="3607">
                  <c:v>0.21984139996404423</c:v>
                </c:pt>
                <c:pt idx="3608">
                  <c:v>0.20494557917502113</c:v>
                </c:pt>
                <c:pt idx="3609">
                  <c:v>0.19620095181024017</c:v>
                </c:pt>
                <c:pt idx="3610">
                  <c:v>0.18882900141921188</c:v>
                </c:pt>
                <c:pt idx="3611">
                  <c:v>0.20726959013427287</c:v>
                </c:pt>
                <c:pt idx="3612">
                  <c:v>0.23133103684678821</c:v>
                </c:pt>
                <c:pt idx="3613">
                  <c:v>0.26869656928022168</c:v>
                </c:pt>
                <c:pt idx="3614">
                  <c:v>0.20374557731309378</c:v>
                </c:pt>
                <c:pt idx="3615">
                  <c:v>0.22176197181923746</c:v>
                </c:pt>
                <c:pt idx="3616">
                  <c:v>0.18974441295875666</c:v>
                </c:pt>
                <c:pt idx="3617">
                  <c:v>0.24232714990529111</c:v>
                </c:pt>
                <c:pt idx="3618">
                  <c:v>0.2271470937419463</c:v>
                </c:pt>
                <c:pt idx="3619">
                  <c:v>0.20092901253681286</c:v>
                </c:pt>
                <c:pt idx="3620">
                  <c:v>0.22534618498079334</c:v>
                </c:pt>
                <c:pt idx="3621">
                  <c:v>0.22687076216093674</c:v>
                </c:pt>
                <c:pt idx="3622">
                  <c:v>0.19160749325356102</c:v>
                </c:pt>
                <c:pt idx="3623">
                  <c:v>0.24631323327515223</c:v>
                </c:pt>
                <c:pt idx="3624">
                  <c:v>0.19313020394888866</c:v>
                </c:pt>
                <c:pt idx="3625">
                  <c:v>0.19182960171539246</c:v>
                </c:pt>
                <c:pt idx="3626">
                  <c:v>0.2156250536677761</c:v>
                </c:pt>
                <c:pt idx="3627">
                  <c:v>0.20571283263065315</c:v>
                </c:pt>
                <c:pt idx="3628">
                  <c:v>0.2048787655431355</c:v>
                </c:pt>
                <c:pt idx="3629">
                  <c:v>0.25008573775261173</c:v>
                </c:pt>
                <c:pt idx="3630">
                  <c:v>0.23542739747639804</c:v>
                </c:pt>
                <c:pt idx="3631">
                  <c:v>0.22447453517567403</c:v>
                </c:pt>
                <c:pt idx="3632">
                  <c:v>0.19496423480390965</c:v>
                </c:pt>
                <c:pt idx="3633">
                  <c:v>0.19086607843227787</c:v>
                </c:pt>
                <c:pt idx="3634">
                  <c:v>0.24374542894510068</c:v>
                </c:pt>
                <c:pt idx="3635">
                  <c:v>0.20358586572382698</c:v>
                </c:pt>
                <c:pt idx="3636">
                  <c:v>0.1904867950294753</c:v>
                </c:pt>
                <c:pt idx="3637">
                  <c:v>0.19267417697710615</c:v>
                </c:pt>
                <c:pt idx="3638">
                  <c:v>0.20530684095878071</c:v>
                </c:pt>
                <c:pt idx="3639">
                  <c:v>0.19380268904568745</c:v>
                </c:pt>
                <c:pt idx="3640">
                  <c:v>0.22268771651858821</c:v>
                </c:pt>
                <c:pt idx="3641">
                  <c:v>0.23140390213811382</c:v>
                </c:pt>
                <c:pt idx="3642">
                  <c:v>0.19826177655440663</c:v>
                </c:pt>
                <c:pt idx="3643">
                  <c:v>0.19457481812908531</c:v>
                </c:pt>
                <c:pt idx="3644">
                  <c:v>0.2597050403460473</c:v>
                </c:pt>
                <c:pt idx="3645">
                  <c:v>0.21566412116169192</c:v>
                </c:pt>
                <c:pt idx="3646">
                  <c:v>0.20893669473107898</c:v>
                </c:pt>
                <c:pt idx="3647">
                  <c:v>0.19236543118066346</c:v>
                </c:pt>
                <c:pt idx="3648">
                  <c:v>0.198636976791009</c:v>
                </c:pt>
                <c:pt idx="3649">
                  <c:v>0.1912176670780279</c:v>
                </c:pt>
                <c:pt idx="3650">
                  <c:v>0.23398125956146226</c:v>
                </c:pt>
                <c:pt idx="3651">
                  <c:v>0.2149461879888975</c:v>
                </c:pt>
                <c:pt idx="3652">
                  <c:v>0.27301619175196368</c:v>
                </c:pt>
                <c:pt idx="3653">
                  <c:v>0.22157146337701392</c:v>
                </c:pt>
                <c:pt idx="3654">
                  <c:v>0.22213323899812365</c:v>
                </c:pt>
                <c:pt idx="3655">
                  <c:v>0.23460264136673567</c:v>
                </c:pt>
                <c:pt idx="3656">
                  <c:v>0.22149020228860555</c:v>
                </c:pt>
                <c:pt idx="3657">
                  <c:v>0.1904119794506233</c:v>
                </c:pt>
                <c:pt idx="3658">
                  <c:v>0.21598835999246585</c:v>
                </c:pt>
                <c:pt idx="3659">
                  <c:v>0.19734227652177683</c:v>
                </c:pt>
                <c:pt idx="3660">
                  <c:v>0.20439442174900169</c:v>
                </c:pt>
                <c:pt idx="3661">
                  <c:v>0.2218680516339048</c:v>
                </c:pt>
                <c:pt idx="3662">
                  <c:v>0.1954500753399725</c:v>
                </c:pt>
                <c:pt idx="3663">
                  <c:v>0.25234985784472952</c:v>
                </c:pt>
                <c:pt idx="3664">
                  <c:v>0.20220693739618631</c:v>
                </c:pt>
                <c:pt idx="3665">
                  <c:v>0.24682026414294839</c:v>
                </c:pt>
                <c:pt idx="3666">
                  <c:v>0.19537239748171564</c:v>
                </c:pt>
                <c:pt idx="3667">
                  <c:v>0.1964881610144176</c:v>
                </c:pt>
                <c:pt idx="3668">
                  <c:v>0.19376172620571672</c:v>
                </c:pt>
                <c:pt idx="3669">
                  <c:v>0.20905732355679088</c:v>
                </c:pt>
                <c:pt idx="3670">
                  <c:v>0.19586380796556152</c:v>
                </c:pt>
                <c:pt idx="3671">
                  <c:v>0.1913308744277275</c:v>
                </c:pt>
                <c:pt idx="3672">
                  <c:v>0.19151275525987083</c:v>
                </c:pt>
                <c:pt idx="3673">
                  <c:v>0.23477815988215828</c:v>
                </c:pt>
                <c:pt idx="3674">
                  <c:v>0.19980705783058644</c:v>
                </c:pt>
                <c:pt idx="3675">
                  <c:v>0.21444104868803801</c:v>
                </c:pt>
                <c:pt idx="3676">
                  <c:v>0.2625043714491726</c:v>
                </c:pt>
                <c:pt idx="3677">
                  <c:v>0.20124901186960531</c:v>
                </c:pt>
                <c:pt idx="3678">
                  <c:v>0.21008514445114615</c:v>
                </c:pt>
                <c:pt idx="3679">
                  <c:v>0.26318503183732139</c:v>
                </c:pt>
                <c:pt idx="3680">
                  <c:v>0.21528904854117131</c:v>
                </c:pt>
                <c:pt idx="3681">
                  <c:v>0.21053787113738026</c:v>
                </c:pt>
                <c:pt idx="3682">
                  <c:v>0.19032953901715394</c:v>
                </c:pt>
                <c:pt idx="3683">
                  <c:v>0.1992877082906109</c:v>
                </c:pt>
                <c:pt idx="3684">
                  <c:v>0.18948326827743578</c:v>
                </c:pt>
                <c:pt idx="3685">
                  <c:v>0.19087430773111658</c:v>
                </c:pt>
                <c:pt idx="3686">
                  <c:v>0.19672090955693519</c:v>
                </c:pt>
                <c:pt idx="3687">
                  <c:v>0.20418965124476485</c:v>
                </c:pt>
                <c:pt idx="3688">
                  <c:v>0.20859157018954244</c:v>
                </c:pt>
                <c:pt idx="3689">
                  <c:v>0.21560519937868242</c:v>
                </c:pt>
                <c:pt idx="3690">
                  <c:v>0.20442411062050206</c:v>
                </c:pt>
                <c:pt idx="3691">
                  <c:v>0.26978585982214298</c:v>
                </c:pt>
                <c:pt idx="3692">
                  <c:v>0.23748480060642055</c:v>
                </c:pt>
                <c:pt idx="3693">
                  <c:v>0.22356757491171503</c:v>
                </c:pt>
                <c:pt idx="3694">
                  <c:v>0.19908629361004682</c:v>
                </c:pt>
                <c:pt idx="3695">
                  <c:v>0.21405770549297279</c:v>
                </c:pt>
                <c:pt idx="3696">
                  <c:v>0.20244672811530984</c:v>
                </c:pt>
                <c:pt idx="3697">
                  <c:v>0.21648916509347141</c:v>
                </c:pt>
                <c:pt idx="3698">
                  <c:v>0.19343117970177798</c:v>
                </c:pt>
                <c:pt idx="3699">
                  <c:v>0.20485338621157279</c:v>
                </c:pt>
                <c:pt idx="3700">
                  <c:v>0.19359826546129555</c:v>
                </c:pt>
                <c:pt idx="3701">
                  <c:v>0.20150018373482037</c:v>
                </c:pt>
                <c:pt idx="3702">
                  <c:v>0.19286833162865835</c:v>
                </c:pt>
                <c:pt idx="3703">
                  <c:v>0.20562649450979209</c:v>
                </c:pt>
                <c:pt idx="3704">
                  <c:v>0.2002615687035551</c:v>
                </c:pt>
                <c:pt idx="3705">
                  <c:v>0.26096421044298829</c:v>
                </c:pt>
                <c:pt idx="3706">
                  <c:v>0.22039122055139201</c:v>
                </c:pt>
                <c:pt idx="3707">
                  <c:v>0.21203902507501393</c:v>
                </c:pt>
                <c:pt idx="3708">
                  <c:v>0.20368080156508797</c:v>
                </c:pt>
                <c:pt idx="3709">
                  <c:v>0.21803302758219639</c:v>
                </c:pt>
                <c:pt idx="3710">
                  <c:v>0.23737637007042564</c:v>
                </c:pt>
                <c:pt idx="3711">
                  <c:v>0.21657955521574312</c:v>
                </c:pt>
                <c:pt idx="3712">
                  <c:v>0.21177301762813949</c:v>
                </c:pt>
                <c:pt idx="3713">
                  <c:v>0.20895244091222182</c:v>
                </c:pt>
                <c:pt idx="3714">
                  <c:v>0.21606877620556286</c:v>
                </c:pt>
                <c:pt idx="3715">
                  <c:v>0.19727668470120363</c:v>
                </c:pt>
                <c:pt idx="3716">
                  <c:v>0.20818300491572583</c:v>
                </c:pt>
                <c:pt idx="3717">
                  <c:v>0.23596997515147905</c:v>
                </c:pt>
                <c:pt idx="3718">
                  <c:v>0.20773110534423248</c:v>
                </c:pt>
                <c:pt idx="3719">
                  <c:v>0.21781379918955027</c:v>
                </c:pt>
                <c:pt idx="3720">
                  <c:v>0.20922955066201579</c:v>
                </c:pt>
                <c:pt idx="3721">
                  <c:v>0.23384019644860601</c:v>
                </c:pt>
                <c:pt idx="3722">
                  <c:v>0.22280943105311787</c:v>
                </c:pt>
                <c:pt idx="3723">
                  <c:v>0.19298909751905782</c:v>
                </c:pt>
                <c:pt idx="3724">
                  <c:v>0.20023677624403152</c:v>
                </c:pt>
                <c:pt idx="3725">
                  <c:v>0.22064532047343294</c:v>
                </c:pt>
                <c:pt idx="3726">
                  <c:v>0.22004928860131248</c:v>
                </c:pt>
                <c:pt idx="3727">
                  <c:v>0.18976199268664809</c:v>
                </c:pt>
                <c:pt idx="3728">
                  <c:v>0.23768841510931563</c:v>
                </c:pt>
                <c:pt idx="3729">
                  <c:v>0.1907797730535655</c:v>
                </c:pt>
                <c:pt idx="3730">
                  <c:v>0.2355121705797413</c:v>
                </c:pt>
                <c:pt idx="3731">
                  <c:v>0.20691518927906044</c:v>
                </c:pt>
                <c:pt idx="3732">
                  <c:v>0.18978952132947674</c:v>
                </c:pt>
                <c:pt idx="3733">
                  <c:v>0.23683743022954939</c:v>
                </c:pt>
                <c:pt idx="3734">
                  <c:v>0.2001149210491569</c:v>
                </c:pt>
                <c:pt idx="3735">
                  <c:v>0.1913663178980225</c:v>
                </c:pt>
                <c:pt idx="3736">
                  <c:v>0.23164655439632514</c:v>
                </c:pt>
                <c:pt idx="3737">
                  <c:v>0.19605966824314577</c:v>
                </c:pt>
                <c:pt idx="3738">
                  <c:v>0.2234736425093338</c:v>
                </c:pt>
                <c:pt idx="3739">
                  <c:v>0.20217369792615708</c:v>
                </c:pt>
                <c:pt idx="3740">
                  <c:v>0.23575477334311359</c:v>
                </c:pt>
                <c:pt idx="3741">
                  <c:v>0.194248232705172</c:v>
                </c:pt>
                <c:pt idx="3742">
                  <c:v>0.19095974901761165</c:v>
                </c:pt>
                <c:pt idx="3743">
                  <c:v>0.21241713734765225</c:v>
                </c:pt>
                <c:pt idx="3744">
                  <c:v>0.29250908710693962</c:v>
                </c:pt>
                <c:pt idx="3745">
                  <c:v>0.20159029320983118</c:v>
                </c:pt>
                <c:pt idx="3746">
                  <c:v>0.22793037774343924</c:v>
                </c:pt>
                <c:pt idx="3747">
                  <c:v>0.19120905659155782</c:v>
                </c:pt>
                <c:pt idx="3748">
                  <c:v>0.19556390031848145</c:v>
                </c:pt>
                <c:pt idx="3749">
                  <c:v>0.19882757142808025</c:v>
                </c:pt>
                <c:pt idx="3750">
                  <c:v>0.19505195639460571</c:v>
                </c:pt>
                <c:pt idx="3751">
                  <c:v>0.20928261051590702</c:v>
                </c:pt>
                <c:pt idx="3752">
                  <c:v>0.21963133007962102</c:v>
                </c:pt>
                <c:pt idx="3753">
                  <c:v>0.2518004069443463</c:v>
                </c:pt>
                <c:pt idx="3754">
                  <c:v>0.19438541901322792</c:v>
                </c:pt>
                <c:pt idx="3755">
                  <c:v>0.22585887257649942</c:v>
                </c:pt>
                <c:pt idx="3756">
                  <c:v>0.24435089970374574</c:v>
                </c:pt>
                <c:pt idx="3757">
                  <c:v>0.22354878764713515</c:v>
                </c:pt>
                <c:pt idx="3758">
                  <c:v>0.21399508760461475</c:v>
                </c:pt>
                <c:pt idx="3759">
                  <c:v>0.23330257906303781</c:v>
                </c:pt>
                <c:pt idx="3760">
                  <c:v>0.19045371266990757</c:v>
                </c:pt>
                <c:pt idx="3761">
                  <c:v>0.24749826204509134</c:v>
                </c:pt>
                <c:pt idx="3762">
                  <c:v>0.23559953489415703</c:v>
                </c:pt>
                <c:pt idx="3763">
                  <c:v>0.20108708954486981</c:v>
                </c:pt>
                <c:pt idx="3764">
                  <c:v>0.22642355905568456</c:v>
                </c:pt>
                <c:pt idx="3765">
                  <c:v>0.19826180578777755</c:v>
                </c:pt>
                <c:pt idx="3766">
                  <c:v>0.21636557855762198</c:v>
                </c:pt>
                <c:pt idx="3767">
                  <c:v>0.2165944254366525</c:v>
                </c:pt>
                <c:pt idx="3768">
                  <c:v>0.19220936415278211</c:v>
                </c:pt>
                <c:pt idx="3769">
                  <c:v>0.19085560721661227</c:v>
                </c:pt>
                <c:pt idx="3770">
                  <c:v>0.2440948448660456</c:v>
                </c:pt>
                <c:pt idx="3771">
                  <c:v>0.23110578517079464</c:v>
                </c:pt>
                <c:pt idx="3772">
                  <c:v>0.19915652677012263</c:v>
                </c:pt>
                <c:pt idx="3773">
                  <c:v>0.19128226815956245</c:v>
                </c:pt>
                <c:pt idx="3774">
                  <c:v>0.21086372043032212</c:v>
                </c:pt>
                <c:pt idx="3775">
                  <c:v>0.24600488700481279</c:v>
                </c:pt>
                <c:pt idx="3776">
                  <c:v>0.23143681074963512</c:v>
                </c:pt>
                <c:pt idx="3777">
                  <c:v>0.21077530564234645</c:v>
                </c:pt>
                <c:pt idx="3778">
                  <c:v>0.20171291063868493</c:v>
                </c:pt>
                <c:pt idx="3779">
                  <c:v>0.2014812474684938</c:v>
                </c:pt>
                <c:pt idx="3780">
                  <c:v>0.21894291474312266</c:v>
                </c:pt>
                <c:pt idx="3781">
                  <c:v>0.19248593490599003</c:v>
                </c:pt>
                <c:pt idx="3782">
                  <c:v>0.20495196955156383</c:v>
                </c:pt>
                <c:pt idx="3783">
                  <c:v>0.25121784096394395</c:v>
                </c:pt>
                <c:pt idx="3784">
                  <c:v>0.19041751577812055</c:v>
                </c:pt>
                <c:pt idx="3785">
                  <c:v>0.19127507304751881</c:v>
                </c:pt>
                <c:pt idx="3786">
                  <c:v>0.22922821618945263</c:v>
                </c:pt>
                <c:pt idx="3787">
                  <c:v>0.24556301272898082</c:v>
                </c:pt>
                <c:pt idx="3788">
                  <c:v>0.23025119020075796</c:v>
                </c:pt>
                <c:pt idx="3789">
                  <c:v>0.20759251120557795</c:v>
                </c:pt>
                <c:pt idx="3790">
                  <c:v>0.20538218077369153</c:v>
                </c:pt>
                <c:pt idx="3791">
                  <c:v>0.21126591618634893</c:v>
                </c:pt>
                <c:pt idx="3792">
                  <c:v>0.19233241887500821</c:v>
                </c:pt>
                <c:pt idx="3793">
                  <c:v>0.20131615909367104</c:v>
                </c:pt>
                <c:pt idx="3794">
                  <c:v>0.20578989933846778</c:v>
                </c:pt>
                <c:pt idx="3795">
                  <c:v>0.21995291630272124</c:v>
                </c:pt>
                <c:pt idx="3796">
                  <c:v>0.2000045088894318</c:v>
                </c:pt>
                <c:pt idx="3797">
                  <c:v>0.21085660050013158</c:v>
                </c:pt>
                <c:pt idx="3798">
                  <c:v>0.21317282393177331</c:v>
                </c:pt>
                <c:pt idx="3799">
                  <c:v>0.2021452885083341</c:v>
                </c:pt>
                <c:pt idx="3800">
                  <c:v>0.19634242177337288</c:v>
                </c:pt>
                <c:pt idx="3801">
                  <c:v>0.24092531101855227</c:v>
                </c:pt>
                <c:pt idx="3802">
                  <c:v>0.22143456597305078</c:v>
                </c:pt>
                <c:pt idx="3803">
                  <c:v>0.19858410924364822</c:v>
                </c:pt>
                <c:pt idx="3804">
                  <c:v>0.20140178887392743</c:v>
                </c:pt>
                <c:pt idx="3805">
                  <c:v>0.22787583241826984</c:v>
                </c:pt>
                <c:pt idx="3806">
                  <c:v>0.20816776423454925</c:v>
                </c:pt>
                <c:pt idx="3807">
                  <c:v>0.20660431820484806</c:v>
                </c:pt>
                <c:pt idx="3808">
                  <c:v>0.28339744874360689</c:v>
                </c:pt>
                <c:pt idx="3809">
                  <c:v>0.21957349785915486</c:v>
                </c:pt>
                <c:pt idx="3810">
                  <c:v>0.20421202195872135</c:v>
                </c:pt>
                <c:pt idx="3811">
                  <c:v>0.18886985371979617</c:v>
                </c:pt>
                <c:pt idx="3812">
                  <c:v>0.22528006976618931</c:v>
                </c:pt>
                <c:pt idx="3813">
                  <c:v>0.19739555604475367</c:v>
                </c:pt>
                <c:pt idx="3814">
                  <c:v>0.22155853438648096</c:v>
                </c:pt>
                <c:pt idx="3815">
                  <c:v>0.21333188406602699</c:v>
                </c:pt>
                <c:pt idx="3816">
                  <c:v>0.20503243330382406</c:v>
                </c:pt>
                <c:pt idx="3817">
                  <c:v>0.22833861049578422</c:v>
                </c:pt>
                <c:pt idx="3818">
                  <c:v>0.19651943523073021</c:v>
                </c:pt>
                <c:pt idx="3819">
                  <c:v>0.19002676224289791</c:v>
                </c:pt>
                <c:pt idx="3820">
                  <c:v>0.19672764280899804</c:v>
                </c:pt>
                <c:pt idx="3821">
                  <c:v>0.20119754413821667</c:v>
                </c:pt>
                <c:pt idx="3822">
                  <c:v>0.20658880569929924</c:v>
                </c:pt>
                <c:pt idx="3823">
                  <c:v>0.22319258828495098</c:v>
                </c:pt>
                <c:pt idx="3824">
                  <c:v>0.22139931958511735</c:v>
                </c:pt>
                <c:pt idx="3825">
                  <c:v>0.2127226539934049</c:v>
                </c:pt>
                <c:pt idx="3826">
                  <c:v>0.2017877299106749</c:v>
                </c:pt>
                <c:pt idx="3827">
                  <c:v>0.24183096033535081</c:v>
                </c:pt>
                <c:pt idx="3828">
                  <c:v>0.21905081145661504</c:v>
                </c:pt>
                <c:pt idx="3829">
                  <c:v>0.28138655351005404</c:v>
                </c:pt>
                <c:pt idx="3830">
                  <c:v>0.22696196601704971</c:v>
                </c:pt>
                <c:pt idx="3831">
                  <c:v>0.18956894691071191</c:v>
                </c:pt>
                <c:pt idx="3832">
                  <c:v>0.24559517805474709</c:v>
                </c:pt>
                <c:pt idx="3833">
                  <c:v>0.23093640755787953</c:v>
                </c:pt>
                <c:pt idx="3834">
                  <c:v>0.22702186957039625</c:v>
                </c:pt>
                <c:pt idx="3835">
                  <c:v>0.23235422211013762</c:v>
                </c:pt>
                <c:pt idx="3836">
                  <c:v>0.20980683875829462</c:v>
                </c:pt>
                <c:pt idx="3837">
                  <c:v>0.23145510494997487</c:v>
                </c:pt>
                <c:pt idx="3838">
                  <c:v>0.19337834733636802</c:v>
                </c:pt>
                <c:pt idx="3839">
                  <c:v>0.19932299401050194</c:v>
                </c:pt>
                <c:pt idx="3840">
                  <c:v>0.2206958606194489</c:v>
                </c:pt>
                <c:pt idx="3841">
                  <c:v>0.19127978232654946</c:v>
                </c:pt>
                <c:pt idx="3842">
                  <c:v>0.21611486075943709</c:v>
                </c:pt>
                <c:pt idx="3843">
                  <c:v>0.19144000458690347</c:v>
                </c:pt>
                <c:pt idx="3844">
                  <c:v>0.19486507696337657</c:v>
                </c:pt>
                <c:pt idx="3845">
                  <c:v>0.20612259642355804</c:v>
                </c:pt>
                <c:pt idx="3846">
                  <c:v>0.24814613291445878</c:v>
                </c:pt>
                <c:pt idx="3847">
                  <c:v>0.1942175536848805</c:v>
                </c:pt>
                <c:pt idx="3848">
                  <c:v>0.19533336287289454</c:v>
                </c:pt>
                <c:pt idx="3849">
                  <c:v>0.19525425684087735</c:v>
                </c:pt>
                <c:pt idx="3850">
                  <c:v>0.2031692886274846</c:v>
                </c:pt>
                <c:pt idx="3851">
                  <c:v>0.19581256885847029</c:v>
                </c:pt>
                <c:pt idx="3852">
                  <c:v>0.20025635339158251</c:v>
                </c:pt>
                <c:pt idx="3853">
                  <c:v>0.22237687206414608</c:v>
                </c:pt>
                <c:pt idx="3854">
                  <c:v>0.26701372619050939</c:v>
                </c:pt>
                <c:pt idx="3855">
                  <c:v>0.20446678546935543</c:v>
                </c:pt>
                <c:pt idx="3856">
                  <c:v>0.25080145493788042</c:v>
                </c:pt>
                <c:pt idx="3857">
                  <c:v>0.22867737523106524</c:v>
                </c:pt>
                <c:pt idx="3858">
                  <c:v>0.20448045073160787</c:v>
                </c:pt>
                <c:pt idx="3859">
                  <c:v>0.23733320375380784</c:v>
                </c:pt>
                <c:pt idx="3860">
                  <c:v>0.19308346227949563</c:v>
                </c:pt>
                <c:pt idx="3861">
                  <c:v>0.20481347163838937</c:v>
                </c:pt>
                <c:pt idx="3862">
                  <c:v>0.28886864725233485</c:v>
                </c:pt>
                <c:pt idx="3863">
                  <c:v>0.21625087646178368</c:v>
                </c:pt>
                <c:pt idx="3864">
                  <c:v>0.22445392490336319</c:v>
                </c:pt>
                <c:pt idx="3865">
                  <c:v>0.27009256723488129</c:v>
                </c:pt>
                <c:pt idx="3866">
                  <c:v>0.19107813418024769</c:v>
                </c:pt>
                <c:pt idx="3867">
                  <c:v>0.21649341099736472</c:v>
                </c:pt>
                <c:pt idx="3868">
                  <c:v>0.26319359758061089</c:v>
                </c:pt>
                <c:pt idx="3869">
                  <c:v>0.19756372844778872</c:v>
                </c:pt>
                <c:pt idx="3870">
                  <c:v>0.19180552336116619</c:v>
                </c:pt>
                <c:pt idx="3871">
                  <c:v>0.2372583189743088</c:v>
                </c:pt>
                <c:pt idx="3872">
                  <c:v>0.19865853750434093</c:v>
                </c:pt>
                <c:pt idx="3873">
                  <c:v>0.19873792615760219</c:v>
                </c:pt>
                <c:pt idx="3874">
                  <c:v>0.19152186267040908</c:v>
                </c:pt>
                <c:pt idx="3875">
                  <c:v>0.21759449908481338</c:v>
                </c:pt>
                <c:pt idx="3876">
                  <c:v>0.2079842935932982</c:v>
                </c:pt>
                <c:pt idx="3877">
                  <c:v>0.2091293293626113</c:v>
                </c:pt>
                <c:pt idx="3878">
                  <c:v>0.22368539615319993</c:v>
                </c:pt>
                <c:pt idx="3879">
                  <c:v>0.228057368480617</c:v>
                </c:pt>
                <c:pt idx="3880">
                  <c:v>0.24118476642667838</c:v>
                </c:pt>
                <c:pt idx="3881">
                  <c:v>0.18874440439549531</c:v>
                </c:pt>
                <c:pt idx="3882">
                  <c:v>0.21092664012994794</c:v>
                </c:pt>
                <c:pt idx="3883">
                  <c:v>0.20973310861426933</c:v>
                </c:pt>
                <c:pt idx="3884">
                  <c:v>0.20900026766956187</c:v>
                </c:pt>
                <c:pt idx="3885">
                  <c:v>0.18878219866434826</c:v>
                </c:pt>
                <c:pt idx="3886">
                  <c:v>0.20745304495000683</c:v>
                </c:pt>
                <c:pt idx="3887">
                  <c:v>0.19180344965832105</c:v>
                </c:pt>
                <c:pt idx="3888">
                  <c:v>0.22783417951299517</c:v>
                </c:pt>
                <c:pt idx="3889">
                  <c:v>0.19954631827653752</c:v>
                </c:pt>
                <c:pt idx="3890">
                  <c:v>0.19673415615814388</c:v>
                </c:pt>
                <c:pt idx="3891">
                  <c:v>0.21888861176768556</c:v>
                </c:pt>
                <c:pt idx="3892">
                  <c:v>0.19885167748853638</c:v>
                </c:pt>
                <c:pt idx="3893">
                  <c:v>0.23619162343865024</c:v>
                </c:pt>
                <c:pt idx="3894">
                  <c:v>0.20731453665497895</c:v>
                </c:pt>
                <c:pt idx="3895">
                  <c:v>0.20856800570196815</c:v>
                </c:pt>
                <c:pt idx="3896">
                  <c:v>0.20391129319327661</c:v>
                </c:pt>
                <c:pt idx="3897">
                  <c:v>0.19428022341810747</c:v>
                </c:pt>
                <c:pt idx="3898">
                  <c:v>0.21898152614225572</c:v>
                </c:pt>
                <c:pt idx="3899">
                  <c:v>0.20223854071497627</c:v>
                </c:pt>
                <c:pt idx="3900">
                  <c:v>0.20205138391330868</c:v>
                </c:pt>
                <c:pt idx="3901">
                  <c:v>0.20878726147651541</c:v>
                </c:pt>
                <c:pt idx="3902">
                  <c:v>0.20136323253727961</c:v>
                </c:pt>
                <c:pt idx="3903">
                  <c:v>0.21214721708813231</c:v>
                </c:pt>
                <c:pt idx="3904">
                  <c:v>0.20017330343708428</c:v>
                </c:pt>
                <c:pt idx="3905">
                  <c:v>0.21537536755962708</c:v>
                </c:pt>
                <c:pt idx="3906">
                  <c:v>0.19650442497061663</c:v>
                </c:pt>
                <c:pt idx="3907">
                  <c:v>0.20215621271764936</c:v>
                </c:pt>
                <c:pt idx="3908">
                  <c:v>0.19956504153244295</c:v>
                </c:pt>
                <c:pt idx="3909">
                  <c:v>0.20864347624520557</c:v>
                </c:pt>
                <c:pt idx="3910">
                  <c:v>0.20596157364463227</c:v>
                </c:pt>
                <c:pt idx="3911">
                  <c:v>0.1899031943095652</c:v>
                </c:pt>
                <c:pt idx="3912">
                  <c:v>0.28739948044630553</c:v>
                </c:pt>
                <c:pt idx="3913">
                  <c:v>0.20747817415282532</c:v>
                </c:pt>
                <c:pt idx="3914">
                  <c:v>0.23737506801625455</c:v>
                </c:pt>
                <c:pt idx="3915">
                  <c:v>0.25168952494774943</c:v>
                </c:pt>
                <c:pt idx="3916">
                  <c:v>0.29256962921788482</c:v>
                </c:pt>
                <c:pt idx="3917">
                  <c:v>0.19844619312044059</c:v>
                </c:pt>
                <c:pt idx="3918">
                  <c:v>0.22054540516056809</c:v>
                </c:pt>
                <c:pt idx="3919">
                  <c:v>0.23995612290300433</c:v>
                </c:pt>
                <c:pt idx="3920">
                  <c:v>0.23137844522027332</c:v>
                </c:pt>
                <c:pt idx="3921">
                  <c:v>0.26151068046774084</c:v>
                </c:pt>
                <c:pt idx="3922">
                  <c:v>0.20820366133437121</c:v>
                </c:pt>
                <c:pt idx="3923">
                  <c:v>0.23562033975434554</c:v>
                </c:pt>
                <c:pt idx="3924">
                  <c:v>0.24816712431640423</c:v>
                </c:pt>
                <c:pt idx="3925">
                  <c:v>0.23627744851183591</c:v>
                </c:pt>
                <c:pt idx="3926">
                  <c:v>0.24264587568600149</c:v>
                </c:pt>
                <c:pt idx="3927">
                  <c:v>0.21285172056217944</c:v>
                </c:pt>
                <c:pt idx="3928">
                  <c:v>0.20392064163693527</c:v>
                </c:pt>
                <c:pt idx="3929">
                  <c:v>0.24266928001982357</c:v>
                </c:pt>
                <c:pt idx="3930">
                  <c:v>0.1995655458038679</c:v>
                </c:pt>
                <c:pt idx="3931">
                  <c:v>0.18968773620837898</c:v>
                </c:pt>
                <c:pt idx="3932">
                  <c:v>0.20319638995624356</c:v>
                </c:pt>
                <c:pt idx="3933">
                  <c:v>0.21321373516112735</c:v>
                </c:pt>
                <c:pt idx="3934">
                  <c:v>0.1942599741732382</c:v>
                </c:pt>
                <c:pt idx="3935">
                  <c:v>0.20923370264637262</c:v>
                </c:pt>
                <c:pt idx="3936">
                  <c:v>0.24136376707474405</c:v>
                </c:pt>
                <c:pt idx="3937">
                  <c:v>0.1914338628829701</c:v>
                </c:pt>
                <c:pt idx="3938">
                  <c:v>0.20903306604429422</c:v>
                </c:pt>
                <c:pt idx="3939">
                  <c:v>0.24952823485345704</c:v>
                </c:pt>
                <c:pt idx="3940">
                  <c:v>0.19541112481662598</c:v>
                </c:pt>
                <c:pt idx="3941">
                  <c:v>0.19635300906138312</c:v>
                </c:pt>
                <c:pt idx="3942">
                  <c:v>0.23401256801927062</c:v>
                </c:pt>
                <c:pt idx="3943">
                  <c:v>0.2310107386446042</c:v>
                </c:pt>
                <c:pt idx="3944">
                  <c:v>0.2047654637431644</c:v>
                </c:pt>
                <c:pt idx="3945">
                  <c:v>0.23966777082500401</c:v>
                </c:pt>
                <c:pt idx="3946">
                  <c:v>0.21651255672133876</c:v>
                </c:pt>
                <c:pt idx="3947">
                  <c:v>0.1961444936928185</c:v>
                </c:pt>
                <c:pt idx="3948">
                  <c:v>0.21785086119601837</c:v>
                </c:pt>
                <c:pt idx="3949">
                  <c:v>0.26080859615081003</c:v>
                </c:pt>
                <c:pt idx="3950">
                  <c:v>0.28064124915073163</c:v>
                </c:pt>
                <c:pt idx="3951">
                  <c:v>0.1976083882497108</c:v>
                </c:pt>
                <c:pt idx="3952">
                  <c:v>0.23292861174823948</c:v>
                </c:pt>
                <c:pt idx="3953">
                  <c:v>0.25654750959573197</c:v>
                </c:pt>
                <c:pt idx="3954">
                  <c:v>0.20292912557080739</c:v>
                </c:pt>
                <c:pt idx="3955">
                  <c:v>0.20894050030228445</c:v>
                </c:pt>
                <c:pt idx="3956">
                  <c:v>0.19854028380506422</c:v>
                </c:pt>
                <c:pt idx="3957">
                  <c:v>0.24629433121290351</c:v>
                </c:pt>
                <c:pt idx="3958">
                  <c:v>0.19571096626360579</c:v>
                </c:pt>
                <c:pt idx="3959">
                  <c:v>0.19049818137086746</c:v>
                </c:pt>
                <c:pt idx="3960">
                  <c:v>0.22854204619775573</c:v>
                </c:pt>
                <c:pt idx="3961">
                  <c:v>0.20250662902025959</c:v>
                </c:pt>
                <c:pt idx="3962">
                  <c:v>0.19906276678991491</c:v>
                </c:pt>
                <c:pt idx="3963">
                  <c:v>0.28487857675421641</c:v>
                </c:pt>
                <c:pt idx="3964">
                  <c:v>0.19268758232158326</c:v>
                </c:pt>
                <c:pt idx="3965">
                  <c:v>0.20634223735868726</c:v>
                </c:pt>
                <c:pt idx="3966">
                  <c:v>0.21974939038349442</c:v>
                </c:pt>
                <c:pt idx="3967">
                  <c:v>0.20618215427019171</c:v>
                </c:pt>
                <c:pt idx="3968">
                  <c:v>0.22703951648285803</c:v>
                </c:pt>
                <c:pt idx="3969">
                  <c:v>0.27281396899764337</c:v>
                </c:pt>
                <c:pt idx="3970">
                  <c:v>0.19656324697981883</c:v>
                </c:pt>
                <c:pt idx="3971">
                  <c:v>0.22784981373129221</c:v>
                </c:pt>
                <c:pt idx="3972">
                  <c:v>0.21827320151779231</c:v>
                </c:pt>
                <c:pt idx="3973">
                  <c:v>0.20290912508839534</c:v>
                </c:pt>
                <c:pt idx="3974">
                  <c:v>0.19721411620926468</c:v>
                </c:pt>
                <c:pt idx="3975">
                  <c:v>0.22431611938570595</c:v>
                </c:pt>
                <c:pt idx="3976">
                  <c:v>0.22858765084557961</c:v>
                </c:pt>
                <c:pt idx="3977">
                  <c:v>0.20930926464653998</c:v>
                </c:pt>
                <c:pt idx="3978">
                  <c:v>0.20607534388797033</c:v>
                </c:pt>
                <c:pt idx="3979">
                  <c:v>0.22124762844154011</c:v>
                </c:pt>
                <c:pt idx="3980">
                  <c:v>0.22514161365776214</c:v>
                </c:pt>
                <c:pt idx="3981">
                  <c:v>0.22290650552771243</c:v>
                </c:pt>
                <c:pt idx="3982">
                  <c:v>0.26030779583507152</c:v>
                </c:pt>
                <c:pt idx="3983">
                  <c:v>0.21374828691946574</c:v>
                </c:pt>
                <c:pt idx="3984">
                  <c:v>0.1923999581899058</c:v>
                </c:pt>
                <c:pt idx="3985">
                  <c:v>0.20873350533462884</c:v>
                </c:pt>
                <c:pt idx="3986">
                  <c:v>0.2559953682978382</c:v>
                </c:pt>
                <c:pt idx="3987">
                  <c:v>0.25799503039195371</c:v>
                </c:pt>
                <c:pt idx="3988">
                  <c:v>0.20303832833569369</c:v>
                </c:pt>
                <c:pt idx="3989">
                  <c:v>0.2175545098768947</c:v>
                </c:pt>
                <c:pt idx="3990">
                  <c:v>0.24013162730295529</c:v>
                </c:pt>
                <c:pt idx="3991">
                  <c:v>0.28991825941941918</c:v>
                </c:pt>
                <c:pt idx="3992">
                  <c:v>0.19734740081364607</c:v>
                </c:pt>
                <c:pt idx="3993">
                  <c:v>0.22617881489310454</c:v>
                </c:pt>
                <c:pt idx="3994">
                  <c:v>0.20043594178234272</c:v>
                </c:pt>
                <c:pt idx="3995">
                  <c:v>0.20374263042469221</c:v>
                </c:pt>
                <c:pt idx="3996">
                  <c:v>0.20384596045816941</c:v>
                </c:pt>
                <c:pt idx="3997">
                  <c:v>0.24982593111652049</c:v>
                </c:pt>
                <c:pt idx="3998">
                  <c:v>0.28569825901631452</c:v>
                </c:pt>
                <c:pt idx="3999">
                  <c:v>0.22338751237044352</c:v>
                </c:pt>
                <c:pt idx="4000">
                  <c:v>0.2092845772524588</c:v>
                </c:pt>
                <c:pt idx="4001">
                  <c:v>0.19785521072282414</c:v>
                </c:pt>
                <c:pt idx="4002">
                  <c:v>0.21487431730017928</c:v>
                </c:pt>
                <c:pt idx="4003">
                  <c:v>0.19084433398446329</c:v>
                </c:pt>
                <c:pt idx="4004">
                  <c:v>0.2495902638877858</c:v>
                </c:pt>
                <c:pt idx="4005">
                  <c:v>0.22737991893088588</c:v>
                </c:pt>
                <c:pt idx="4006">
                  <c:v>0.21934790147004854</c:v>
                </c:pt>
                <c:pt idx="4007">
                  <c:v>0.23013161620290856</c:v>
                </c:pt>
                <c:pt idx="4008">
                  <c:v>0.19594587057396914</c:v>
                </c:pt>
                <c:pt idx="4009">
                  <c:v>0.2054666966602845</c:v>
                </c:pt>
                <c:pt idx="4010">
                  <c:v>0.22593519161165904</c:v>
                </c:pt>
                <c:pt idx="4011">
                  <c:v>0.24384379503428771</c:v>
                </c:pt>
                <c:pt idx="4012">
                  <c:v>0.21807819325998179</c:v>
                </c:pt>
                <c:pt idx="4013">
                  <c:v>0.19387206149784209</c:v>
                </c:pt>
                <c:pt idx="4014">
                  <c:v>0.2071275293207826</c:v>
                </c:pt>
                <c:pt idx="4015">
                  <c:v>0.22245498153930721</c:v>
                </c:pt>
                <c:pt idx="4016">
                  <c:v>0.19955351506481281</c:v>
                </c:pt>
                <c:pt idx="4017">
                  <c:v>0.23562854531720701</c:v>
                </c:pt>
                <c:pt idx="4018">
                  <c:v>0.21863135173499099</c:v>
                </c:pt>
                <c:pt idx="4019">
                  <c:v>0.20327555763405519</c:v>
                </c:pt>
                <c:pt idx="4020">
                  <c:v>0.20343584525809724</c:v>
                </c:pt>
                <c:pt idx="4021">
                  <c:v>0.19509363404139873</c:v>
                </c:pt>
                <c:pt idx="4022">
                  <c:v>0.21145150596888818</c:v>
                </c:pt>
                <c:pt idx="4023">
                  <c:v>0.21897719801941315</c:v>
                </c:pt>
                <c:pt idx="4024">
                  <c:v>0.2132194013212827</c:v>
                </c:pt>
                <c:pt idx="4025">
                  <c:v>0.22182749078589886</c:v>
                </c:pt>
                <c:pt idx="4026">
                  <c:v>0.2296162036595927</c:v>
                </c:pt>
                <c:pt idx="4027">
                  <c:v>0.2006421047986405</c:v>
                </c:pt>
                <c:pt idx="4028">
                  <c:v>0.24853933686498192</c:v>
                </c:pt>
                <c:pt idx="4029">
                  <c:v>0.20319134229650271</c:v>
                </c:pt>
                <c:pt idx="4030">
                  <c:v>0.24932118067325404</c:v>
                </c:pt>
                <c:pt idx="4031">
                  <c:v>0.22027265671762911</c:v>
                </c:pt>
                <c:pt idx="4032">
                  <c:v>0.20276096038902452</c:v>
                </c:pt>
                <c:pt idx="4033">
                  <c:v>0.22824799323423842</c:v>
                </c:pt>
                <c:pt idx="4034">
                  <c:v>0.22523165866662131</c:v>
                </c:pt>
                <c:pt idx="4035">
                  <c:v>0.18873801679948532</c:v>
                </c:pt>
                <c:pt idx="4036">
                  <c:v>0.2083973493560371</c:v>
                </c:pt>
                <c:pt idx="4037">
                  <c:v>0.19270322100356696</c:v>
                </c:pt>
                <c:pt idx="4038">
                  <c:v>0.23805786814769106</c:v>
                </c:pt>
                <c:pt idx="4039">
                  <c:v>0.29315423027140491</c:v>
                </c:pt>
                <c:pt idx="4040">
                  <c:v>0.2539123396174448</c:v>
                </c:pt>
                <c:pt idx="4041">
                  <c:v>0.23284310933622121</c:v>
                </c:pt>
                <c:pt idx="4042">
                  <c:v>0.23634506085502743</c:v>
                </c:pt>
                <c:pt idx="4043">
                  <c:v>0.21551247592223391</c:v>
                </c:pt>
                <c:pt idx="4044">
                  <c:v>0.26076417522745693</c:v>
                </c:pt>
                <c:pt idx="4045">
                  <c:v>0.22864677654255508</c:v>
                </c:pt>
                <c:pt idx="4046">
                  <c:v>0.1900120411665279</c:v>
                </c:pt>
                <c:pt idx="4047">
                  <c:v>0.23092120047324044</c:v>
                </c:pt>
                <c:pt idx="4048">
                  <c:v>0.19794317327808242</c:v>
                </c:pt>
                <c:pt idx="4049">
                  <c:v>0.27273913894919133</c:v>
                </c:pt>
                <c:pt idx="4050">
                  <c:v>0.19043163758062984</c:v>
                </c:pt>
                <c:pt idx="4051">
                  <c:v>0.1997592109883225</c:v>
                </c:pt>
                <c:pt idx="4052">
                  <c:v>0.19235961543676924</c:v>
                </c:pt>
                <c:pt idx="4053">
                  <c:v>0.21095805713592899</c:v>
                </c:pt>
                <c:pt idx="4054">
                  <c:v>0.22235742941370004</c:v>
                </c:pt>
                <c:pt idx="4055">
                  <c:v>0.21796125168321262</c:v>
                </c:pt>
                <c:pt idx="4056">
                  <c:v>0.23263689431510606</c:v>
                </c:pt>
                <c:pt idx="4057">
                  <c:v>0.22424491085260012</c:v>
                </c:pt>
                <c:pt idx="4058">
                  <c:v>0.2255155712424663</c:v>
                </c:pt>
                <c:pt idx="4059">
                  <c:v>0.21167123076701924</c:v>
                </c:pt>
                <c:pt idx="4060">
                  <c:v>0.22724642712015472</c:v>
                </c:pt>
                <c:pt idx="4061">
                  <c:v>0.20192310561666546</c:v>
                </c:pt>
                <c:pt idx="4062">
                  <c:v>0.19880019988258577</c:v>
                </c:pt>
                <c:pt idx="4063">
                  <c:v>0.25081321477129315</c:v>
                </c:pt>
                <c:pt idx="4064">
                  <c:v>0.21290806119496458</c:v>
                </c:pt>
                <c:pt idx="4065">
                  <c:v>0.21112917000491399</c:v>
                </c:pt>
                <c:pt idx="4066">
                  <c:v>0.22324546651393062</c:v>
                </c:pt>
                <c:pt idx="4067">
                  <c:v>0.20683201406134014</c:v>
                </c:pt>
                <c:pt idx="4068">
                  <c:v>0.195243261365693</c:v>
                </c:pt>
                <c:pt idx="4069">
                  <c:v>0.19511598870238717</c:v>
                </c:pt>
                <c:pt idx="4070">
                  <c:v>0.19742845056900146</c:v>
                </c:pt>
                <c:pt idx="4071">
                  <c:v>0.1932631686225981</c:v>
                </c:pt>
                <c:pt idx="4072">
                  <c:v>0.22615945434305262</c:v>
                </c:pt>
                <c:pt idx="4073">
                  <c:v>0.21587920404753719</c:v>
                </c:pt>
                <c:pt idx="4074">
                  <c:v>0.19038166164288453</c:v>
                </c:pt>
                <c:pt idx="4075">
                  <c:v>0.25482127748089339</c:v>
                </c:pt>
                <c:pt idx="4076">
                  <c:v>0.21889441580794852</c:v>
                </c:pt>
                <c:pt idx="4077">
                  <c:v>0.20348143934399601</c:v>
                </c:pt>
                <c:pt idx="4078">
                  <c:v>0.23311491726892128</c:v>
                </c:pt>
                <c:pt idx="4079">
                  <c:v>0.19221870774949962</c:v>
                </c:pt>
                <c:pt idx="4080">
                  <c:v>0.29401344447871586</c:v>
                </c:pt>
                <c:pt idx="4081">
                  <c:v>0.22789289332737495</c:v>
                </c:pt>
                <c:pt idx="4082">
                  <c:v>0.20681886594318533</c:v>
                </c:pt>
                <c:pt idx="4083">
                  <c:v>0.24850080691741658</c:v>
                </c:pt>
                <c:pt idx="4084">
                  <c:v>0.18992604621461079</c:v>
                </c:pt>
                <c:pt idx="4085">
                  <c:v>0.19572484592120556</c:v>
                </c:pt>
                <c:pt idx="4086">
                  <c:v>0.19754391431396587</c:v>
                </c:pt>
                <c:pt idx="4087">
                  <c:v>0.22485569614995293</c:v>
                </c:pt>
                <c:pt idx="4088">
                  <c:v>0.19646822242405454</c:v>
                </c:pt>
                <c:pt idx="4089">
                  <c:v>0.21105848627977578</c:v>
                </c:pt>
                <c:pt idx="4090">
                  <c:v>0.2310404212619801</c:v>
                </c:pt>
                <c:pt idx="4091">
                  <c:v>0.25954885612884798</c:v>
                </c:pt>
                <c:pt idx="4092">
                  <c:v>0.27533968439209694</c:v>
                </c:pt>
                <c:pt idx="4093">
                  <c:v>0.25898546020645336</c:v>
                </c:pt>
                <c:pt idx="4094">
                  <c:v>0.22932313902603335</c:v>
                </c:pt>
                <c:pt idx="4095">
                  <c:v>0.22790340381884105</c:v>
                </c:pt>
                <c:pt idx="4096">
                  <c:v>0.22302230814758575</c:v>
                </c:pt>
                <c:pt idx="4097">
                  <c:v>0.19463594325760322</c:v>
                </c:pt>
                <c:pt idx="4098">
                  <c:v>0.24599686622731107</c:v>
                </c:pt>
                <c:pt idx="4099">
                  <c:v>0.22265081565451025</c:v>
                </c:pt>
                <c:pt idx="4100">
                  <c:v>0.19642604929434229</c:v>
                </c:pt>
                <c:pt idx="4101">
                  <c:v>0.2061975503953653</c:v>
                </c:pt>
                <c:pt idx="4102">
                  <c:v>0.23782469775344278</c:v>
                </c:pt>
                <c:pt idx="4103">
                  <c:v>0.23213561956967763</c:v>
                </c:pt>
                <c:pt idx="4104">
                  <c:v>0.18937149664387526</c:v>
                </c:pt>
                <c:pt idx="4105">
                  <c:v>0.19135869805270442</c:v>
                </c:pt>
                <c:pt idx="4106">
                  <c:v>0.21985688502444331</c:v>
                </c:pt>
                <c:pt idx="4107">
                  <c:v>0.25228391704024566</c:v>
                </c:pt>
                <c:pt idx="4108">
                  <c:v>0.19922529818480639</c:v>
                </c:pt>
                <c:pt idx="4109">
                  <c:v>0.22594048963431165</c:v>
                </c:pt>
                <c:pt idx="4110">
                  <c:v>0.20842332449479709</c:v>
                </c:pt>
                <c:pt idx="4111">
                  <c:v>0.19774927344821611</c:v>
                </c:pt>
                <c:pt idx="4112">
                  <c:v>0.24951589345679392</c:v>
                </c:pt>
                <c:pt idx="4113">
                  <c:v>0.2949653674186114</c:v>
                </c:pt>
                <c:pt idx="4114">
                  <c:v>0.19712911475986214</c:v>
                </c:pt>
                <c:pt idx="4115">
                  <c:v>0.19994427594434175</c:v>
                </c:pt>
                <c:pt idx="4116">
                  <c:v>0.21609508720641665</c:v>
                </c:pt>
                <c:pt idx="4117">
                  <c:v>0.19590071211817575</c:v>
                </c:pt>
                <c:pt idx="4118">
                  <c:v>0.24776958779890057</c:v>
                </c:pt>
                <c:pt idx="4119">
                  <c:v>0.19480131190894773</c:v>
                </c:pt>
                <c:pt idx="4120">
                  <c:v>0.20580318420762272</c:v>
                </c:pt>
                <c:pt idx="4121">
                  <c:v>0.23988540857016005</c:v>
                </c:pt>
                <c:pt idx="4122">
                  <c:v>0.2357097573848479</c:v>
                </c:pt>
                <c:pt idx="4123">
                  <c:v>0.19549221080321522</c:v>
                </c:pt>
                <c:pt idx="4124">
                  <c:v>0.19282300873912334</c:v>
                </c:pt>
                <c:pt idx="4125">
                  <c:v>0.21558319587682739</c:v>
                </c:pt>
                <c:pt idx="4126">
                  <c:v>0.22415739176426827</c:v>
                </c:pt>
                <c:pt idx="4127">
                  <c:v>0.22271524056913156</c:v>
                </c:pt>
                <c:pt idx="4128">
                  <c:v>0.20589522183342221</c:v>
                </c:pt>
                <c:pt idx="4129">
                  <c:v>0.20711241830030264</c:v>
                </c:pt>
                <c:pt idx="4130">
                  <c:v>0.22647217893944449</c:v>
                </c:pt>
                <c:pt idx="4131">
                  <c:v>0.20775738539385352</c:v>
                </c:pt>
                <c:pt idx="4132">
                  <c:v>0.18945598283587944</c:v>
                </c:pt>
                <c:pt idx="4133">
                  <c:v>0.23626261717426003</c:v>
                </c:pt>
                <c:pt idx="4134">
                  <c:v>0.19250692077511011</c:v>
                </c:pt>
                <c:pt idx="4135">
                  <c:v>0.20821239503218539</c:v>
                </c:pt>
                <c:pt idx="4136">
                  <c:v>0.19055614585069486</c:v>
                </c:pt>
                <c:pt idx="4137">
                  <c:v>0.20491595520255249</c:v>
                </c:pt>
                <c:pt idx="4138">
                  <c:v>0.19449108149221436</c:v>
                </c:pt>
                <c:pt idx="4139">
                  <c:v>0.22269777192024723</c:v>
                </c:pt>
                <c:pt idx="4140">
                  <c:v>0.20362067257072394</c:v>
                </c:pt>
                <c:pt idx="4141">
                  <c:v>0.19395924512799892</c:v>
                </c:pt>
                <c:pt idx="4142">
                  <c:v>0.23401152365515826</c:v>
                </c:pt>
                <c:pt idx="4143">
                  <c:v>0.221536759478941</c:v>
                </c:pt>
                <c:pt idx="4144">
                  <c:v>0.2030724815322717</c:v>
                </c:pt>
                <c:pt idx="4145">
                  <c:v>0.22301396006440152</c:v>
                </c:pt>
                <c:pt idx="4146">
                  <c:v>0.19004055381730917</c:v>
                </c:pt>
                <c:pt idx="4147">
                  <c:v>0.2139967445431602</c:v>
                </c:pt>
                <c:pt idx="4148">
                  <c:v>0.19378161529430385</c:v>
                </c:pt>
                <c:pt idx="4149">
                  <c:v>0.19264738366666984</c:v>
                </c:pt>
                <c:pt idx="4150">
                  <c:v>0.22678894776109157</c:v>
                </c:pt>
                <c:pt idx="4151">
                  <c:v>0.20894862496683331</c:v>
                </c:pt>
                <c:pt idx="4152">
                  <c:v>0.19560877561569179</c:v>
                </c:pt>
                <c:pt idx="4153">
                  <c:v>0.22147505658513308</c:v>
                </c:pt>
                <c:pt idx="4154">
                  <c:v>0.24503825715976993</c:v>
                </c:pt>
                <c:pt idx="4155">
                  <c:v>0.22088852089218811</c:v>
                </c:pt>
                <c:pt idx="4156">
                  <c:v>0.22978176530517874</c:v>
                </c:pt>
                <c:pt idx="4157">
                  <c:v>0.24034251600743134</c:v>
                </c:pt>
                <c:pt idx="4158">
                  <c:v>0.28004087580553633</c:v>
                </c:pt>
                <c:pt idx="4159">
                  <c:v>0.20587596019258939</c:v>
                </c:pt>
                <c:pt idx="4160">
                  <c:v>0.20315625967539769</c:v>
                </c:pt>
                <c:pt idx="4161">
                  <c:v>0.19603005776927268</c:v>
                </c:pt>
                <c:pt idx="4162">
                  <c:v>0.20150782617180013</c:v>
                </c:pt>
                <c:pt idx="4163">
                  <c:v>0.2041741715862288</c:v>
                </c:pt>
                <c:pt idx="4164">
                  <c:v>0.21904352780251099</c:v>
                </c:pt>
                <c:pt idx="4165">
                  <c:v>0.24177230532606958</c:v>
                </c:pt>
                <c:pt idx="4166">
                  <c:v>0.19674834183090928</c:v>
                </c:pt>
                <c:pt idx="4167">
                  <c:v>0.21883609196339227</c:v>
                </c:pt>
                <c:pt idx="4168">
                  <c:v>0.20172993810334869</c:v>
                </c:pt>
                <c:pt idx="4169">
                  <c:v>0.20732421438803175</c:v>
                </c:pt>
                <c:pt idx="4170">
                  <c:v>0.22966112151146037</c:v>
                </c:pt>
                <c:pt idx="4171">
                  <c:v>0.19756231386375278</c:v>
                </c:pt>
                <c:pt idx="4172">
                  <c:v>0.18896698534529344</c:v>
                </c:pt>
                <c:pt idx="4173">
                  <c:v>0.2291070846047048</c:v>
                </c:pt>
                <c:pt idx="4174">
                  <c:v>0.19933638210204935</c:v>
                </c:pt>
                <c:pt idx="4175">
                  <c:v>0.20001663000837311</c:v>
                </c:pt>
                <c:pt idx="4176">
                  <c:v>0.19572056200796778</c:v>
                </c:pt>
                <c:pt idx="4177">
                  <c:v>0.19208423529499058</c:v>
                </c:pt>
                <c:pt idx="4178">
                  <c:v>0.18944548200286829</c:v>
                </c:pt>
                <c:pt idx="4179">
                  <c:v>0.20841960802197856</c:v>
                </c:pt>
                <c:pt idx="4180">
                  <c:v>0.25177622264969723</c:v>
                </c:pt>
                <c:pt idx="4181">
                  <c:v>0.20592250766989031</c:v>
                </c:pt>
                <c:pt idx="4182">
                  <c:v>0.21787392049801779</c:v>
                </c:pt>
                <c:pt idx="4183">
                  <c:v>0.23325209482969961</c:v>
                </c:pt>
                <c:pt idx="4184">
                  <c:v>0.2021056828003398</c:v>
                </c:pt>
                <c:pt idx="4185">
                  <c:v>0.19876036954981663</c:v>
                </c:pt>
                <c:pt idx="4186">
                  <c:v>0.20192859416051423</c:v>
                </c:pt>
                <c:pt idx="4187">
                  <c:v>0.19703955105034465</c:v>
                </c:pt>
                <c:pt idx="4188">
                  <c:v>0.19647098710226671</c:v>
                </c:pt>
                <c:pt idx="4189">
                  <c:v>0.19350691746671228</c:v>
                </c:pt>
                <c:pt idx="4190">
                  <c:v>0.19216512162626745</c:v>
                </c:pt>
                <c:pt idx="4191">
                  <c:v>0.24192771679747438</c:v>
                </c:pt>
                <c:pt idx="4192">
                  <c:v>0.30365661637615016</c:v>
                </c:pt>
                <c:pt idx="4193">
                  <c:v>0.21283293686520383</c:v>
                </c:pt>
                <c:pt idx="4194">
                  <c:v>0.20557823058665617</c:v>
                </c:pt>
                <c:pt idx="4195">
                  <c:v>0.22329623296686515</c:v>
                </c:pt>
                <c:pt idx="4196">
                  <c:v>0.22500889547345679</c:v>
                </c:pt>
                <c:pt idx="4197">
                  <c:v>0.2183401552956214</c:v>
                </c:pt>
                <c:pt idx="4198">
                  <c:v>0.23381593747462648</c:v>
                </c:pt>
                <c:pt idx="4199">
                  <c:v>0.22333525884183497</c:v>
                </c:pt>
                <c:pt idx="4200">
                  <c:v>0.20902315915761335</c:v>
                </c:pt>
                <c:pt idx="4201">
                  <c:v>0.19521607996911244</c:v>
                </c:pt>
                <c:pt idx="4202">
                  <c:v>0.2480636432464684</c:v>
                </c:pt>
                <c:pt idx="4203">
                  <c:v>0.23612545907068894</c:v>
                </c:pt>
                <c:pt idx="4204">
                  <c:v>0.22485588858189623</c:v>
                </c:pt>
                <c:pt idx="4205">
                  <c:v>0.29608323287920485</c:v>
                </c:pt>
                <c:pt idx="4206">
                  <c:v>0.20111865093035691</c:v>
                </c:pt>
                <c:pt idx="4207">
                  <c:v>0.22298787048501773</c:v>
                </c:pt>
                <c:pt idx="4208">
                  <c:v>0.21314176150526934</c:v>
                </c:pt>
                <c:pt idx="4209">
                  <c:v>0.19124186388300637</c:v>
                </c:pt>
                <c:pt idx="4210">
                  <c:v>0.23666001408707521</c:v>
                </c:pt>
                <c:pt idx="4211">
                  <c:v>0.20745240287653502</c:v>
                </c:pt>
                <c:pt idx="4212">
                  <c:v>0.21816544669199212</c:v>
                </c:pt>
                <c:pt idx="4213">
                  <c:v>0.20694632606340777</c:v>
                </c:pt>
                <c:pt idx="4214">
                  <c:v>0.21670360839398967</c:v>
                </c:pt>
                <c:pt idx="4215">
                  <c:v>0.19316426579070972</c:v>
                </c:pt>
                <c:pt idx="4216">
                  <c:v>0.22189872324467191</c:v>
                </c:pt>
                <c:pt idx="4217">
                  <c:v>0.2234973706239303</c:v>
                </c:pt>
                <c:pt idx="4218">
                  <c:v>0.21444396058803922</c:v>
                </c:pt>
                <c:pt idx="4219">
                  <c:v>0.19835458342127882</c:v>
                </c:pt>
                <c:pt idx="4220">
                  <c:v>0.25682521295008326</c:v>
                </c:pt>
                <c:pt idx="4221">
                  <c:v>0.23346970622153271</c:v>
                </c:pt>
                <c:pt idx="4222">
                  <c:v>0.19694748031015508</c:v>
                </c:pt>
                <c:pt idx="4223">
                  <c:v>0.25620746498277991</c:v>
                </c:pt>
                <c:pt idx="4224">
                  <c:v>0.21885045077242979</c:v>
                </c:pt>
                <c:pt idx="4225">
                  <c:v>0.20500275685692779</c:v>
                </c:pt>
                <c:pt idx="4226">
                  <c:v>0.19994402983136678</c:v>
                </c:pt>
                <c:pt idx="4227">
                  <c:v>0.2190249974127598</c:v>
                </c:pt>
                <c:pt idx="4228">
                  <c:v>0.25306010597618833</c:v>
                </c:pt>
                <c:pt idx="4229">
                  <c:v>0.19007390695725129</c:v>
                </c:pt>
                <c:pt idx="4230">
                  <c:v>0.21192477240479868</c:v>
                </c:pt>
                <c:pt idx="4231">
                  <c:v>0.20168011894056542</c:v>
                </c:pt>
                <c:pt idx="4232">
                  <c:v>0.24718587215797502</c:v>
                </c:pt>
                <c:pt idx="4233">
                  <c:v>0.20764018283329094</c:v>
                </c:pt>
                <c:pt idx="4234">
                  <c:v>0.22823391128352605</c:v>
                </c:pt>
                <c:pt idx="4235">
                  <c:v>0.22691173888065033</c:v>
                </c:pt>
                <c:pt idx="4236">
                  <c:v>0.26227443834499053</c:v>
                </c:pt>
                <c:pt idx="4237">
                  <c:v>0.20519790831516049</c:v>
                </c:pt>
                <c:pt idx="4238">
                  <c:v>0.22640646989143348</c:v>
                </c:pt>
                <c:pt idx="4239">
                  <c:v>0.22468382446113447</c:v>
                </c:pt>
                <c:pt idx="4240">
                  <c:v>0.2558045055304129</c:v>
                </c:pt>
                <c:pt idx="4241">
                  <c:v>0.29483045162144589</c:v>
                </c:pt>
                <c:pt idx="4242">
                  <c:v>0.24044306703504797</c:v>
                </c:pt>
                <c:pt idx="4243">
                  <c:v>0.23248359427312884</c:v>
                </c:pt>
                <c:pt idx="4244">
                  <c:v>0.20203360904443687</c:v>
                </c:pt>
                <c:pt idx="4245">
                  <c:v>0.24003176582173352</c:v>
                </c:pt>
                <c:pt idx="4246">
                  <c:v>0.2859888773444389</c:v>
                </c:pt>
                <c:pt idx="4247">
                  <c:v>0.19138933951011955</c:v>
                </c:pt>
                <c:pt idx="4248">
                  <c:v>0.23525629667203601</c:v>
                </c:pt>
                <c:pt idx="4249">
                  <c:v>0.19889982660445985</c:v>
                </c:pt>
                <c:pt idx="4250">
                  <c:v>0.26863161067289687</c:v>
                </c:pt>
                <c:pt idx="4251">
                  <c:v>0.19961750170907863</c:v>
                </c:pt>
                <c:pt idx="4252">
                  <c:v>0.24701040529266668</c:v>
                </c:pt>
                <c:pt idx="4253">
                  <c:v>0.25184420037735511</c:v>
                </c:pt>
                <c:pt idx="4254">
                  <c:v>0.19025367131546458</c:v>
                </c:pt>
                <c:pt idx="4255">
                  <c:v>0.20207550205464789</c:v>
                </c:pt>
                <c:pt idx="4256">
                  <c:v>0.21893501245263008</c:v>
                </c:pt>
                <c:pt idx="4257">
                  <c:v>0.23374859167314702</c:v>
                </c:pt>
                <c:pt idx="4258">
                  <c:v>0.23752100357198677</c:v>
                </c:pt>
                <c:pt idx="4259">
                  <c:v>0.23677769137453852</c:v>
                </c:pt>
                <c:pt idx="4260">
                  <c:v>0.18975193403359653</c:v>
                </c:pt>
                <c:pt idx="4261">
                  <c:v>0.22436729895779975</c:v>
                </c:pt>
                <c:pt idx="4262">
                  <c:v>0.20418247690744279</c:v>
                </c:pt>
                <c:pt idx="4263">
                  <c:v>0.20340712715975212</c:v>
                </c:pt>
                <c:pt idx="4264">
                  <c:v>0.18936826007797083</c:v>
                </c:pt>
                <c:pt idx="4265">
                  <c:v>0.19861079858495309</c:v>
                </c:pt>
                <c:pt idx="4266">
                  <c:v>0.23585953194492179</c:v>
                </c:pt>
                <c:pt idx="4267">
                  <c:v>0.2486811791368593</c:v>
                </c:pt>
                <c:pt idx="4268">
                  <c:v>0.24944043136193858</c:v>
                </c:pt>
                <c:pt idx="4269">
                  <c:v>0.23417822000254127</c:v>
                </c:pt>
                <c:pt idx="4270">
                  <c:v>0.23051467203134643</c:v>
                </c:pt>
                <c:pt idx="4271">
                  <c:v>0.21096082244254705</c:v>
                </c:pt>
                <c:pt idx="4272">
                  <c:v>0.28316900972490022</c:v>
                </c:pt>
                <c:pt idx="4273">
                  <c:v>0.1941883654121577</c:v>
                </c:pt>
                <c:pt idx="4274">
                  <c:v>0.18911083023356628</c:v>
                </c:pt>
                <c:pt idx="4275">
                  <c:v>0.22241000642692596</c:v>
                </c:pt>
                <c:pt idx="4276">
                  <c:v>0.22054641067956246</c:v>
                </c:pt>
                <c:pt idx="4277">
                  <c:v>0.21638878873037665</c:v>
                </c:pt>
                <c:pt idx="4278">
                  <c:v>0.22410978483825947</c:v>
                </c:pt>
                <c:pt idx="4279">
                  <c:v>0.19396446004143936</c:v>
                </c:pt>
                <c:pt idx="4280">
                  <c:v>0.19444216212710105</c:v>
                </c:pt>
                <c:pt idx="4281">
                  <c:v>0.2016620297252136</c:v>
                </c:pt>
                <c:pt idx="4282">
                  <c:v>0.20301208200380205</c:v>
                </c:pt>
                <c:pt idx="4283">
                  <c:v>0.22253816357748921</c:v>
                </c:pt>
                <c:pt idx="4284">
                  <c:v>0.20548611925971097</c:v>
                </c:pt>
                <c:pt idx="4285">
                  <c:v>0.29215639414200117</c:v>
                </c:pt>
                <c:pt idx="4286">
                  <c:v>0.25580389922445806</c:v>
                </c:pt>
                <c:pt idx="4287">
                  <c:v>0.24107342716262725</c:v>
                </c:pt>
                <c:pt idx="4288">
                  <c:v>0.21330288809955295</c:v>
                </c:pt>
                <c:pt idx="4289">
                  <c:v>0.31850816249000846</c:v>
                </c:pt>
                <c:pt idx="4290">
                  <c:v>0.21292559052267129</c:v>
                </c:pt>
                <c:pt idx="4291">
                  <c:v>0.20866078625739931</c:v>
                </c:pt>
                <c:pt idx="4292">
                  <c:v>0.19403588154150225</c:v>
                </c:pt>
                <c:pt idx="4293">
                  <c:v>0.227681094435387</c:v>
                </c:pt>
                <c:pt idx="4294">
                  <c:v>0.20258969654049774</c:v>
                </c:pt>
                <c:pt idx="4295">
                  <c:v>0.20663570949728385</c:v>
                </c:pt>
                <c:pt idx="4296">
                  <c:v>0.19893043781356468</c:v>
                </c:pt>
                <c:pt idx="4297">
                  <c:v>0.19354308021371247</c:v>
                </c:pt>
                <c:pt idx="4298">
                  <c:v>0.19474746517899336</c:v>
                </c:pt>
                <c:pt idx="4299">
                  <c:v>0.20885650451624274</c:v>
                </c:pt>
                <c:pt idx="4300">
                  <c:v>0.22011977039119243</c:v>
                </c:pt>
                <c:pt idx="4301">
                  <c:v>0.20207487427928419</c:v>
                </c:pt>
                <c:pt idx="4302">
                  <c:v>0.24918791483471195</c:v>
                </c:pt>
                <c:pt idx="4303">
                  <c:v>0.2027088787848135</c:v>
                </c:pt>
                <c:pt idx="4304">
                  <c:v>0.21772606634450078</c:v>
                </c:pt>
                <c:pt idx="4305">
                  <c:v>0.19256545082887652</c:v>
                </c:pt>
                <c:pt idx="4306">
                  <c:v>0.19030456578259031</c:v>
                </c:pt>
                <c:pt idx="4307">
                  <c:v>0.19833622255128017</c:v>
                </c:pt>
                <c:pt idx="4308">
                  <c:v>0.20081381871189843</c:v>
                </c:pt>
                <c:pt idx="4309">
                  <c:v>0.19353751561418023</c:v>
                </c:pt>
                <c:pt idx="4310">
                  <c:v>0.22632396799458596</c:v>
                </c:pt>
                <c:pt idx="4311">
                  <c:v>0.24139206871639582</c:v>
                </c:pt>
                <c:pt idx="4312">
                  <c:v>0.2015258786175862</c:v>
                </c:pt>
                <c:pt idx="4313">
                  <c:v>0.21198140848139974</c:v>
                </c:pt>
                <c:pt idx="4314">
                  <c:v>0.20364848089459869</c:v>
                </c:pt>
                <c:pt idx="4315">
                  <c:v>0.23049797322368665</c:v>
                </c:pt>
                <c:pt idx="4316">
                  <c:v>0.22958538906790815</c:v>
                </c:pt>
                <c:pt idx="4317">
                  <c:v>0.19530790816652202</c:v>
                </c:pt>
                <c:pt idx="4318">
                  <c:v>0.20213926069339982</c:v>
                </c:pt>
                <c:pt idx="4319">
                  <c:v>0.2544369611352808</c:v>
                </c:pt>
                <c:pt idx="4320">
                  <c:v>0.19765217896292292</c:v>
                </c:pt>
                <c:pt idx="4321">
                  <c:v>0.20604508037733346</c:v>
                </c:pt>
                <c:pt idx="4322">
                  <c:v>0.19872309137274513</c:v>
                </c:pt>
                <c:pt idx="4323">
                  <c:v>0.23072264949257335</c:v>
                </c:pt>
                <c:pt idx="4324">
                  <c:v>0.21151539795856703</c:v>
                </c:pt>
                <c:pt idx="4325">
                  <c:v>0.19097770914362808</c:v>
                </c:pt>
                <c:pt idx="4326">
                  <c:v>0.19874549957023038</c:v>
                </c:pt>
                <c:pt idx="4327">
                  <c:v>0.21035907608108034</c:v>
                </c:pt>
                <c:pt idx="4328">
                  <c:v>0.19687796880350147</c:v>
                </c:pt>
                <c:pt idx="4329">
                  <c:v>0.20920200939836625</c:v>
                </c:pt>
                <c:pt idx="4330">
                  <c:v>0.20516309655993559</c:v>
                </c:pt>
                <c:pt idx="4331">
                  <c:v>0.22461759725839978</c:v>
                </c:pt>
                <c:pt idx="4332">
                  <c:v>0.21053272246852664</c:v>
                </c:pt>
                <c:pt idx="4333">
                  <c:v>0.19304841420100285</c:v>
                </c:pt>
                <c:pt idx="4334">
                  <c:v>0.20306535145614324</c:v>
                </c:pt>
                <c:pt idx="4335">
                  <c:v>0.18959521471037255</c:v>
                </c:pt>
                <c:pt idx="4336">
                  <c:v>0.26452587126590116</c:v>
                </c:pt>
                <c:pt idx="4337">
                  <c:v>0.20505675605967977</c:v>
                </c:pt>
                <c:pt idx="4338">
                  <c:v>0.20478727552176243</c:v>
                </c:pt>
                <c:pt idx="4339">
                  <c:v>0.18919487187528289</c:v>
                </c:pt>
                <c:pt idx="4340">
                  <c:v>0.25269074553254595</c:v>
                </c:pt>
                <c:pt idx="4341">
                  <c:v>0.19165461620473423</c:v>
                </c:pt>
                <c:pt idx="4342">
                  <c:v>0.20102403720021572</c:v>
                </c:pt>
                <c:pt idx="4343">
                  <c:v>0.1941823895165507</c:v>
                </c:pt>
                <c:pt idx="4344">
                  <c:v>0.22821427103868427</c:v>
                </c:pt>
                <c:pt idx="4345">
                  <c:v>0.19198199722538153</c:v>
                </c:pt>
                <c:pt idx="4346">
                  <c:v>0.19164374464361947</c:v>
                </c:pt>
                <c:pt idx="4347">
                  <c:v>0.19301662206360809</c:v>
                </c:pt>
                <c:pt idx="4348">
                  <c:v>0.21340598346041387</c:v>
                </c:pt>
                <c:pt idx="4349">
                  <c:v>0.21574067911261979</c:v>
                </c:pt>
                <c:pt idx="4350">
                  <c:v>0.20133872404733208</c:v>
                </c:pt>
                <c:pt idx="4351">
                  <c:v>0.22430019522380534</c:v>
                </c:pt>
                <c:pt idx="4352">
                  <c:v>0.20619905340081249</c:v>
                </c:pt>
                <c:pt idx="4353">
                  <c:v>0.32501724081502587</c:v>
                </c:pt>
                <c:pt idx="4354">
                  <c:v>0.19505129408368341</c:v>
                </c:pt>
                <c:pt idx="4355">
                  <c:v>0.19681796936537715</c:v>
                </c:pt>
                <c:pt idx="4356">
                  <c:v>0.23211735887710236</c:v>
                </c:pt>
                <c:pt idx="4357">
                  <c:v>0.19592028267506342</c:v>
                </c:pt>
                <c:pt idx="4358">
                  <c:v>0.20599148315902929</c:v>
                </c:pt>
                <c:pt idx="4359">
                  <c:v>0.21540189158068168</c:v>
                </c:pt>
                <c:pt idx="4360">
                  <c:v>0.19734625085158997</c:v>
                </c:pt>
                <c:pt idx="4361">
                  <c:v>0.20221139965406906</c:v>
                </c:pt>
                <c:pt idx="4362">
                  <c:v>0.19867418117207389</c:v>
                </c:pt>
                <c:pt idx="4363">
                  <c:v>0.19443476963385517</c:v>
                </c:pt>
                <c:pt idx="4364">
                  <c:v>0.2092036530465177</c:v>
                </c:pt>
                <c:pt idx="4365">
                  <c:v>0.22484681935724218</c:v>
                </c:pt>
                <c:pt idx="4366">
                  <c:v>0.18943354940182996</c:v>
                </c:pt>
                <c:pt idx="4367">
                  <c:v>0.26572208934168157</c:v>
                </c:pt>
                <c:pt idx="4368">
                  <c:v>0.23027490986555427</c:v>
                </c:pt>
                <c:pt idx="4369">
                  <c:v>0.24133631726957486</c:v>
                </c:pt>
                <c:pt idx="4370">
                  <c:v>0.19729699107870399</c:v>
                </c:pt>
                <c:pt idx="4371">
                  <c:v>0.19034558235616555</c:v>
                </c:pt>
                <c:pt idx="4372">
                  <c:v>0.22287067139922706</c:v>
                </c:pt>
                <c:pt idx="4373">
                  <c:v>0.23075840365018421</c:v>
                </c:pt>
                <c:pt idx="4374">
                  <c:v>0.19888089933772654</c:v>
                </c:pt>
                <c:pt idx="4375">
                  <c:v>0.20348225249783275</c:v>
                </c:pt>
                <c:pt idx="4376">
                  <c:v>0.1932053128354296</c:v>
                </c:pt>
                <c:pt idx="4377">
                  <c:v>0.20433616308003816</c:v>
                </c:pt>
                <c:pt idx="4378">
                  <c:v>0.23387185414944986</c:v>
                </c:pt>
                <c:pt idx="4379">
                  <c:v>0.20627020694648299</c:v>
                </c:pt>
                <c:pt idx="4380">
                  <c:v>0.19091409505369983</c:v>
                </c:pt>
                <c:pt idx="4381">
                  <c:v>0.20647591500150431</c:v>
                </c:pt>
                <c:pt idx="4382">
                  <c:v>0.20046546743292162</c:v>
                </c:pt>
                <c:pt idx="4383">
                  <c:v>0.23898460940029873</c:v>
                </c:pt>
                <c:pt idx="4384">
                  <c:v>0.20412990504057371</c:v>
                </c:pt>
                <c:pt idx="4385">
                  <c:v>0.1900337615846511</c:v>
                </c:pt>
                <c:pt idx="4386">
                  <c:v>0.20126934020491952</c:v>
                </c:pt>
                <c:pt idx="4387">
                  <c:v>0.2190501092056136</c:v>
                </c:pt>
                <c:pt idx="4388">
                  <c:v>0.19013369722242343</c:v>
                </c:pt>
                <c:pt idx="4389">
                  <c:v>0.20508959441251731</c:v>
                </c:pt>
                <c:pt idx="4390">
                  <c:v>0.19556388913864045</c:v>
                </c:pt>
                <c:pt idx="4391">
                  <c:v>0.20118546206565485</c:v>
                </c:pt>
                <c:pt idx="4392">
                  <c:v>0.19566328709485667</c:v>
                </c:pt>
                <c:pt idx="4393">
                  <c:v>0.21510204995353099</c:v>
                </c:pt>
                <c:pt idx="4394">
                  <c:v>0.20785852122444134</c:v>
                </c:pt>
                <c:pt idx="4395">
                  <c:v>0.20399970269872464</c:v>
                </c:pt>
                <c:pt idx="4396">
                  <c:v>0.20068484082227661</c:v>
                </c:pt>
                <c:pt idx="4397">
                  <c:v>0.19163001802368579</c:v>
                </c:pt>
                <c:pt idx="4398">
                  <c:v>0.20182789885095906</c:v>
                </c:pt>
                <c:pt idx="4399">
                  <c:v>0.19877024907040008</c:v>
                </c:pt>
                <c:pt idx="4400">
                  <c:v>0.19719064683416346</c:v>
                </c:pt>
                <c:pt idx="4401">
                  <c:v>0.22745950033266027</c:v>
                </c:pt>
                <c:pt idx="4402">
                  <c:v>0.18877334998525563</c:v>
                </c:pt>
                <c:pt idx="4403">
                  <c:v>0.21295696254854229</c:v>
                </c:pt>
                <c:pt idx="4404">
                  <c:v>0.2535943873090129</c:v>
                </c:pt>
                <c:pt idx="4405">
                  <c:v>0.18960130456036683</c:v>
                </c:pt>
                <c:pt idx="4406">
                  <c:v>0.25134599769398713</c:v>
                </c:pt>
                <c:pt idx="4407">
                  <c:v>0.21219068594237017</c:v>
                </c:pt>
                <c:pt idx="4408">
                  <c:v>0.24398025940914825</c:v>
                </c:pt>
                <c:pt idx="4409">
                  <c:v>0.21855213985378838</c:v>
                </c:pt>
                <c:pt idx="4410">
                  <c:v>0.2026487884197182</c:v>
                </c:pt>
                <c:pt idx="4411">
                  <c:v>0.20243492383216777</c:v>
                </c:pt>
                <c:pt idx="4412">
                  <c:v>0.2003164639854394</c:v>
                </c:pt>
                <c:pt idx="4413">
                  <c:v>0.19530616551260968</c:v>
                </c:pt>
                <c:pt idx="4414">
                  <c:v>0.2315563936688447</c:v>
                </c:pt>
                <c:pt idx="4415">
                  <c:v>0.19600014857417336</c:v>
                </c:pt>
                <c:pt idx="4416">
                  <c:v>0.19903515052566048</c:v>
                </c:pt>
                <c:pt idx="4417">
                  <c:v>0.19476486742427934</c:v>
                </c:pt>
                <c:pt idx="4418">
                  <c:v>0.20745942462315739</c:v>
                </c:pt>
                <c:pt idx="4419">
                  <c:v>0.19568615591549265</c:v>
                </c:pt>
                <c:pt idx="4420">
                  <c:v>0.19769672915390873</c:v>
                </c:pt>
                <c:pt idx="4421">
                  <c:v>0.19382238993857431</c:v>
                </c:pt>
                <c:pt idx="4422">
                  <c:v>0.19999385826200236</c:v>
                </c:pt>
                <c:pt idx="4423">
                  <c:v>0.19464746340249112</c:v>
                </c:pt>
                <c:pt idx="4424">
                  <c:v>0.26266093459198642</c:v>
                </c:pt>
                <c:pt idx="4425">
                  <c:v>0.246298918806581</c:v>
                </c:pt>
                <c:pt idx="4426">
                  <c:v>0.19259774655400699</c:v>
                </c:pt>
                <c:pt idx="4427">
                  <c:v>0.19254997952916877</c:v>
                </c:pt>
                <c:pt idx="4428">
                  <c:v>0.1893226316020537</c:v>
                </c:pt>
                <c:pt idx="4429">
                  <c:v>0.21236413234296883</c:v>
                </c:pt>
                <c:pt idx="4430">
                  <c:v>0.22878622405781868</c:v>
                </c:pt>
                <c:pt idx="4431">
                  <c:v>0.20214836975244599</c:v>
                </c:pt>
                <c:pt idx="4432">
                  <c:v>0.19138387711305441</c:v>
                </c:pt>
                <c:pt idx="4433">
                  <c:v>0.25921435866245374</c:v>
                </c:pt>
                <c:pt idx="4434">
                  <c:v>0.21544168530181657</c:v>
                </c:pt>
                <c:pt idx="4435">
                  <c:v>0.19175672687690185</c:v>
                </c:pt>
                <c:pt idx="4436">
                  <c:v>0.20936735649871982</c:v>
                </c:pt>
                <c:pt idx="4437">
                  <c:v>0.22048935464688987</c:v>
                </c:pt>
                <c:pt idx="4438">
                  <c:v>0.25242764348323449</c:v>
                </c:pt>
                <c:pt idx="4439">
                  <c:v>0.23424796503944165</c:v>
                </c:pt>
                <c:pt idx="4440">
                  <c:v>0.20397723089283468</c:v>
                </c:pt>
                <c:pt idx="4441">
                  <c:v>0.21097930433411088</c:v>
                </c:pt>
                <c:pt idx="4442">
                  <c:v>0.19806031538611449</c:v>
                </c:pt>
                <c:pt idx="4443">
                  <c:v>0.20694972563888758</c:v>
                </c:pt>
                <c:pt idx="4444">
                  <c:v>0.19908497020005647</c:v>
                </c:pt>
                <c:pt idx="4445">
                  <c:v>0.20022332599599091</c:v>
                </c:pt>
                <c:pt idx="4446">
                  <c:v>0.19846824934752527</c:v>
                </c:pt>
                <c:pt idx="4447">
                  <c:v>0.21064297478292171</c:v>
                </c:pt>
                <c:pt idx="4448">
                  <c:v>0.1988520314924393</c:v>
                </c:pt>
                <c:pt idx="4449">
                  <c:v>0.22397598855278431</c:v>
                </c:pt>
                <c:pt idx="4450">
                  <c:v>0.23912717590274363</c:v>
                </c:pt>
                <c:pt idx="4451">
                  <c:v>0.22436123850764264</c:v>
                </c:pt>
                <c:pt idx="4452">
                  <c:v>0.21267539341936015</c:v>
                </c:pt>
                <c:pt idx="4453">
                  <c:v>0.24999981463761947</c:v>
                </c:pt>
                <c:pt idx="4454">
                  <c:v>0.19200824097321889</c:v>
                </c:pt>
                <c:pt idx="4455">
                  <c:v>0.20083192029390057</c:v>
                </c:pt>
                <c:pt idx="4456">
                  <c:v>0.20238795466420542</c:v>
                </c:pt>
                <c:pt idx="4457">
                  <c:v>0.21332868048221401</c:v>
                </c:pt>
                <c:pt idx="4458">
                  <c:v>0.23144061651532144</c:v>
                </c:pt>
                <c:pt idx="4459">
                  <c:v>0.22656327664436099</c:v>
                </c:pt>
                <c:pt idx="4460">
                  <c:v>0.20150180929996386</c:v>
                </c:pt>
                <c:pt idx="4461">
                  <c:v>0.19525163678433741</c:v>
                </c:pt>
                <c:pt idx="4462">
                  <c:v>0.19082493305657966</c:v>
                </c:pt>
                <c:pt idx="4463">
                  <c:v>0.19890093277020182</c:v>
                </c:pt>
                <c:pt idx="4464">
                  <c:v>0.20049827295393613</c:v>
                </c:pt>
                <c:pt idx="4465">
                  <c:v>0.25760652121917854</c:v>
                </c:pt>
                <c:pt idx="4466">
                  <c:v>0.18997976096633276</c:v>
                </c:pt>
                <c:pt idx="4467">
                  <c:v>0.22706253353605371</c:v>
                </c:pt>
                <c:pt idx="4468">
                  <c:v>0.23407024912092145</c:v>
                </c:pt>
                <c:pt idx="4469">
                  <c:v>0.19048006851351049</c:v>
                </c:pt>
                <c:pt idx="4470">
                  <c:v>0.20064101188354486</c:v>
                </c:pt>
                <c:pt idx="4471">
                  <c:v>0.20799315439781596</c:v>
                </c:pt>
                <c:pt idx="4472">
                  <c:v>0.29748450985797026</c:v>
                </c:pt>
                <c:pt idx="4473">
                  <c:v>0.22146133735143636</c:v>
                </c:pt>
                <c:pt idx="4474">
                  <c:v>0.20168161979204385</c:v>
                </c:pt>
                <c:pt idx="4475">
                  <c:v>0.25814312888175495</c:v>
                </c:pt>
                <c:pt idx="4476">
                  <c:v>0.22629421760895302</c:v>
                </c:pt>
                <c:pt idx="4477">
                  <c:v>0.19495646926133087</c:v>
                </c:pt>
                <c:pt idx="4478">
                  <c:v>0.1971375506352277</c:v>
                </c:pt>
                <c:pt idx="4479">
                  <c:v>0.20418484475305548</c:v>
                </c:pt>
                <c:pt idx="4480">
                  <c:v>0.27219521537590541</c:v>
                </c:pt>
                <c:pt idx="4481">
                  <c:v>0.29091670962835103</c:v>
                </c:pt>
                <c:pt idx="4482">
                  <c:v>0.21967331828597061</c:v>
                </c:pt>
                <c:pt idx="4483">
                  <c:v>0.24153037047638229</c:v>
                </c:pt>
                <c:pt idx="4484">
                  <c:v>0.18993390189988088</c:v>
                </c:pt>
                <c:pt idx="4485">
                  <c:v>0.19281047417027347</c:v>
                </c:pt>
                <c:pt idx="4486">
                  <c:v>0.23468291535268615</c:v>
                </c:pt>
                <c:pt idx="4487">
                  <c:v>0.21659253806441869</c:v>
                </c:pt>
                <c:pt idx="4488">
                  <c:v>0.20023240424978769</c:v>
                </c:pt>
                <c:pt idx="4489">
                  <c:v>0.2388473466552172</c:v>
                </c:pt>
                <c:pt idx="4490">
                  <c:v>0.19160616450747969</c:v>
                </c:pt>
                <c:pt idx="4491">
                  <c:v>0.1893572618096282</c:v>
                </c:pt>
                <c:pt idx="4492">
                  <c:v>0.19298961998288905</c:v>
                </c:pt>
                <c:pt idx="4493">
                  <c:v>0.19232913133438784</c:v>
                </c:pt>
                <c:pt idx="4494">
                  <c:v>0.20748352769503414</c:v>
                </c:pt>
                <c:pt idx="4495">
                  <c:v>0.22144497574651112</c:v>
                </c:pt>
                <c:pt idx="4496">
                  <c:v>0.20469450367295425</c:v>
                </c:pt>
                <c:pt idx="4497">
                  <c:v>0.20094740302158867</c:v>
                </c:pt>
                <c:pt idx="4498">
                  <c:v>0.21588757867987093</c:v>
                </c:pt>
                <c:pt idx="4499">
                  <c:v>0.1978906611913096</c:v>
                </c:pt>
                <c:pt idx="4500">
                  <c:v>0.28590182112462459</c:v>
                </c:pt>
                <c:pt idx="4501">
                  <c:v>0.19833540280692161</c:v>
                </c:pt>
                <c:pt idx="4502">
                  <c:v>0.23512021185918894</c:v>
                </c:pt>
                <c:pt idx="4503">
                  <c:v>0.19452662322182074</c:v>
                </c:pt>
                <c:pt idx="4504">
                  <c:v>0.20441351954354703</c:v>
                </c:pt>
                <c:pt idx="4505">
                  <c:v>0.2047608850337766</c:v>
                </c:pt>
                <c:pt idx="4506">
                  <c:v>0.24063792574369508</c:v>
                </c:pt>
                <c:pt idx="4507">
                  <c:v>0.27478687312700101</c:v>
                </c:pt>
                <c:pt idx="4508">
                  <c:v>0.22015654006310467</c:v>
                </c:pt>
                <c:pt idx="4509">
                  <c:v>0.21995963550397593</c:v>
                </c:pt>
                <c:pt idx="4510">
                  <c:v>0.24381138012145037</c:v>
                </c:pt>
                <c:pt idx="4511">
                  <c:v>0.2433011714026681</c:v>
                </c:pt>
                <c:pt idx="4512">
                  <c:v>0.20049658582871413</c:v>
                </c:pt>
                <c:pt idx="4513">
                  <c:v>0.20990825951037281</c:v>
                </c:pt>
                <c:pt idx="4514">
                  <c:v>0.23924962811927061</c:v>
                </c:pt>
                <c:pt idx="4515">
                  <c:v>0.24468219123068591</c:v>
                </c:pt>
                <c:pt idx="4516">
                  <c:v>0.19591802291496874</c:v>
                </c:pt>
                <c:pt idx="4517">
                  <c:v>0.26887936024992326</c:v>
                </c:pt>
                <c:pt idx="4518">
                  <c:v>0.22533192562943527</c:v>
                </c:pt>
                <c:pt idx="4519">
                  <c:v>0.19681541300354691</c:v>
                </c:pt>
                <c:pt idx="4520">
                  <c:v>0.20233570546883281</c:v>
                </c:pt>
                <c:pt idx="4521">
                  <c:v>0.29905477251917756</c:v>
                </c:pt>
                <c:pt idx="4522">
                  <c:v>0.3099205889228801</c:v>
                </c:pt>
                <c:pt idx="4523">
                  <c:v>0.19337794798087021</c:v>
                </c:pt>
                <c:pt idx="4524">
                  <c:v>0.2837253573316425</c:v>
                </c:pt>
                <c:pt idx="4525">
                  <c:v>0.27952299197157338</c:v>
                </c:pt>
                <c:pt idx="4526">
                  <c:v>0.19022921652764588</c:v>
                </c:pt>
                <c:pt idx="4527">
                  <c:v>0.2158360630970069</c:v>
                </c:pt>
                <c:pt idx="4528">
                  <c:v>0.24719489165713873</c:v>
                </c:pt>
                <c:pt idx="4529">
                  <c:v>0.19350171383177697</c:v>
                </c:pt>
                <c:pt idx="4530">
                  <c:v>0.25710209309219617</c:v>
                </c:pt>
                <c:pt idx="4531">
                  <c:v>0.19201801544649041</c:v>
                </c:pt>
                <c:pt idx="4532">
                  <c:v>0.21611468596153396</c:v>
                </c:pt>
                <c:pt idx="4533">
                  <c:v>0.22760802717455497</c:v>
                </c:pt>
                <c:pt idx="4534">
                  <c:v>0.18977291863370119</c:v>
                </c:pt>
                <c:pt idx="4535">
                  <c:v>0.22065763627053378</c:v>
                </c:pt>
                <c:pt idx="4536">
                  <c:v>0.20471191313494619</c:v>
                </c:pt>
                <c:pt idx="4537">
                  <c:v>0.23673876824486087</c:v>
                </c:pt>
                <c:pt idx="4538">
                  <c:v>0.24892045650694247</c:v>
                </c:pt>
                <c:pt idx="4539">
                  <c:v>0.20674227916572738</c:v>
                </c:pt>
                <c:pt idx="4540">
                  <c:v>0.23864842586113491</c:v>
                </c:pt>
                <c:pt idx="4541">
                  <c:v>0.19962511955672396</c:v>
                </c:pt>
                <c:pt idx="4542">
                  <c:v>0.21743858716950651</c:v>
                </c:pt>
                <c:pt idx="4543">
                  <c:v>0.19540608650543212</c:v>
                </c:pt>
                <c:pt idx="4544">
                  <c:v>0.24145137963865648</c:v>
                </c:pt>
                <c:pt idx="4545">
                  <c:v>0.19149532259920102</c:v>
                </c:pt>
                <c:pt idx="4546">
                  <c:v>0.23458879859887138</c:v>
                </c:pt>
                <c:pt idx="4547">
                  <c:v>0.21290373574338661</c:v>
                </c:pt>
                <c:pt idx="4548">
                  <c:v>0.19355251421976885</c:v>
                </c:pt>
                <c:pt idx="4549">
                  <c:v>0.23798315111986454</c:v>
                </c:pt>
                <c:pt idx="4550">
                  <c:v>0.20390830244182273</c:v>
                </c:pt>
                <c:pt idx="4551">
                  <c:v>0.2166812356978523</c:v>
                </c:pt>
                <c:pt idx="4552">
                  <c:v>0.20056919294410316</c:v>
                </c:pt>
                <c:pt idx="4553">
                  <c:v>0.19689747399765559</c:v>
                </c:pt>
                <c:pt idx="4554">
                  <c:v>0.2209966967982184</c:v>
                </c:pt>
                <c:pt idx="4555">
                  <c:v>0.19516264147767245</c:v>
                </c:pt>
                <c:pt idx="4556">
                  <c:v>0.24748990403720716</c:v>
                </c:pt>
                <c:pt idx="4557">
                  <c:v>0.24761873204527768</c:v>
                </c:pt>
                <c:pt idx="4558">
                  <c:v>0.19890167968031733</c:v>
                </c:pt>
                <c:pt idx="4559">
                  <c:v>0.18959889250342904</c:v>
                </c:pt>
                <c:pt idx="4560">
                  <c:v>0.24572302233515878</c:v>
                </c:pt>
                <c:pt idx="4561">
                  <c:v>0.24236271586455016</c:v>
                </c:pt>
                <c:pt idx="4562">
                  <c:v>0.20868926873919968</c:v>
                </c:pt>
                <c:pt idx="4563">
                  <c:v>0.24056816837782938</c:v>
                </c:pt>
                <c:pt idx="4564">
                  <c:v>0.19902320870059337</c:v>
                </c:pt>
                <c:pt idx="4565">
                  <c:v>0.2070692268411663</c:v>
                </c:pt>
                <c:pt idx="4566">
                  <c:v>0.19833617706189599</c:v>
                </c:pt>
                <c:pt idx="4567">
                  <c:v>0.24033525607391484</c:v>
                </c:pt>
                <c:pt idx="4568">
                  <c:v>0.20774813782038828</c:v>
                </c:pt>
                <c:pt idx="4569">
                  <c:v>0.22299911139243564</c:v>
                </c:pt>
                <c:pt idx="4570">
                  <c:v>0.2264123701064033</c:v>
                </c:pt>
                <c:pt idx="4571">
                  <c:v>0.22410017173393468</c:v>
                </c:pt>
                <c:pt idx="4572">
                  <c:v>0.26657460481223016</c:v>
                </c:pt>
                <c:pt idx="4573">
                  <c:v>0.20743773997283402</c:v>
                </c:pt>
                <c:pt idx="4574">
                  <c:v>0.22662421799428542</c:v>
                </c:pt>
                <c:pt idx="4575">
                  <c:v>0.24450191937843382</c:v>
                </c:pt>
                <c:pt idx="4576">
                  <c:v>0.22235014597953473</c:v>
                </c:pt>
                <c:pt idx="4577">
                  <c:v>0.20131914646810803</c:v>
                </c:pt>
                <c:pt idx="4578">
                  <c:v>0.19820915685891954</c:v>
                </c:pt>
                <c:pt idx="4579">
                  <c:v>0.18914593780424424</c:v>
                </c:pt>
                <c:pt idx="4580">
                  <c:v>0.20806856878670163</c:v>
                </c:pt>
                <c:pt idx="4581">
                  <c:v>0.19459068745888314</c:v>
                </c:pt>
                <c:pt idx="4582">
                  <c:v>0.20944005771708354</c:v>
                </c:pt>
                <c:pt idx="4583">
                  <c:v>0.24892443673585507</c:v>
                </c:pt>
                <c:pt idx="4584">
                  <c:v>0.22502064024874999</c:v>
                </c:pt>
                <c:pt idx="4585">
                  <c:v>0.2207533655317159</c:v>
                </c:pt>
                <c:pt idx="4586">
                  <c:v>0.20926040642175897</c:v>
                </c:pt>
                <c:pt idx="4587">
                  <c:v>0.19173600068889329</c:v>
                </c:pt>
                <c:pt idx="4588">
                  <c:v>0.27806185502081754</c:v>
                </c:pt>
                <c:pt idx="4589">
                  <c:v>0.21889173392043856</c:v>
                </c:pt>
                <c:pt idx="4590">
                  <c:v>0.24856273480431659</c:v>
                </c:pt>
                <c:pt idx="4591">
                  <c:v>0.23576313769274454</c:v>
                </c:pt>
                <c:pt idx="4592">
                  <c:v>0.20710710380159375</c:v>
                </c:pt>
                <c:pt idx="4593">
                  <c:v>0.21293194458345427</c:v>
                </c:pt>
                <c:pt idx="4594">
                  <c:v>0.20758020734279081</c:v>
                </c:pt>
                <c:pt idx="4595">
                  <c:v>0.2100452329116837</c:v>
                </c:pt>
                <c:pt idx="4596">
                  <c:v>0.22534043451725214</c:v>
                </c:pt>
                <c:pt idx="4597">
                  <c:v>0.21344150964612735</c:v>
                </c:pt>
                <c:pt idx="4598">
                  <c:v>0.19624233134518246</c:v>
                </c:pt>
                <c:pt idx="4599">
                  <c:v>0.20733057942476255</c:v>
                </c:pt>
                <c:pt idx="4600">
                  <c:v>0.25785552262692801</c:v>
                </c:pt>
                <c:pt idx="4601">
                  <c:v>0.19545652531377061</c:v>
                </c:pt>
                <c:pt idx="4602">
                  <c:v>0.19443106393366932</c:v>
                </c:pt>
                <c:pt idx="4603">
                  <c:v>0.19257078467783398</c:v>
                </c:pt>
                <c:pt idx="4604">
                  <c:v>0.24676704963932247</c:v>
                </c:pt>
                <c:pt idx="4605">
                  <c:v>0.19996912027862832</c:v>
                </c:pt>
                <c:pt idx="4606">
                  <c:v>0.22542230347828573</c:v>
                </c:pt>
                <c:pt idx="4607">
                  <c:v>0.19190437206110153</c:v>
                </c:pt>
                <c:pt idx="4608">
                  <c:v>0.19295598178423579</c:v>
                </c:pt>
                <c:pt idx="4609">
                  <c:v>0.19267501130101922</c:v>
                </c:pt>
                <c:pt idx="4610">
                  <c:v>0.20489416323300733</c:v>
                </c:pt>
                <c:pt idx="4611">
                  <c:v>0.19368245522862801</c:v>
                </c:pt>
                <c:pt idx="4612">
                  <c:v>0.20262101188937992</c:v>
                </c:pt>
                <c:pt idx="4613">
                  <c:v>0.19735066348485714</c:v>
                </c:pt>
                <c:pt idx="4614">
                  <c:v>0.20350542819625897</c:v>
                </c:pt>
                <c:pt idx="4615">
                  <c:v>0.23228566364652276</c:v>
                </c:pt>
                <c:pt idx="4616">
                  <c:v>0.19260842657451327</c:v>
                </c:pt>
                <c:pt idx="4617">
                  <c:v>0.19687909954739899</c:v>
                </c:pt>
                <c:pt idx="4618">
                  <c:v>0.19488537736054296</c:v>
                </c:pt>
                <c:pt idx="4619">
                  <c:v>0.24644070741244434</c:v>
                </c:pt>
                <c:pt idx="4620">
                  <c:v>0.23006113134392547</c:v>
                </c:pt>
                <c:pt idx="4621">
                  <c:v>0.20467033584911129</c:v>
                </c:pt>
                <c:pt idx="4622">
                  <c:v>0.19272215708049267</c:v>
                </c:pt>
                <c:pt idx="4623">
                  <c:v>0.19854479211474055</c:v>
                </c:pt>
                <c:pt idx="4624">
                  <c:v>0.20684879150891478</c:v>
                </c:pt>
                <c:pt idx="4625">
                  <c:v>0.29096679318594626</c:v>
                </c:pt>
                <c:pt idx="4626">
                  <c:v>0.19643282118324909</c:v>
                </c:pt>
                <c:pt idx="4627">
                  <c:v>0.231492311813255</c:v>
                </c:pt>
                <c:pt idx="4628">
                  <c:v>0.20526169263013311</c:v>
                </c:pt>
                <c:pt idx="4629">
                  <c:v>0.20544002782609788</c:v>
                </c:pt>
                <c:pt idx="4630">
                  <c:v>0.19666899114912739</c:v>
                </c:pt>
                <c:pt idx="4631">
                  <c:v>0.24687472689342888</c:v>
                </c:pt>
                <c:pt idx="4632">
                  <c:v>0.22624563007257911</c:v>
                </c:pt>
                <c:pt idx="4633">
                  <c:v>0.2448875857369604</c:v>
                </c:pt>
                <c:pt idx="4634">
                  <c:v>0.23321713243905492</c:v>
                </c:pt>
                <c:pt idx="4635">
                  <c:v>0.19591205983886112</c:v>
                </c:pt>
                <c:pt idx="4636">
                  <c:v>0.19373657720221762</c:v>
                </c:pt>
                <c:pt idx="4637">
                  <c:v>0.19752470074211836</c:v>
                </c:pt>
                <c:pt idx="4638">
                  <c:v>0.20609811451436652</c:v>
                </c:pt>
                <c:pt idx="4639">
                  <c:v>0.18931496084762989</c:v>
                </c:pt>
                <c:pt idx="4640">
                  <c:v>0.19856127838992954</c:v>
                </c:pt>
                <c:pt idx="4641">
                  <c:v>0.23120284903262306</c:v>
                </c:pt>
                <c:pt idx="4642">
                  <c:v>0.21342596764476213</c:v>
                </c:pt>
                <c:pt idx="4643">
                  <c:v>0.20790383674536567</c:v>
                </c:pt>
                <c:pt idx="4644">
                  <c:v>0.25391609116881475</c:v>
                </c:pt>
                <c:pt idx="4645">
                  <c:v>0.25396241565121297</c:v>
                </c:pt>
                <c:pt idx="4646">
                  <c:v>0.21227977665507672</c:v>
                </c:pt>
                <c:pt idx="4647">
                  <c:v>0.19669552036150831</c:v>
                </c:pt>
                <c:pt idx="4648">
                  <c:v>0.23850522725036416</c:v>
                </c:pt>
                <c:pt idx="4649">
                  <c:v>0.19258698914234959</c:v>
                </c:pt>
                <c:pt idx="4650">
                  <c:v>0.2019079041441609</c:v>
                </c:pt>
                <c:pt idx="4651">
                  <c:v>0.23472796892126821</c:v>
                </c:pt>
                <c:pt idx="4652">
                  <c:v>0.26568876244211836</c:v>
                </c:pt>
                <c:pt idx="4653">
                  <c:v>0.2545192765374194</c:v>
                </c:pt>
                <c:pt idx="4654">
                  <c:v>0.23834930752082442</c:v>
                </c:pt>
                <c:pt idx="4655">
                  <c:v>0.21561260342583913</c:v>
                </c:pt>
                <c:pt idx="4656">
                  <c:v>0.19053773278748312</c:v>
                </c:pt>
                <c:pt idx="4657">
                  <c:v>0.21013123931708966</c:v>
                </c:pt>
                <c:pt idx="4658">
                  <c:v>0.23548006999886378</c:v>
                </c:pt>
                <c:pt idx="4659">
                  <c:v>0.22723780541195007</c:v>
                </c:pt>
                <c:pt idx="4660">
                  <c:v>0.20448309887564628</c:v>
                </c:pt>
                <c:pt idx="4661">
                  <c:v>0.18903102939391414</c:v>
                </c:pt>
                <c:pt idx="4662">
                  <c:v>0.1888258193533067</c:v>
                </c:pt>
                <c:pt idx="4663">
                  <c:v>0.24830874640981832</c:v>
                </c:pt>
                <c:pt idx="4664">
                  <c:v>0.23776686984663944</c:v>
                </c:pt>
                <c:pt idx="4665">
                  <c:v>0.21003489223888894</c:v>
                </c:pt>
                <c:pt idx="4666">
                  <c:v>0.23555822378789734</c:v>
                </c:pt>
                <c:pt idx="4667">
                  <c:v>0.19021035171718065</c:v>
                </c:pt>
                <c:pt idx="4668">
                  <c:v>0.22712852507856945</c:v>
                </c:pt>
                <c:pt idx="4669">
                  <c:v>0.20099630413596448</c:v>
                </c:pt>
                <c:pt idx="4670">
                  <c:v>0.20176117031525348</c:v>
                </c:pt>
                <c:pt idx="4671">
                  <c:v>0.19286877337142924</c:v>
                </c:pt>
                <c:pt idx="4672">
                  <c:v>0.20054961079115299</c:v>
                </c:pt>
                <c:pt idx="4673">
                  <c:v>0.21744127171625219</c:v>
                </c:pt>
                <c:pt idx="4674">
                  <c:v>0.22438844176388673</c:v>
                </c:pt>
                <c:pt idx="4675">
                  <c:v>0.20703948895976262</c:v>
                </c:pt>
                <c:pt idx="4676">
                  <c:v>0.23877089094732198</c:v>
                </c:pt>
                <c:pt idx="4677">
                  <c:v>0.21735489219982063</c:v>
                </c:pt>
                <c:pt idx="4678">
                  <c:v>0.22641798425352974</c:v>
                </c:pt>
                <c:pt idx="4679">
                  <c:v>0.28267496754694643</c:v>
                </c:pt>
                <c:pt idx="4680">
                  <c:v>0.20319992808764187</c:v>
                </c:pt>
                <c:pt idx="4681">
                  <c:v>0.19271668056365432</c:v>
                </c:pt>
                <c:pt idx="4682">
                  <c:v>0.19455811453219943</c:v>
                </c:pt>
                <c:pt idx="4683">
                  <c:v>0.24265228036437336</c:v>
                </c:pt>
                <c:pt idx="4684">
                  <c:v>0.27532397203204972</c:v>
                </c:pt>
                <c:pt idx="4685">
                  <c:v>0.1893000754949572</c:v>
                </c:pt>
                <c:pt idx="4686">
                  <c:v>0.20191297473114847</c:v>
                </c:pt>
                <c:pt idx="4687">
                  <c:v>0.20432297767633664</c:v>
                </c:pt>
                <c:pt idx="4688">
                  <c:v>0.19809109804886002</c:v>
                </c:pt>
                <c:pt idx="4689">
                  <c:v>0.2496548479148914</c:v>
                </c:pt>
                <c:pt idx="4690">
                  <c:v>0.2217538528765495</c:v>
                </c:pt>
                <c:pt idx="4691">
                  <c:v>0.20653628467348215</c:v>
                </c:pt>
                <c:pt idx="4692">
                  <c:v>0.22132264717590577</c:v>
                </c:pt>
                <c:pt idx="4693">
                  <c:v>0.20898022465912039</c:v>
                </c:pt>
                <c:pt idx="4694">
                  <c:v>0.21269288832324071</c:v>
                </c:pt>
                <c:pt idx="4695">
                  <c:v>0.19121350539492124</c:v>
                </c:pt>
                <c:pt idx="4696">
                  <c:v>0.22331620288178292</c:v>
                </c:pt>
                <c:pt idx="4697">
                  <c:v>0.22221653539120623</c:v>
                </c:pt>
                <c:pt idx="4698">
                  <c:v>0.22922877430215516</c:v>
                </c:pt>
                <c:pt idx="4699">
                  <c:v>0.21254944657544461</c:v>
                </c:pt>
                <c:pt idx="4700">
                  <c:v>0.23960746398553825</c:v>
                </c:pt>
                <c:pt idx="4701">
                  <c:v>0.18949163597144508</c:v>
                </c:pt>
                <c:pt idx="4702">
                  <c:v>0.20419561506128067</c:v>
                </c:pt>
                <c:pt idx="4703">
                  <c:v>0.20299884951177663</c:v>
                </c:pt>
                <c:pt idx="4704">
                  <c:v>0.18958438511802367</c:v>
                </c:pt>
                <c:pt idx="4705">
                  <c:v>0.21141554841003771</c:v>
                </c:pt>
                <c:pt idx="4706">
                  <c:v>0.22600314644951869</c:v>
                </c:pt>
                <c:pt idx="4707">
                  <c:v>0.22737477170564271</c:v>
                </c:pt>
                <c:pt idx="4708">
                  <c:v>0.22226547631412663</c:v>
                </c:pt>
                <c:pt idx="4709">
                  <c:v>0.19854608993773515</c:v>
                </c:pt>
                <c:pt idx="4710">
                  <c:v>0.20971500787776276</c:v>
                </c:pt>
                <c:pt idx="4711">
                  <c:v>0.24235958531506874</c:v>
                </c:pt>
                <c:pt idx="4712">
                  <c:v>0.24352504552129786</c:v>
                </c:pt>
                <c:pt idx="4713">
                  <c:v>0.20161887428498124</c:v>
                </c:pt>
                <c:pt idx="4714">
                  <c:v>0.26358076587383106</c:v>
                </c:pt>
                <c:pt idx="4715">
                  <c:v>0.22888868409994451</c:v>
                </c:pt>
                <c:pt idx="4716">
                  <c:v>0.2417096415955278</c:v>
                </c:pt>
                <c:pt idx="4717">
                  <c:v>0.24007841762264001</c:v>
                </c:pt>
                <c:pt idx="4718">
                  <c:v>0.20658129082459967</c:v>
                </c:pt>
                <c:pt idx="4719">
                  <c:v>0.22518222668740309</c:v>
                </c:pt>
                <c:pt idx="4720">
                  <c:v>0.2398471549577095</c:v>
                </c:pt>
                <c:pt idx="4721">
                  <c:v>0.29444612085494287</c:v>
                </c:pt>
                <c:pt idx="4722">
                  <c:v>0.2153576164602804</c:v>
                </c:pt>
                <c:pt idx="4723">
                  <c:v>0.19790511277231371</c:v>
                </c:pt>
                <c:pt idx="4724">
                  <c:v>0.21387514603311666</c:v>
                </c:pt>
                <c:pt idx="4725">
                  <c:v>0.23063016697060959</c:v>
                </c:pt>
                <c:pt idx="4726">
                  <c:v>0.24586463828764901</c:v>
                </c:pt>
                <c:pt idx="4727">
                  <c:v>0.19820724463483963</c:v>
                </c:pt>
                <c:pt idx="4728">
                  <c:v>0.20406482614448268</c:v>
                </c:pt>
                <c:pt idx="4729">
                  <c:v>0.20246517129798866</c:v>
                </c:pt>
                <c:pt idx="4730">
                  <c:v>0.19145614344104497</c:v>
                </c:pt>
                <c:pt idx="4731">
                  <c:v>0.20575110259517862</c:v>
                </c:pt>
                <c:pt idx="4732">
                  <c:v>0.20657428337654082</c:v>
                </c:pt>
                <c:pt idx="4733">
                  <c:v>0.27462699513431776</c:v>
                </c:pt>
                <c:pt idx="4734">
                  <c:v>0.18871918903853241</c:v>
                </c:pt>
                <c:pt idx="4735">
                  <c:v>0.19759623676548693</c:v>
                </c:pt>
                <c:pt idx="4736">
                  <c:v>0.19255585736956984</c:v>
                </c:pt>
                <c:pt idx="4737">
                  <c:v>0.19486949072284349</c:v>
                </c:pt>
                <c:pt idx="4738">
                  <c:v>0.27358383912827011</c:v>
                </c:pt>
                <c:pt idx="4739">
                  <c:v>0.20089502854250629</c:v>
                </c:pt>
                <c:pt idx="4740">
                  <c:v>0.2065401454691945</c:v>
                </c:pt>
                <c:pt idx="4741">
                  <c:v>0.18952899896061373</c:v>
                </c:pt>
                <c:pt idx="4742">
                  <c:v>0.20994456662100835</c:v>
                </c:pt>
                <c:pt idx="4743">
                  <c:v>0.20136170583169696</c:v>
                </c:pt>
                <c:pt idx="4744">
                  <c:v>0.27500666443882038</c:v>
                </c:pt>
                <c:pt idx="4745">
                  <c:v>0.19986606441982357</c:v>
                </c:pt>
                <c:pt idx="4746">
                  <c:v>0.1952019943781575</c:v>
                </c:pt>
                <c:pt idx="4747">
                  <c:v>0.23444413860292426</c:v>
                </c:pt>
                <c:pt idx="4748">
                  <c:v>0.20810648606094606</c:v>
                </c:pt>
                <c:pt idx="4749">
                  <c:v>0.19581892503333806</c:v>
                </c:pt>
                <c:pt idx="4750">
                  <c:v>0.19333597960684243</c:v>
                </c:pt>
                <c:pt idx="4751">
                  <c:v>0.28812014718114637</c:v>
                </c:pt>
                <c:pt idx="4752">
                  <c:v>0.2004926468537116</c:v>
                </c:pt>
                <c:pt idx="4753">
                  <c:v>0.19421294373180789</c:v>
                </c:pt>
                <c:pt idx="4754">
                  <c:v>0.19464103714096773</c:v>
                </c:pt>
                <c:pt idx="4755">
                  <c:v>0.19810489250644361</c:v>
                </c:pt>
                <c:pt idx="4756">
                  <c:v>0.24433587297365406</c:v>
                </c:pt>
                <c:pt idx="4757">
                  <c:v>0.19275322964115121</c:v>
                </c:pt>
                <c:pt idx="4758">
                  <c:v>0.19689317333298001</c:v>
                </c:pt>
                <c:pt idx="4759">
                  <c:v>0.2095257238387451</c:v>
                </c:pt>
                <c:pt idx="4760">
                  <c:v>0.19501236159657662</c:v>
                </c:pt>
                <c:pt idx="4761">
                  <c:v>0.21255472082573201</c:v>
                </c:pt>
                <c:pt idx="4762">
                  <c:v>0.20794613450616631</c:v>
                </c:pt>
                <c:pt idx="4763">
                  <c:v>0.19666500849746754</c:v>
                </c:pt>
                <c:pt idx="4764">
                  <c:v>0.19923577589457112</c:v>
                </c:pt>
                <c:pt idx="4765">
                  <c:v>0.20087616995229451</c:v>
                </c:pt>
                <c:pt idx="4766">
                  <c:v>0.22411658919492838</c:v>
                </c:pt>
                <c:pt idx="4767">
                  <c:v>0.21614107944591743</c:v>
                </c:pt>
                <c:pt idx="4768">
                  <c:v>0.22648593079714277</c:v>
                </c:pt>
                <c:pt idx="4769">
                  <c:v>0.19607265476889871</c:v>
                </c:pt>
                <c:pt idx="4770">
                  <c:v>0.19485615066938755</c:v>
                </c:pt>
                <c:pt idx="4771">
                  <c:v>0.20550970353722767</c:v>
                </c:pt>
                <c:pt idx="4772">
                  <c:v>0.21055728109408373</c:v>
                </c:pt>
                <c:pt idx="4773">
                  <c:v>0.2202964251877228</c:v>
                </c:pt>
                <c:pt idx="4774">
                  <c:v>0.20106752236754716</c:v>
                </c:pt>
                <c:pt idx="4775">
                  <c:v>0.23379828041832015</c:v>
                </c:pt>
                <c:pt idx="4776">
                  <c:v>0.23082643036398343</c:v>
                </c:pt>
                <c:pt idx="4777">
                  <c:v>0.19291470904394009</c:v>
                </c:pt>
                <c:pt idx="4778">
                  <c:v>0.22112374849313171</c:v>
                </c:pt>
                <c:pt idx="4779">
                  <c:v>0.19888546423945883</c:v>
                </c:pt>
                <c:pt idx="4780">
                  <c:v>0.19272386318031623</c:v>
                </c:pt>
                <c:pt idx="4781">
                  <c:v>0.23152575807223749</c:v>
                </c:pt>
                <c:pt idx="4782">
                  <c:v>0.21433669398680125</c:v>
                </c:pt>
                <c:pt idx="4783">
                  <c:v>0.19124652833675951</c:v>
                </c:pt>
                <c:pt idx="4784">
                  <c:v>0.22272558505662171</c:v>
                </c:pt>
                <c:pt idx="4785">
                  <c:v>0.25116014576727264</c:v>
                </c:pt>
                <c:pt idx="4786">
                  <c:v>0.19599964805070869</c:v>
                </c:pt>
                <c:pt idx="4787">
                  <c:v>0.1952537848793755</c:v>
                </c:pt>
                <c:pt idx="4788">
                  <c:v>0.22993528466334306</c:v>
                </c:pt>
                <c:pt idx="4789">
                  <c:v>0.26211138985859544</c:v>
                </c:pt>
                <c:pt idx="4790">
                  <c:v>0.19128655174466302</c:v>
                </c:pt>
                <c:pt idx="4791">
                  <c:v>0.21652392987667562</c:v>
                </c:pt>
                <c:pt idx="4792">
                  <c:v>0.21713244994369127</c:v>
                </c:pt>
                <c:pt idx="4793">
                  <c:v>0.29947487474785861</c:v>
                </c:pt>
                <c:pt idx="4794">
                  <c:v>0.20118018691112508</c:v>
                </c:pt>
                <c:pt idx="4795">
                  <c:v>0.20884507286341594</c:v>
                </c:pt>
                <c:pt idx="4796">
                  <c:v>0.19555218582196168</c:v>
                </c:pt>
                <c:pt idx="4797">
                  <c:v>0.20926390864761979</c:v>
                </c:pt>
                <c:pt idx="4798">
                  <c:v>0.22758375115455609</c:v>
                </c:pt>
                <c:pt idx="4799">
                  <c:v>0.20187840358242537</c:v>
                </c:pt>
                <c:pt idx="4800">
                  <c:v>0.20216347955340638</c:v>
                </c:pt>
                <c:pt idx="4801">
                  <c:v>0.18921911686414195</c:v>
                </c:pt>
                <c:pt idx="4802">
                  <c:v>0.2116284094380155</c:v>
                </c:pt>
                <c:pt idx="4803">
                  <c:v>0.22909226561262577</c:v>
                </c:pt>
                <c:pt idx="4804">
                  <c:v>0.19180897703869473</c:v>
                </c:pt>
                <c:pt idx="4805">
                  <c:v>0.19220802373820609</c:v>
                </c:pt>
                <c:pt idx="4806">
                  <c:v>0.22827828160438002</c:v>
                </c:pt>
                <c:pt idx="4807">
                  <c:v>0.21508515891153232</c:v>
                </c:pt>
                <c:pt idx="4808">
                  <c:v>0.20136182189355575</c:v>
                </c:pt>
                <c:pt idx="4809">
                  <c:v>0.21531998877518568</c:v>
                </c:pt>
                <c:pt idx="4810">
                  <c:v>0.2452515580416495</c:v>
                </c:pt>
                <c:pt idx="4811">
                  <c:v>0.2232580110234369</c:v>
                </c:pt>
                <c:pt idx="4812">
                  <c:v>0.21933267700488221</c:v>
                </c:pt>
                <c:pt idx="4813">
                  <c:v>0.20206635012164414</c:v>
                </c:pt>
                <c:pt idx="4814">
                  <c:v>0.19085310033015304</c:v>
                </c:pt>
                <c:pt idx="4815">
                  <c:v>0.1897666389016901</c:v>
                </c:pt>
                <c:pt idx="4816">
                  <c:v>0.21132423131061553</c:v>
                </c:pt>
                <c:pt idx="4817">
                  <c:v>0.19363209469182546</c:v>
                </c:pt>
                <c:pt idx="4818">
                  <c:v>0.30469061877806469</c:v>
                </c:pt>
                <c:pt idx="4819">
                  <c:v>0.19202630029438861</c:v>
                </c:pt>
                <c:pt idx="4820">
                  <c:v>0.19305221494156699</c:v>
                </c:pt>
                <c:pt idx="4821">
                  <c:v>0.19590409013291624</c:v>
                </c:pt>
                <c:pt idx="4822">
                  <c:v>0.19792792792581698</c:v>
                </c:pt>
                <c:pt idx="4823">
                  <c:v>0.19801766856772415</c:v>
                </c:pt>
                <c:pt idx="4824">
                  <c:v>0.19643800684753199</c:v>
                </c:pt>
                <c:pt idx="4825">
                  <c:v>0.19703741764599034</c:v>
                </c:pt>
                <c:pt idx="4826">
                  <c:v>0.21668317459679509</c:v>
                </c:pt>
                <c:pt idx="4827">
                  <c:v>0.22398301732240836</c:v>
                </c:pt>
                <c:pt idx="4828">
                  <c:v>0.18933518451426462</c:v>
                </c:pt>
                <c:pt idx="4829">
                  <c:v>0.20768143075297985</c:v>
                </c:pt>
                <c:pt idx="4830">
                  <c:v>0.18894009004074086</c:v>
                </c:pt>
                <c:pt idx="4831">
                  <c:v>0.19977892954629486</c:v>
                </c:pt>
                <c:pt idx="4832">
                  <c:v>0.22609037787358818</c:v>
                </c:pt>
                <c:pt idx="4833">
                  <c:v>0.23938331883740707</c:v>
                </c:pt>
                <c:pt idx="4834">
                  <c:v>0.24134784061565667</c:v>
                </c:pt>
                <c:pt idx="4835">
                  <c:v>0.19872130976212452</c:v>
                </c:pt>
                <c:pt idx="4836">
                  <c:v>0.22484426070244606</c:v>
                </c:pt>
                <c:pt idx="4837">
                  <c:v>0.22279016860696116</c:v>
                </c:pt>
                <c:pt idx="4838">
                  <c:v>0.1897816324377912</c:v>
                </c:pt>
                <c:pt idx="4839">
                  <c:v>0.1965068672234829</c:v>
                </c:pt>
                <c:pt idx="4840">
                  <c:v>0.20640849408693532</c:v>
                </c:pt>
                <c:pt idx="4841">
                  <c:v>0.19758453838614667</c:v>
                </c:pt>
                <c:pt idx="4842">
                  <c:v>0.21260062981710068</c:v>
                </c:pt>
                <c:pt idx="4843">
                  <c:v>0.22599939810922365</c:v>
                </c:pt>
                <c:pt idx="4844">
                  <c:v>0.20347636390574936</c:v>
                </c:pt>
                <c:pt idx="4845">
                  <c:v>0.2205134803691432</c:v>
                </c:pt>
                <c:pt idx="4846">
                  <c:v>0.1954352414488533</c:v>
                </c:pt>
                <c:pt idx="4847">
                  <c:v>0.24123376111769518</c:v>
                </c:pt>
                <c:pt idx="4848">
                  <c:v>0.19270188306940406</c:v>
                </c:pt>
                <c:pt idx="4849">
                  <c:v>0.27486664951388823</c:v>
                </c:pt>
                <c:pt idx="4850">
                  <c:v>0.19028575755711563</c:v>
                </c:pt>
                <c:pt idx="4851">
                  <c:v>0.19406102711612017</c:v>
                </c:pt>
                <c:pt idx="4852">
                  <c:v>0.19408253504512385</c:v>
                </c:pt>
                <c:pt idx="4853">
                  <c:v>0.23277621313820276</c:v>
                </c:pt>
                <c:pt idx="4854">
                  <c:v>0.20374223960569143</c:v>
                </c:pt>
                <c:pt idx="4855">
                  <c:v>0.22394719108238972</c:v>
                </c:pt>
                <c:pt idx="4856">
                  <c:v>0.19634699653787749</c:v>
                </c:pt>
                <c:pt idx="4857">
                  <c:v>0.20332286396078858</c:v>
                </c:pt>
                <c:pt idx="4858">
                  <c:v>0.24351295976289444</c:v>
                </c:pt>
                <c:pt idx="4859">
                  <c:v>0.1921763057566391</c:v>
                </c:pt>
                <c:pt idx="4860">
                  <c:v>0.22644104026246162</c:v>
                </c:pt>
                <c:pt idx="4861">
                  <c:v>0.19197979909672153</c:v>
                </c:pt>
                <c:pt idx="4862">
                  <c:v>0.22646777328836906</c:v>
                </c:pt>
                <c:pt idx="4863">
                  <c:v>0.22867787756207122</c:v>
                </c:pt>
                <c:pt idx="4864">
                  <c:v>0.19143895237109057</c:v>
                </c:pt>
                <c:pt idx="4865">
                  <c:v>0.19048828091284642</c:v>
                </c:pt>
                <c:pt idx="4866">
                  <c:v>0.21408770127680973</c:v>
                </c:pt>
                <c:pt idx="4867">
                  <c:v>0.21794807040005415</c:v>
                </c:pt>
                <c:pt idx="4868">
                  <c:v>0.20471616312118809</c:v>
                </c:pt>
                <c:pt idx="4869">
                  <c:v>0.18941209876971646</c:v>
                </c:pt>
                <c:pt idx="4870">
                  <c:v>0.20209636408993484</c:v>
                </c:pt>
                <c:pt idx="4871">
                  <c:v>0.19863216351106919</c:v>
                </c:pt>
                <c:pt idx="4872">
                  <c:v>0.20807168262345227</c:v>
                </c:pt>
                <c:pt idx="4873">
                  <c:v>0.21950903286963139</c:v>
                </c:pt>
                <c:pt idx="4874">
                  <c:v>0.22986253088593298</c:v>
                </c:pt>
                <c:pt idx="4875">
                  <c:v>0.23213871892332605</c:v>
                </c:pt>
                <c:pt idx="4876">
                  <c:v>0.1901325519557075</c:v>
                </c:pt>
                <c:pt idx="4877">
                  <c:v>0.25001198750344616</c:v>
                </c:pt>
                <c:pt idx="4878">
                  <c:v>0.22353972428321262</c:v>
                </c:pt>
                <c:pt idx="4879">
                  <c:v>0.28635406997957957</c:v>
                </c:pt>
                <c:pt idx="4880">
                  <c:v>0.19909496727944015</c:v>
                </c:pt>
                <c:pt idx="4881">
                  <c:v>0.19054350755593977</c:v>
                </c:pt>
                <c:pt idx="4882">
                  <c:v>0.22515234869107373</c:v>
                </c:pt>
                <c:pt idx="4883">
                  <c:v>0.22516075967086291</c:v>
                </c:pt>
                <c:pt idx="4884">
                  <c:v>0.23084920765775516</c:v>
                </c:pt>
                <c:pt idx="4885">
                  <c:v>0.24512180732455974</c:v>
                </c:pt>
                <c:pt idx="4886">
                  <c:v>0.33472104995335705</c:v>
                </c:pt>
                <c:pt idx="4887">
                  <c:v>0.19647511666083151</c:v>
                </c:pt>
                <c:pt idx="4888">
                  <c:v>0.21623770773819734</c:v>
                </c:pt>
                <c:pt idx="4889">
                  <c:v>0.24924550079878566</c:v>
                </c:pt>
                <c:pt idx="4890">
                  <c:v>0.20967098214708027</c:v>
                </c:pt>
                <c:pt idx="4891">
                  <c:v>0.19625645900517147</c:v>
                </c:pt>
                <c:pt idx="4892">
                  <c:v>0.19379757816505574</c:v>
                </c:pt>
                <c:pt idx="4893">
                  <c:v>0.24505810353407367</c:v>
                </c:pt>
                <c:pt idx="4894">
                  <c:v>0.22768080547378758</c:v>
                </c:pt>
                <c:pt idx="4895">
                  <c:v>0.22647929747853729</c:v>
                </c:pt>
                <c:pt idx="4896">
                  <c:v>0.22413783821558228</c:v>
                </c:pt>
                <c:pt idx="4897">
                  <c:v>0.21169588928386232</c:v>
                </c:pt>
                <c:pt idx="4898">
                  <c:v>0.23434177476192014</c:v>
                </c:pt>
                <c:pt idx="4899">
                  <c:v>0.22784644040237861</c:v>
                </c:pt>
                <c:pt idx="4900">
                  <c:v>0.19437044651025423</c:v>
                </c:pt>
                <c:pt idx="4901">
                  <c:v>0.22026358098149817</c:v>
                </c:pt>
                <c:pt idx="4902">
                  <c:v>0.21434187078991396</c:v>
                </c:pt>
                <c:pt idx="4903">
                  <c:v>0.20414243781155769</c:v>
                </c:pt>
                <c:pt idx="4904">
                  <c:v>0.28407264682681377</c:v>
                </c:pt>
                <c:pt idx="4905">
                  <c:v>0.20483878166914149</c:v>
                </c:pt>
                <c:pt idx="4906">
                  <c:v>0.20327635026539798</c:v>
                </c:pt>
                <c:pt idx="4907">
                  <c:v>0.22813509645057961</c:v>
                </c:pt>
                <c:pt idx="4908">
                  <c:v>0.1970172984742446</c:v>
                </c:pt>
                <c:pt idx="4909">
                  <c:v>0.21679364954874517</c:v>
                </c:pt>
                <c:pt idx="4910">
                  <c:v>0.19653263718009387</c:v>
                </c:pt>
                <c:pt idx="4911">
                  <c:v>0.19342346478101674</c:v>
                </c:pt>
                <c:pt idx="4912">
                  <c:v>0.20651312337191305</c:v>
                </c:pt>
                <c:pt idx="4913">
                  <c:v>0.23319318698300803</c:v>
                </c:pt>
                <c:pt idx="4914">
                  <c:v>0.19267583343064662</c:v>
                </c:pt>
                <c:pt idx="4915">
                  <c:v>0.19574194235313785</c:v>
                </c:pt>
                <c:pt idx="4916">
                  <c:v>0.26218323708615443</c:v>
                </c:pt>
                <c:pt idx="4917">
                  <c:v>0.19930465569402916</c:v>
                </c:pt>
                <c:pt idx="4918">
                  <c:v>0.19566479285959371</c:v>
                </c:pt>
                <c:pt idx="4919">
                  <c:v>0.19834292529558675</c:v>
                </c:pt>
                <c:pt idx="4920">
                  <c:v>0.23623546631468886</c:v>
                </c:pt>
                <c:pt idx="4921">
                  <c:v>0.20375194711100986</c:v>
                </c:pt>
                <c:pt idx="4922">
                  <c:v>0.21579126561705078</c:v>
                </c:pt>
                <c:pt idx="4923">
                  <c:v>0.22074972964898046</c:v>
                </c:pt>
                <c:pt idx="4924">
                  <c:v>0.2094566952310434</c:v>
                </c:pt>
                <c:pt idx="4925">
                  <c:v>0.1895788121327274</c:v>
                </c:pt>
                <c:pt idx="4926">
                  <c:v>0.19136601694732344</c:v>
                </c:pt>
                <c:pt idx="4927">
                  <c:v>0.2222937648899124</c:v>
                </c:pt>
                <c:pt idx="4928">
                  <c:v>0.19021407634730056</c:v>
                </c:pt>
                <c:pt idx="4929">
                  <c:v>0.23719647117054132</c:v>
                </c:pt>
                <c:pt idx="4930">
                  <c:v>0.20324673087012557</c:v>
                </c:pt>
                <c:pt idx="4931">
                  <c:v>0.19480526464812573</c:v>
                </c:pt>
                <c:pt idx="4932">
                  <c:v>0.20639078769605948</c:v>
                </c:pt>
                <c:pt idx="4933">
                  <c:v>0.26279645107175092</c:v>
                </c:pt>
                <c:pt idx="4934">
                  <c:v>0.18943771258045591</c:v>
                </c:pt>
                <c:pt idx="4935">
                  <c:v>0.21428291424953289</c:v>
                </c:pt>
                <c:pt idx="4936">
                  <c:v>0.26927390248446914</c:v>
                </c:pt>
                <c:pt idx="4937">
                  <c:v>0.19738050400190993</c:v>
                </c:pt>
                <c:pt idx="4938">
                  <c:v>0.25423632083784248</c:v>
                </c:pt>
                <c:pt idx="4939">
                  <c:v>0.21628859210529283</c:v>
                </c:pt>
                <c:pt idx="4940">
                  <c:v>0.24602384593416368</c:v>
                </c:pt>
                <c:pt idx="4941">
                  <c:v>0.19595028073644535</c:v>
                </c:pt>
                <c:pt idx="4942">
                  <c:v>0.28279720833971633</c:v>
                </c:pt>
                <c:pt idx="4943">
                  <c:v>0.25005324046279048</c:v>
                </c:pt>
                <c:pt idx="4944">
                  <c:v>0.18982726839802624</c:v>
                </c:pt>
                <c:pt idx="4945">
                  <c:v>0.21926194994685438</c:v>
                </c:pt>
                <c:pt idx="4946">
                  <c:v>0.19139193141652422</c:v>
                </c:pt>
                <c:pt idx="4947">
                  <c:v>0.24267220644844564</c:v>
                </c:pt>
                <c:pt idx="4948">
                  <c:v>0.24792302257332785</c:v>
                </c:pt>
                <c:pt idx="4949">
                  <c:v>0.19155957725940201</c:v>
                </c:pt>
                <c:pt idx="4950">
                  <c:v>0.22192459166666939</c:v>
                </c:pt>
                <c:pt idx="4951">
                  <c:v>0.27744004261781174</c:v>
                </c:pt>
                <c:pt idx="4952">
                  <c:v>0.19397462161261134</c:v>
                </c:pt>
                <c:pt idx="4953">
                  <c:v>0.2555472319296192</c:v>
                </c:pt>
                <c:pt idx="4954">
                  <c:v>0.21890141524558812</c:v>
                </c:pt>
                <c:pt idx="4955">
                  <c:v>0.20909123374858937</c:v>
                </c:pt>
                <c:pt idx="4956">
                  <c:v>0.21100323277676555</c:v>
                </c:pt>
                <c:pt idx="4957">
                  <c:v>0.19215976958768735</c:v>
                </c:pt>
                <c:pt idx="4958">
                  <c:v>0.22874836107684426</c:v>
                </c:pt>
                <c:pt idx="4959">
                  <c:v>0.20005808391747931</c:v>
                </c:pt>
                <c:pt idx="4960">
                  <c:v>0.20062109317344148</c:v>
                </c:pt>
                <c:pt idx="4961">
                  <c:v>0.19978392164295369</c:v>
                </c:pt>
                <c:pt idx="4962">
                  <c:v>0.19878632781397329</c:v>
                </c:pt>
                <c:pt idx="4963">
                  <c:v>0.19172496218433854</c:v>
                </c:pt>
                <c:pt idx="4964">
                  <c:v>0.19083063845118858</c:v>
                </c:pt>
                <c:pt idx="4965">
                  <c:v>0.3075655763770358</c:v>
                </c:pt>
                <c:pt idx="4966">
                  <c:v>0.1929535180382127</c:v>
                </c:pt>
                <c:pt idx="4967">
                  <c:v>0.21023391345895295</c:v>
                </c:pt>
                <c:pt idx="4968">
                  <c:v>0.19803667301350517</c:v>
                </c:pt>
                <c:pt idx="4969">
                  <c:v>0.22141667131457193</c:v>
                </c:pt>
                <c:pt idx="4970">
                  <c:v>0.20724553617925215</c:v>
                </c:pt>
                <c:pt idx="4971">
                  <c:v>0.19259528345902682</c:v>
                </c:pt>
                <c:pt idx="4972">
                  <c:v>0.20288775015939822</c:v>
                </c:pt>
                <c:pt idx="4973">
                  <c:v>0.22967835993600066</c:v>
                </c:pt>
                <c:pt idx="4974">
                  <c:v>0.21577484794807261</c:v>
                </c:pt>
                <c:pt idx="4975">
                  <c:v>0.24961450283503997</c:v>
                </c:pt>
                <c:pt idx="4976">
                  <c:v>0.18927798813955216</c:v>
                </c:pt>
                <c:pt idx="4977">
                  <c:v>0.19840481712239491</c:v>
                </c:pt>
                <c:pt idx="4978">
                  <c:v>0.19233183757660507</c:v>
                </c:pt>
                <c:pt idx="4979">
                  <c:v>0.20772118479356119</c:v>
                </c:pt>
                <c:pt idx="4980">
                  <c:v>0.20323757140657697</c:v>
                </c:pt>
                <c:pt idx="4981">
                  <c:v>0.20740863907090781</c:v>
                </c:pt>
                <c:pt idx="4982">
                  <c:v>0.19773045661184843</c:v>
                </c:pt>
                <c:pt idx="4983">
                  <c:v>0.22045136860349643</c:v>
                </c:pt>
                <c:pt idx="4984">
                  <c:v>0.20277559537609777</c:v>
                </c:pt>
                <c:pt idx="4985">
                  <c:v>0.22808562049452472</c:v>
                </c:pt>
                <c:pt idx="4986">
                  <c:v>0.3155332210219578</c:v>
                </c:pt>
                <c:pt idx="4987">
                  <c:v>0.20203246941641545</c:v>
                </c:pt>
                <c:pt idx="4988">
                  <c:v>0.19712898413979635</c:v>
                </c:pt>
                <c:pt idx="4989">
                  <c:v>0.20043300858010124</c:v>
                </c:pt>
                <c:pt idx="4990">
                  <c:v>0.22688921142519644</c:v>
                </c:pt>
                <c:pt idx="4991">
                  <c:v>0.30953278454738603</c:v>
                </c:pt>
                <c:pt idx="4992">
                  <c:v>0.22474098565696671</c:v>
                </c:pt>
                <c:pt idx="4993">
                  <c:v>0.23273142856881657</c:v>
                </c:pt>
                <c:pt idx="4994">
                  <c:v>0.19236801566940884</c:v>
                </c:pt>
                <c:pt idx="4995">
                  <c:v>0.24037052611177154</c:v>
                </c:pt>
                <c:pt idx="4996">
                  <c:v>0.20035752695304143</c:v>
                </c:pt>
                <c:pt idx="4997">
                  <c:v>0.19187847678639275</c:v>
                </c:pt>
                <c:pt idx="4998">
                  <c:v>0.19706592002147444</c:v>
                </c:pt>
                <c:pt idx="4999">
                  <c:v>0.23524126282809613</c:v>
                </c:pt>
                <c:pt idx="5000">
                  <c:v>0.19095539266171382</c:v>
                </c:pt>
              </c:numCache>
            </c:numRef>
          </c:xVal>
          <c:yVal>
            <c:numRef>
              <c:f>'3 stock optimal portfolio'!$L$23:$L$5023</c:f>
              <c:numCache>
                <c:formatCode>0.00%</c:formatCode>
                <c:ptCount val="5001"/>
                <c:pt idx="0">
                  <c:v>0.28505178310014884</c:v>
                </c:pt>
                <c:pt idx="1">
                  <c:v>8.6376047296763014E-2</c:v>
                </c:pt>
                <c:pt idx="2">
                  <c:v>0.40428036269009415</c:v>
                </c:pt>
                <c:pt idx="3">
                  <c:v>0.41834458180628092</c:v>
                </c:pt>
                <c:pt idx="4">
                  <c:v>-7.226880120861523E-2</c:v>
                </c:pt>
                <c:pt idx="5">
                  <c:v>0.40155895759082105</c:v>
                </c:pt>
                <c:pt idx="6">
                  <c:v>0.30144804119541319</c:v>
                </c:pt>
                <c:pt idx="7">
                  <c:v>-1.1581167626871863E-2</c:v>
                </c:pt>
                <c:pt idx="8">
                  <c:v>0.26971219979326105</c:v>
                </c:pt>
                <c:pt idx="9">
                  <c:v>0.52041423039424262</c:v>
                </c:pt>
                <c:pt idx="10">
                  <c:v>0.38267999321439683</c:v>
                </c:pt>
                <c:pt idx="11">
                  <c:v>0.21787629242340528</c:v>
                </c:pt>
                <c:pt idx="12">
                  <c:v>0.31356746920591272</c:v>
                </c:pt>
                <c:pt idx="13">
                  <c:v>0.3990751175869322</c:v>
                </c:pt>
                <c:pt idx="14">
                  <c:v>0.25283678580353924</c:v>
                </c:pt>
                <c:pt idx="15">
                  <c:v>0.27597883579516641</c:v>
                </c:pt>
                <c:pt idx="16">
                  <c:v>0.21893136101065974</c:v>
                </c:pt>
                <c:pt idx="17">
                  <c:v>0.40283506551790887</c:v>
                </c:pt>
                <c:pt idx="18">
                  <c:v>0.17660733172504667</c:v>
                </c:pt>
                <c:pt idx="19">
                  <c:v>0.22113714483523328</c:v>
                </c:pt>
                <c:pt idx="20">
                  <c:v>0.35392956651444868</c:v>
                </c:pt>
                <c:pt idx="21">
                  <c:v>0.4860693114439264</c:v>
                </c:pt>
                <c:pt idx="22">
                  <c:v>0.3718284069343023</c:v>
                </c:pt>
                <c:pt idx="23">
                  <c:v>0.47962337147345541</c:v>
                </c:pt>
                <c:pt idx="24">
                  <c:v>0.38993490562932787</c:v>
                </c:pt>
                <c:pt idx="25">
                  <c:v>0.15130741223653527</c:v>
                </c:pt>
                <c:pt idx="26">
                  <c:v>0.3272295398157597</c:v>
                </c:pt>
                <c:pt idx="27">
                  <c:v>0.1319519420030329</c:v>
                </c:pt>
                <c:pt idx="28">
                  <c:v>0.3002162675770596</c:v>
                </c:pt>
                <c:pt idx="29">
                  <c:v>5.7708807205678614E-2</c:v>
                </c:pt>
                <c:pt idx="30">
                  <c:v>0.21513766136636409</c:v>
                </c:pt>
                <c:pt idx="31">
                  <c:v>0.23459369516428352</c:v>
                </c:pt>
                <c:pt idx="32">
                  <c:v>0.14508404323942811</c:v>
                </c:pt>
                <c:pt idx="33">
                  <c:v>2.6626282416516323E-2</c:v>
                </c:pt>
                <c:pt idx="34">
                  <c:v>0.22382650590182129</c:v>
                </c:pt>
                <c:pt idx="35">
                  <c:v>0.26522072640032118</c:v>
                </c:pt>
                <c:pt idx="36">
                  <c:v>0.46960209216511778</c:v>
                </c:pt>
                <c:pt idx="37">
                  <c:v>0.15056642415223814</c:v>
                </c:pt>
                <c:pt idx="38">
                  <c:v>0.35314033602607431</c:v>
                </c:pt>
                <c:pt idx="39">
                  <c:v>0.36986379263440089</c:v>
                </c:pt>
                <c:pt idx="40">
                  <c:v>0.23684899935148962</c:v>
                </c:pt>
                <c:pt idx="41">
                  <c:v>-9.2145136821808665E-2</c:v>
                </c:pt>
                <c:pt idx="42">
                  <c:v>0.41569427474416049</c:v>
                </c:pt>
                <c:pt idx="43">
                  <c:v>0.34475051505147242</c:v>
                </c:pt>
                <c:pt idx="44">
                  <c:v>0.27745165862405524</c:v>
                </c:pt>
                <c:pt idx="45">
                  <c:v>-1.2386350852919122E-2</c:v>
                </c:pt>
                <c:pt idx="46">
                  <c:v>0.33570472403439666</c:v>
                </c:pt>
                <c:pt idx="47">
                  <c:v>0.49188399771592289</c:v>
                </c:pt>
                <c:pt idx="48">
                  <c:v>0.39689396788359121</c:v>
                </c:pt>
                <c:pt idx="49">
                  <c:v>0.40394686647277861</c:v>
                </c:pt>
                <c:pt idx="50">
                  <c:v>0.40309105646778842</c:v>
                </c:pt>
                <c:pt idx="51">
                  <c:v>0.37906327523730349</c:v>
                </c:pt>
                <c:pt idx="52">
                  <c:v>4.5327499363020281E-2</c:v>
                </c:pt>
                <c:pt idx="53">
                  <c:v>0.26567729251366201</c:v>
                </c:pt>
                <c:pt idx="54">
                  <c:v>0.20268926188728506</c:v>
                </c:pt>
                <c:pt idx="55">
                  <c:v>0.36412092980811633</c:v>
                </c:pt>
                <c:pt idx="56">
                  <c:v>0.20525745792984035</c:v>
                </c:pt>
                <c:pt idx="57">
                  <c:v>0.10920091141203506</c:v>
                </c:pt>
                <c:pt idx="58">
                  <c:v>1.3259791257896308E-2</c:v>
                </c:pt>
                <c:pt idx="59">
                  <c:v>0.12187461514679876</c:v>
                </c:pt>
                <c:pt idx="60">
                  <c:v>0.26981000283935269</c:v>
                </c:pt>
                <c:pt idx="61">
                  <c:v>0.15133922271462721</c:v>
                </c:pt>
                <c:pt idx="62">
                  <c:v>0.20190317403721714</c:v>
                </c:pt>
                <c:pt idx="63">
                  <c:v>-3.3082176131854546E-2</c:v>
                </c:pt>
                <c:pt idx="64">
                  <c:v>0.2758035935405076</c:v>
                </c:pt>
                <c:pt idx="65">
                  <c:v>0.23527599363598561</c:v>
                </c:pt>
                <c:pt idx="66">
                  <c:v>0.41429967710217397</c:v>
                </c:pt>
                <c:pt idx="67">
                  <c:v>0.3692673624230477</c:v>
                </c:pt>
                <c:pt idx="68">
                  <c:v>0.47478096302580208</c:v>
                </c:pt>
                <c:pt idx="69">
                  <c:v>0.42405593417177678</c:v>
                </c:pt>
                <c:pt idx="70">
                  <c:v>-8.9763051259153542E-2</c:v>
                </c:pt>
                <c:pt idx="71">
                  <c:v>0.27632188958021858</c:v>
                </c:pt>
                <c:pt idx="72">
                  <c:v>-7.627261958872196E-2</c:v>
                </c:pt>
                <c:pt idx="73">
                  <c:v>0.11535406207890894</c:v>
                </c:pt>
                <c:pt idx="74">
                  <c:v>2.7116820076145257E-2</c:v>
                </c:pt>
                <c:pt idx="75">
                  <c:v>3.9907516649963365E-2</c:v>
                </c:pt>
                <c:pt idx="76">
                  <c:v>5.9385394809673545E-2</c:v>
                </c:pt>
                <c:pt idx="77">
                  <c:v>9.1055966419666109E-2</c:v>
                </c:pt>
                <c:pt idx="78">
                  <c:v>-7.8669276004824054E-2</c:v>
                </c:pt>
                <c:pt idx="79">
                  <c:v>0.27485893180572996</c:v>
                </c:pt>
                <c:pt idx="80">
                  <c:v>0.12735545888803534</c:v>
                </c:pt>
                <c:pt idx="81">
                  <c:v>0.54997020244622585</c:v>
                </c:pt>
                <c:pt idx="82">
                  <c:v>0.2819425907404578</c:v>
                </c:pt>
                <c:pt idx="83">
                  <c:v>0.34696835347745836</c:v>
                </c:pt>
                <c:pt idx="84">
                  <c:v>0.48286699611040568</c:v>
                </c:pt>
                <c:pt idx="85">
                  <c:v>0.419817159562898</c:v>
                </c:pt>
                <c:pt idx="86">
                  <c:v>0.11271097907543007</c:v>
                </c:pt>
                <c:pt idx="87">
                  <c:v>0.6712305622592879</c:v>
                </c:pt>
                <c:pt idx="88">
                  <c:v>-8.3796040857916462E-2</c:v>
                </c:pt>
                <c:pt idx="89">
                  <c:v>0.54467733526220952</c:v>
                </c:pt>
                <c:pt idx="90">
                  <c:v>3.9828677143965062E-2</c:v>
                </c:pt>
                <c:pt idx="91">
                  <c:v>0.33616601041943578</c:v>
                </c:pt>
                <c:pt idx="92">
                  <c:v>0.31697044978264904</c:v>
                </c:pt>
                <c:pt idx="93">
                  <c:v>0.27819700048692253</c:v>
                </c:pt>
                <c:pt idx="94">
                  <c:v>0.28866216716428561</c:v>
                </c:pt>
                <c:pt idx="95">
                  <c:v>0.29076841617789428</c:v>
                </c:pt>
                <c:pt idx="96">
                  <c:v>-7.6746496105791456E-2</c:v>
                </c:pt>
                <c:pt idx="97">
                  <c:v>0.31907438030314084</c:v>
                </c:pt>
                <c:pt idx="98">
                  <c:v>0.21416084903541283</c:v>
                </c:pt>
                <c:pt idx="99">
                  <c:v>0.4719166353795704</c:v>
                </c:pt>
                <c:pt idx="100">
                  <c:v>0.26006722760453044</c:v>
                </c:pt>
                <c:pt idx="101">
                  <c:v>0.3943300647239098</c:v>
                </c:pt>
                <c:pt idx="102">
                  <c:v>0.14547149882597771</c:v>
                </c:pt>
                <c:pt idx="103">
                  <c:v>0.16049377334177575</c:v>
                </c:pt>
                <c:pt idx="104">
                  <c:v>0.28772036891697728</c:v>
                </c:pt>
                <c:pt idx="105">
                  <c:v>0.28077199820834536</c:v>
                </c:pt>
                <c:pt idx="106">
                  <c:v>0.35076799648787543</c:v>
                </c:pt>
                <c:pt idx="107">
                  <c:v>7.1568099197505397E-2</c:v>
                </c:pt>
                <c:pt idx="108">
                  <c:v>0.32131665538692655</c:v>
                </c:pt>
                <c:pt idx="109">
                  <c:v>0.18647482029254714</c:v>
                </c:pt>
                <c:pt idx="110">
                  <c:v>3.3631027851533039E-2</c:v>
                </c:pt>
                <c:pt idx="111">
                  <c:v>0.2747096369273192</c:v>
                </c:pt>
                <c:pt idx="112">
                  <c:v>-5.185511182409918E-2</c:v>
                </c:pt>
                <c:pt idx="113">
                  <c:v>0.27138299410549721</c:v>
                </c:pt>
                <c:pt idx="114">
                  <c:v>0.28345687199961034</c:v>
                </c:pt>
                <c:pt idx="115">
                  <c:v>0.2255652715226481</c:v>
                </c:pt>
                <c:pt idx="116">
                  <c:v>-2.3842180315468545E-2</c:v>
                </c:pt>
                <c:pt idx="117">
                  <c:v>0.3465285943772406</c:v>
                </c:pt>
                <c:pt idx="118">
                  <c:v>0.25471966241340493</c:v>
                </c:pt>
                <c:pt idx="119">
                  <c:v>0.35577071078073275</c:v>
                </c:pt>
                <c:pt idx="120">
                  <c:v>0.25630480612705908</c:v>
                </c:pt>
                <c:pt idx="121">
                  <c:v>0.33992884311962912</c:v>
                </c:pt>
                <c:pt idx="122">
                  <c:v>0.12093427948482979</c:v>
                </c:pt>
                <c:pt idx="123">
                  <c:v>0.74172063006989575</c:v>
                </c:pt>
                <c:pt idx="124">
                  <c:v>0.30652597186263342</c:v>
                </c:pt>
                <c:pt idx="125">
                  <c:v>0.42896022109075288</c:v>
                </c:pt>
                <c:pt idx="126">
                  <c:v>0.38292093106568337</c:v>
                </c:pt>
                <c:pt idx="127">
                  <c:v>0.37317739304287922</c:v>
                </c:pt>
                <c:pt idx="128">
                  <c:v>0.44455200763365416</c:v>
                </c:pt>
                <c:pt idx="129">
                  <c:v>0.32616504801973911</c:v>
                </c:pt>
                <c:pt idx="130">
                  <c:v>0.33559581041597797</c:v>
                </c:pt>
                <c:pt idx="131">
                  <c:v>-2.3635260503591736E-2</c:v>
                </c:pt>
                <c:pt idx="132">
                  <c:v>0.51124941978034644</c:v>
                </c:pt>
                <c:pt idx="133">
                  <c:v>2.1292388375850166E-2</c:v>
                </c:pt>
                <c:pt idx="134">
                  <c:v>0.24789934117795889</c:v>
                </c:pt>
                <c:pt idx="135">
                  <c:v>0.15851689271873273</c:v>
                </c:pt>
                <c:pt idx="136">
                  <c:v>0.37720637267520757</c:v>
                </c:pt>
                <c:pt idx="137">
                  <c:v>0.34547169306583497</c:v>
                </c:pt>
                <c:pt idx="138">
                  <c:v>0.7358702293259175</c:v>
                </c:pt>
                <c:pt idx="139">
                  <c:v>0.29646599362063897</c:v>
                </c:pt>
                <c:pt idx="140">
                  <c:v>-4.8908083233994419E-2</c:v>
                </c:pt>
                <c:pt idx="141">
                  <c:v>0.59252039644643806</c:v>
                </c:pt>
                <c:pt idx="142">
                  <c:v>0.3706243273758052</c:v>
                </c:pt>
                <c:pt idx="143">
                  <c:v>0.3957302383989787</c:v>
                </c:pt>
                <c:pt idx="144">
                  <c:v>-8.0947957790697689E-2</c:v>
                </c:pt>
                <c:pt idx="145">
                  <c:v>0.29528529585965546</c:v>
                </c:pt>
                <c:pt idx="146">
                  <c:v>0.25766717297841296</c:v>
                </c:pt>
                <c:pt idx="147">
                  <c:v>0.24354223589545987</c:v>
                </c:pt>
                <c:pt idx="148">
                  <c:v>0.43373233277172563</c:v>
                </c:pt>
                <c:pt idx="149">
                  <c:v>0.13338306370827049</c:v>
                </c:pt>
                <c:pt idx="150">
                  <c:v>0.23972763016524412</c:v>
                </c:pt>
                <c:pt idx="151">
                  <c:v>0.23695283550147536</c:v>
                </c:pt>
                <c:pt idx="152">
                  <c:v>9.7399611103367117E-2</c:v>
                </c:pt>
                <c:pt idx="153">
                  <c:v>0.27000374867549215</c:v>
                </c:pt>
                <c:pt idx="154">
                  <c:v>0.7670806439497635</c:v>
                </c:pt>
                <c:pt idx="155">
                  <c:v>0.17176659485970208</c:v>
                </c:pt>
                <c:pt idx="156">
                  <c:v>-9.5882053779454288E-2</c:v>
                </c:pt>
                <c:pt idx="157">
                  <c:v>-1.2014076551789918E-2</c:v>
                </c:pt>
                <c:pt idx="158">
                  <c:v>0.15516171333090567</c:v>
                </c:pt>
                <c:pt idx="159">
                  <c:v>0.41468215015578841</c:v>
                </c:pt>
                <c:pt idx="160">
                  <c:v>0.39572835227062336</c:v>
                </c:pt>
                <c:pt idx="161">
                  <c:v>4.4912250083398476E-2</c:v>
                </c:pt>
                <c:pt idx="162">
                  <c:v>0.27830791722281206</c:v>
                </c:pt>
                <c:pt idx="163">
                  <c:v>0.15734992625784663</c:v>
                </c:pt>
                <c:pt idx="164">
                  <c:v>2.3565301681400135E-2</c:v>
                </c:pt>
                <c:pt idx="165">
                  <c:v>0.61686359767325127</c:v>
                </c:pt>
                <c:pt idx="166">
                  <c:v>9.4137193168792946E-2</c:v>
                </c:pt>
                <c:pt idx="167">
                  <c:v>-6.117521025761867E-2</c:v>
                </c:pt>
                <c:pt idx="168">
                  <c:v>5.9745601350307848E-2</c:v>
                </c:pt>
                <c:pt idx="169">
                  <c:v>-6.8046854876700119E-2</c:v>
                </c:pt>
                <c:pt idx="170">
                  <c:v>0.32186184286376862</c:v>
                </c:pt>
                <c:pt idx="171">
                  <c:v>0.57463696745730375</c:v>
                </c:pt>
                <c:pt idx="172">
                  <c:v>1.6764079567204881E-2</c:v>
                </c:pt>
                <c:pt idx="173">
                  <c:v>0.24852702472365779</c:v>
                </c:pt>
                <c:pt idx="174">
                  <c:v>0.2694954331951982</c:v>
                </c:pt>
                <c:pt idx="175">
                  <c:v>0.274622861264879</c:v>
                </c:pt>
                <c:pt idx="176">
                  <c:v>0.82292176610121437</c:v>
                </c:pt>
                <c:pt idx="177">
                  <c:v>7.0255122504786494E-2</c:v>
                </c:pt>
                <c:pt idx="178">
                  <c:v>0.318004495281349</c:v>
                </c:pt>
                <c:pt idx="179">
                  <c:v>0.28470957657130802</c:v>
                </c:pt>
                <c:pt idx="180">
                  <c:v>0.16665494562256417</c:v>
                </c:pt>
                <c:pt idx="181">
                  <c:v>0.43852084728270885</c:v>
                </c:pt>
                <c:pt idx="182">
                  <c:v>0.15600968765288881</c:v>
                </c:pt>
                <c:pt idx="183">
                  <c:v>0.48909107096751375</c:v>
                </c:pt>
                <c:pt idx="184">
                  <c:v>0.12983736827052875</c:v>
                </c:pt>
                <c:pt idx="185">
                  <c:v>0.79775651151637861</c:v>
                </c:pt>
                <c:pt idx="186">
                  <c:v>-6.4971514962716068E-3</c:v>
                </c:pt>
                <c:pt idx="187">
                  <c:v>-7.0093295212044451E-2</c:v>
                </c:pt>
                <c:pt idx="188">
                  <c:v>8.0560838525964268E-2</c:v>
                </c:pt>
                <c:pt idx="189">
                  <c:v>2.4844122108385998E-2</c:v>
                </c:pt>
                <c:pt idx="190">
                  <c:v>5.3660163015999282E-2</c:v>
                </c:pt>
                <c:pt idx="191">
                  <c:v>0.33230127417261773</c:v>
                </c:pt>
                <c:pt idx="192">
                  <c:v>8.1865153929856133E-2</c:v>
                </c:pt>
                <c:pt idx="193">
                  <c:v>0.16454785612647968</c:v>
                </c:pt>
                <c:pt idx="194">
                  <c:v>-3.0680587325063634E-2</c:v>
                </c:pt>
                <c:pt idx="195">
                  <c:v>-2.6826744412544942E-3</c:v>
                </c:pt>
                <c:pt idx="196">
                  <c:v>0.33341308558741373</c:v>
                </c:pt>
                <c:pt idx="197">
                  <c:v>-5.5064747827702556E-3</c:v>
                </c:pt>
                <c:pt idx="198">
                  <c:v>0.36011155097559555</c:v>
                </c:pt>
                <c:pt idx="199">
                  <c:v>0.11677781883031182</c:v>
                </c:pt>
                <c:pt idx="200">
                  <c:v>0.47824276634384405</c:v>
                </c:pt>
                <c:pt idx="201">
                  <c:v>-4.3661292484006395E-2</c:v>
                </c:pt>
                <c:pt idx="202">
                  <c:v>0.68943914841494403</c:v>
                </c:pt>
                <c:pt idx="203">
                  <c:v>0.35971721231823783</c:v>
                </c:pt>
                <c:pt idx="204">
                  <c:v>0.15953415189597522</c:v>
                </c:pt>
                <c:pt idx="205">
                  <c:v>0.10687563587929688</c:v>
                </c:pt>
                <c:pt idx="206">
                  <c:v>9.3776871860315178E-2</c:v>
                </c:pt>
                <c:pt idx="207">
                  <c:v>0.21455261011341945</c:v>
                </c:pt>
                <c:pt idx="208">
                  <c:v>4.2714408161569649E-2</c:v>
                </c:pt>
                <c:pt idx="209">
                  <c:v>-4.6388206135490093E-2</c:v>
                </c:pt>
                <c:pt idx="210">
                  <c:v>0.76209648069198666</c:v>
                </c:pt>
                <c:pt idx="211">
                  <c:v>0.16745046624822862</c:v>
                </c:pt>
                <c:pt idx="212">
                  <c:v>0.2604817448551362</c:v>
                </c:pt>
                <c:pt idx="213">
                  <c:v>0.22325401527843403</c:v>
                </c:pt>
                <c:pt idx="214">
                  <c:v>0.41443424205145318</c:v>
                </c:pt>
                <c:pt idx="215">
                  <c:v>-6.403241571889523E-2</c:v>
                </c:pt>
                <c:pt idx="216">
                  <c:v>0.37082943663644397</c:v>
                </c:pt>
                <c:pt idx="217">
                  <c:v>0.12625342105664841</c:v>
                </c:pt>
                <c:pt idx="218">
                  <c:v>0.12981614733570768</c:v>
                </c:pt>
                <c:pt idx="219">
                  <c:v>-2.6222453054189902E-2</c:v>
                </c:pt>
                <c:pt idx="220">
                  <c:v>0.2231886415057357</c:v>
                </c:pt>
                <c:pt idx="221">
                  <c:v>0.30093672354293077</c:v>
                </c:pt>
                <c:pt idx="222">
                  <c:v>-5.1086816420843076E-2</c:v>
                </c:pt>
                <c:pt idx="223">
                  <c:v>0.10341502601708526</c:v>
                </c:pt>
                <c:pt idx="224">
                  <c:v>0.2835551071584847</c:v>
                </c:pt>
                <c:pt idx="225">
                  <c:v>0.31961406202677561</c:v>
                </c:pt>
                <c:pt idx="226">
                  <c:v>0.20193223468043875</c:v>
                </c:pt>
                <c:pt idx="227">
                  <c:v>0.17991248796100953</c:v>
                </c:pt>
                <c:pt idx="228">
                  <c:v>0.39708599008464462</c:v>
                </c:pt>
                <c:pt idx="229">
                  <c:v>0.28725017188793389</c:v>
                </c:pt>
                <c:pt idx="230">
                  <c:v>-2.186782490948784E-2</c:v>
                </c:pt>
                <c:pt idx="231">
                  <c:v>0.59487966019903005</c:v>
                </c:pt>
                <c:pt idx="232">
                  <c:v>0.39580163618570174</c:v>
                </c:pt>
                <c:pt idx="233">
                  <c:v>-5.0649055352761929E-2</c:v>
                </c:pt>
                <c:pt idx="234">
                  <c:v>0.1636442128407688</c:v>
                </c:pt>
                <c:pt idx="235">
                  <c:v>0.25158418678830063</c:v>
                </c:pt>
                <c:pt idx="236">
                  <c:v>0.21547169413613235</c:v>
                </c:pt>
                <c:pt idx="237">
                  <c:v>2.8232923647518955E-2</c:v>
                </c:pt>
                <c:pt idx="238">
                  <c:v>0.46155902784040331</c:v>
                </c:pt>
                <c:pt idx="239">
                  <c:v>0.12400422297968089</c:v>
                </c:pt>
                <c:pt idx="240">
                  <c:v>4.0247516876265647E-2</c:v>
                </c:pt>
                <c:pt idx="241">
                  <c:v>0.23620201123122528</c:v>
                </c:pt>
                <c:pt idx="242">
                  <c:v>0.11810744668103756</c:v>
                </c:pt>
                <c:pt idx="243">
                  <c:v>0.26022641895833237</c:v>
                </c:pt>
                <c:pt idx="244">
                  <c:v>0.22755244779278788</c:v>
                </c:pt>
                <c:pt idx="245">
                  <c:v>0.28442163324741487</c:v>
                </c:pt>
                <c:pt idx="246">
                  <c:v>0.37360865089168077</c:v>
                </c:pt>
                <c:pt idx="247">
                  <c:v>7.8846053767063773E-2</c:v>
                </c:pt>
                <c:pt idx="248">
                  <c:v>0.13379031322775031</c:v>
                </c:pt>
                <c:pt idx="249">
                  <c:v>0.28910055537690904</c:v>
                </c:pt>
                <c:pt idx="250">
                  <c:v>0.1253498651235124</c:v>
                </c:pt>
                <c:pt idx="251">
                  <c:v>0.11826834981772685</c:v>
                </c:pt>
                <c:pt idx="252">
                  <c:v>0.49258426507286662</c:v>
                </c:pt>
                <c:pt idx="253">
                  <c:v>-9.8362748236362207E-3</c:v>
                </c:pt>
                <c:pt idx="254">
                  <c:v>3.1297008268984079E-2</c:v>
                </c:pt>
                <c:pt idx="255">
                  <c:v>0.36275732069559508</c:v>
                </c:pt>
                <c:pt idx="256">
                  <c:v>0.47079612341502397</c:v>
                </c:pt>
                <c:pt idx="257">
                  <c:v>7.651263612415965E-2</c:v>
                </c:pt>
                <c:pt idx="258">
                  <c:v>0.47777285058959273</c:v>
                </c:pt>
                <c:pt idx="259">
                  <c:v>9.5085011189856822E-2</c:v>
                </c:pt>
                <c:pt idx="260">
                  <c:v>-8.3467323027392376E-2</c:v>
                </c:pt>
                <c:pt idx="261">
                  <c:v>8.1129577025315966E-2</c:v>
                </c:pt>
                <c:pt idx="262">
                  <c:v>0.4856653562152784</c:v>
                </c:pt>
                <c:pt idx="263">
                  <c:v>0.37529171709121328</c:v>
                </c:pt>
                <c:pt idx="264">
                  <c:v>0.22483392760605742</c:v>
                </c:pt>
                <c:pt idx="265">
                  <c:v>0.28776480471190902</c:v>
                </c:pt>
                <c:pt idx="266">
                  <c:v>0.4237613849809132</c:v>
                </c:pt>
                <c:pt idx="267">
                  <c:v>0.1401264791391405</c:v>
                </c:pt>
                <c:pt idx="268">
                  <c:v>3.0587950988455084E-2</c:v>
                </c:pt>
                <c:pt idx="269">
                  <c:v>0.58823647722894401</c:v>
                </c:pt>
                <c:pt idx="270">
                  <c:v>0.47663444449157361</c:v>
                </c:pt>
                <c:pt idx="271">
                  <c:v>0.41871744316130705</c:v>
                </c:pt>
                <c:pt idx="272">
                  <c:v>-6.8882439323758926E-2</c:v>
                </c:pt>
                <c:pt idx="273">
                  <c:v>0.16364603328405275</c:v>
                </c:pt>
                <c:pt idx="274">
                  <c:v>0.13804397416107456</c:v>
                </c:pt>
                <c:pt idx="275">
                  <c:v>-4.6821177754996737E-2</c:v>
                </c:pt>
                <c:pt idx="276">
                  <c:v>8.511726537966173E-2</c:v>
                </c:pt>
                <c:pt idx="277">
                  <c:v>0.28738027248164877</c:v>
                </c:pt>
                <c:pt idx="278">
                  <c:v>0.73593718283424236</c:v>
                </c:pt>
                <c:pt idx="279">
                  <c:v>0.23178765201966919</c:v>
                </c:pt>
                <c:pt idx="280">
                  <c:v>5.1077132687509519E-2</c:v>
                </c:pt>
                <c:pt idx="281">
                  <c:v>0.36410732715594485</c:v>
                </c:pt>
                <c:pt idx="282">
                  <c:v>0.59916415838321946</c:v>
                </c:pt>
                <c:pt idx="283">
                  <c:v>0.23453063510017783</c:v>
                </c:pt>
                <c:pt idx="284">
                  <c:v>0.10486205069820502</c:v>
                </c:pt>
                <c:pt idx="285">
                  <c:v>8.068490804372308E-2</c:v>
                </c:pt>
                <c:pt idx="286">
                  <c:v>7.4686323291171974E-2</c:v>
                </c:pt>
                <c:pt idx="287">
                  <c:v>0.44821741090922723</c:v>
                </c:pt>
                <c:pt idx="288">
                  <c:v>0.51511239988575697</c:v>
                </c:pt>
                <c:pt idx="289">
                  <c:v>0.29693637631208131</c:v>
                </c:pt>
                <c:pt idx="290">
                  <c:v>0.26313317230104</c:v>
                </c:pt>
                <c:pt idx="291">
                  <c:v>0.51933381968359593</c:v>
                </c:pt>
                <c:pt idx="292">
                  <c:v>0.13502143218834733</c:v>
                </c:pt>
                <c:pt idx="293">
                  <c:v>-1.6602492199144746E-3</c:v>
                </c:pt>
                <c:pt idx="294">
                  <c:v>1.0184373842929178E-2</c:v>
                </c:pt>
                <c:pt idx="295">
                  <c:v>2.6393393426325858E-2</c:v>
                </c:pt>
                <c:pt idx="296">
                  <c:v>0.21168001191192751</c:v>
                </c:pt>
                <c:pt idx="297">
                  <c:v>-3.6629253186229796E-2</c:v>
                </c:pt>
                <c:pt idx="298">
                  <c:v>0.35222666224986304</c:v>
                </c:pt>
                <c:pt idx="299">
                  <c:v>4.3644722862885149E-4</c:v>
                </c:pt>
                <c:pt idx="300">
                  <c:v>0.23612562889072855</c:v>
                </c:pt>
                <c:pt idx="301">
                  <c:v>-4.6592731379089765E-2</c:v>
                </c:pt>
                <c:pt idx="302">
                  <c:v>0.34870509804188654</c:v>
                </c:pt>
                <c:pt idx="303">
                  <c:v>0.5099826121883746</c:v>
                </c:pt>
                <c:pt idx="304">
                  <c:v>0.24468211637439888</c:v>
                </c:pt>
                <c:pt idx="305">
                  <c:v>-1.9957439656622999E-2</c:v>
                </c:pt>
                <c:pt idx="306">
                  <c:v>0.28440949157595063</c:v>
                </c:pt>
                <c:pt idx="307">
                  <c:v>0.37165397886283646</c:v>
                </c:pt>
                <c:pt idx="308">
                  <c:v>0.74771498148882032</c:v>
                </c:pt>
                <c:pt idx="309">
                  <c:v>6.1262162005750416E-2</c:v>
                </c:pt>
                <c:pt idx="310">
                  <c:v>0.36338496233161399</c:v>
                </c:pt>
                <c:pt idx="311">
                  <c:v>0.21324368713013533</c:v>
                </c:pt>
                <c:pt idx="312">
                  <c:v>0.13340318248600599</c:v>
                </c:pt>
                <c:pt idx="313">
                  <c:v>0.19700448759827699</c:v>
                </c:pt>
                <c:pt idx="314">
                  <c:v>0.25667728725633787</c:v>
                </c:pt>
                <c:pt idx="315">
                  <c:v>0.25144786510423262</c:v>
                </c:pt>
                <c:pt idx="316">
                  <c:v>0.27401396573587139</c:v>
                </c:pt>
                <c:pt idx="317">
                  <c:v>0.11095862967674067</c:v>
                </c:pt>
                <c:pt idx="318">
                  <c:v>-8.3364253712562703E-2</c:v>
                </c:pt>
                <c:pt idx="319">
                  <c:v>0.14331426405179043</c:v>
                </c:pt>
                <c:pt idx="320">
                  <c:v>0.20149094018319516</c:v>
                </c:pt>
                <c:pt idx="321">
                  <c:v>-8.0743210389904521E-2</c:v>
                </c:pt>
                <c:pt idx="322">
                  <c:v>0.25800761560767294</c:v>
                </c:pt>
                <c:pt idx="323">
                  <c:v>-6.1099075336417147E-2</c:v>
                </c:pt>
                <c:pt idx="324">
                  <c:v>0.55856083235284182</c:v>
                </c:pt>
                <c:pt idx="325">
                  <c:v>0.22203833067520401</c:v>
                </c:pt>
                <c:pt idx="326">
                  <c:v>-3.0532845260611861E-2</c:v>
                </c:pt>
                <c:pt idx="327">
                  <c:v>0.22064420327837353</c:v>
                </c:pt>
                <c:pt idx="328">
                  <c:v>0.26022383434357155</c:v>
                </c:pt>
                <c:pt idx="329">
                  <c:v>0.42317150293442929</c:v>
                </c:pt>
                <c:pt idx="330">
                  <c:v>0.25597129117712569</c:v>
                </c:pt>
                <c:pt idx="331">
                  <c:v>0.39491907034691803</c:v>
                </c:pt>
                <c:pt idx="332">
                  <c:v>2.3418350242153441E-2</c:v>
                </c:pt>
                <c:pt idx="333">
                  <c:v>0.3355554815264129</c:v>
                </c:pt>
                <c:pt idx="334">
                  <c:v>0.29900993882807775</c:v>
                </c:pt>
                <c:pt idx="335">
                  <c:v>0.16500058528701583</c:v>
                </c:pt>
                <c:pt idx="336">
                  <c:v>0.33884838055946931</c:v>
                </c:pt>
                <c:pt idx="337">
                  <c:v>0.27746044049934193</c:v>
                </c:pt>
                <c:pt idx="338">
                  <c:v>0.29853666238735688</c:v>
                </c:pt>
                <c:pt idx="339">
                  <c:v>0.1070212862347532</c:v>
                </c:pt>
                <c:pt idx="340">
                  <c:v>-7.4700012726289525E-2</c:v>
                </c:pt>
                <c:pt idx="341">
                  <c:v>0.33640220876115728</c:v>
                </c:pt>
                <c:pt idx="342">
                  <c:v>0.27040783048811717</c:v>
                </c:pt>
                <c:pt idx="343">
                  <c:v>0.50746939209951281</c:v>
                </c:pt>
                <c:pt idx="344">
                  <c:v>0.20978033170851312</c:v>
                </c:pt>
                <c:pt idx="345">
                  <c:v>0.43543251484386242</c:v>
                </c:pt>
                <c:pt idx="346">
                  <c:v>0.3430207707562013</c:v>
                </c:pt>
                <c:pt idx="347">
                  <c:v>0.19065416196774207</c:v>
                </c:pt>
                <c:pt idx="348">
                  <c:v>0.35127975645891807</c:v>
                </c:pt>
                <c:pt idx="349">
                  <c:v>0.25417966542385489</c:v>
                </c:pt>
                <c:pt idx="350">
                  <c:v>7.55888586409387E-2</c:v>
                </c:pt>
                <c:pt idx="351">
                  <c:v>1.5924940977821267E-2</c:v>
                </c:pt>
                <c:pt idx="352">
                  <c:v>0.16830624374852521</c:v>
                </c:pt>
                <c:pt idx="353">
                  <c:v>0.58965132154587285</c:v>
                </c:pt>
                <c:pt idx="354">
                  <c:v>0.40611456270395874</c:v>
                </c:pt>
                <c:pt idx="355">
                  <c:v>0.12465655221271793</c:v>
                </c:pt>
                <c:pt idx="356">
                  <c:v>0.29573977658024614</c:v>
                </c:pt>
                <c:pt idx="357">
                  <c:v>0.54608920914161441</c:v>
                </c:pt>
                <c:pt idx="358">
                  <c:v>0.31312214905079744</c:v>
                </c:pt>
                <c:pt idx="359">
                  <c:v>-5.6763873434320232E-2</c:v>
                </c:pt>
                <c:pt idx="360">
                  <c:v>0.24839112590925522</c:v>
                </c:pt>
                <c:pt idx="361">
                  <c:v>0.31247153148755963</c:v>
                </c:pt>
                <c:pt idx="362">
                  <c:v>0.23655710830739454</c:v>
                </c:pt>
                <c:pt idx="363">
                  <c:v>0.43538376754618568</c:v>
                </c:pt>
                <c:pt idx="364">
                  <c:v>0.35974689649719915</c:v>
                </c:pt>
                <c:pt idx="365">
                  <c:v>0.29967506334095473</c:v>
                </c:pt>
                <c:pt idx="366">
                  <c:v>0.17765481183295848</c:v>
                </c:pt>
                <c:pt idx="367">
                  <c:v>0.11738194570918969</c:v>
                </c:pt>
                <c:pt idx="368">
                  <c:v>0.3141487838632735</c:v>
                </c:pt>
                <c:pt idx="369">
                  <c:v>8.0697536817265519E-2</c:v>
                </c:pt>
                <c:pt idx="370">
                  <c:v>0.20195337177494935</c:v>
                </c:pt>
                <c:pt idx="371">
                  <c:v>0.23666187295897634</c:v>
                </c:pt>
                <c:pt idx="372">
                  <c:v>-8.4213177583019799E-2</c:v>
                </c:pt>
                <c:pt idx="373">
                  <c:v>0.44335773281697427</c:v>
                </c:pt>
                <c:pt idx="374">
                  <c:v>0.17028129517043838</c:v>
                </c:pt>
                <c:pt idx="375">
                  <c:v>0.40213352691351384</c:v>
                </c:pt>
                <c:pt idx="376">
                  <c:v>0.22438731227547964</c:v>
                </c:pt>
                <c:pt idx="377">
                  <c:v>0.22792706758873371</c:v>
                </c:pt>
                <c:pt idx="378">
                  <c:v>3.3006950171190923E-2</c:v>
                </c:pt>
                <c:pt idx="379">
                  <c:v>0.44373462870777741</c:v>
                </c:pt>
                <c:pt idx="380">
                  <c:v>0.22891038452441356</c:v>
                </c:pt>
                <c:pt idx="381">
                  <c:v>0.28086075434771501</c:v>
                </c:pt>
                <c:pt idx="382">
                  <c:v>0.25804909639565321</c:v>
                </c:pt>
                <c:pt idx="383">
                  <c:v>0.19334009108093719</c:v>
                </c:pt>
                <c:pt idx="384">
                  <c:v>0.41873242638896246</c:v>
                </c:pt>
                <c:pt idx="385">
                  <c:v>-8.8326030376970274E-2</c:v>
                </c:pt>
                <c:pt idx="386">
                  <c:v>0.37914208527128967</c:v>
                </c:pt>
                <c:pt idx="387">
                  <c:v>0.64983931761676783</c:v>
                </c:pt>
                <c:pt idx="388">
                  <c:v>0.19948537613406661</c:v>
                </c:pt>
                <c:pt idx="389">
                  <c:v>0.11683242533975835</c:v>
                </c:pt>
                <c:pt idx="390">
                  <c:v>0.1518099056590399</c:v>
                </c:pt>
                <c:pt idx="391">
                  <c:v>0.31969391619732324</c:v>
                </c:pt>
                <c:pt idx="392">
                  <c:v>0.2221470871606902</c:v>
                </c:pt>
                <c:pt idx="393">
                  <c:v>-5.8373703972832022E-2</c:v>
                </c:pt>
                <c:pt idx="394">
                  <c:v>0.33749223724454719</c:v>
                </c:pt>
                <c:pt idx="395">
                  <c:v>0.16601122888747849</c:v>
                </c:pt>
                <c:pt idx="396">
                  <c:v>-5.1265466207556842E-2</c:v>
                </c:pt>
                <c:pt idx="397">
                  <c:v>0.45155465271253314</c:v>
                </c:pt>
                <c:pt idx="398">
                  <c:v>0.31924414939692114</c:v>
                </c:pt>
                <c:pt idx="399">
                  <c:v>0.28114075559807955</c:v>
                </c:pt>
                <c:pt idx="400">
                  <c:v>-1.5016696845014402E-2</c:v>
                </c:pt>
                <c:pt idx="401">
                  <c:v>0.30339966669840074</c:v>
                </c:pt>
                <c:pt idx="402">
                  <c:v>7.1906377653067344E-2</c:v>
                </c:pt>
                <c:pt idx="403">
                  <c:v>8.5820983596516909E-2</c:v>
                </c:pt>
                <c:pt idx="404">
                  <c:v>0.21200291822843367</c:v>
                </c:pt>
                <c:pt idx="405">
                  <c:v>0.43301094737684598</c:v>
                </c:pt>
                <c:pt idx="406">
                  <c:v>0.53154627403149768</c:v>
                </c:pt>
                <c:pt idx="407">
                  <c:v>0.55015651161775425</c:v>
                </c:pt>
                <c:pt idx="408">
                  <c:v>0.2951452903876034</c:v>
                </c:pt>
                <c:pt idx="409">
                  <c:v>0.12544598078610997</c:v>
                </c:pt>
                <c:pt idx="410">
                  <c:v>0.18957322603382243</c:v>
                </c:pt>
                <c:pt idx="411">
                  <c:v>0.39141202556981319</c:v>
                </c:pt>
                <c:pt idx="412">
                  <c:v>0.33731400739691836</c:v>
                </c:pt>
                <c:pt idx="413">
                  <c:v>-4.6781912618140978E-2</c:v>
                </c:pt>
                <c:pt idx="414">
                  <c:v>0.37691684022035643</c:v>
                </c:pt>
                <c:pt idx="415">
                  <c:v>0.30360211787664032</c:v>
                </c:pt>
                <c:pt idx="416">
                  <c:v>0.26809137140174349</c:v>
                </c:pt>
                <c:pt idx="417">
                  <c:v>0.63935324711886654</c:v>
                </c:pt>
                <c:pt idx="418">
                  <c:v>0.15141471297117884</c:v>
                </c:pt>
                <c:pt idx="419">
                  <c:v>0.23519839217499999</c:v>
                </c:pt>
                <c:pt idx="420">
                  <c:v>0.2332369345692531</c:v>
                </c:pt>
                <c:pt idx="421">
                  <c:v>0.25208654097307226</c:v>
                </c:pt>
                <c:pt idx="422">
                  <c:v>0.2590255348522254</c:v>
                </c:pt>
                <c:pt idx="423">
                  <c:v>0.37616409286345015</c:v>
                </c:pt>
                <c:pt idx="424">
                  <c:v>0.20639337149607642</c:v>
                </c:pt>
                <c:pt idx="425">
                  <c:v>0.25649455693910272</c:v>
                </c:pt>
                <c:pt idx="426">
                  <c:v>0.37731095797380931</c:v>
                </c:pt>
                <c:pt idx="427">
                  <c:v>8.970785939845502E-3</c:v>
                </c:pt>
                <c:pt idx="428">
                  <c:v>0.28066253708694677</c:v>
                </c:pt>
                <c:pt idx="429">
                  <c:v>0.28020405354277444</c:v>
                </c:pt>
                <c:pt idx="430">
                  <c:v>0.34978747193180432</c:v>
                </c:pt>
                <c:pt idx="431">
                  <c:v>0.16115647349178536</c:v>
                </c:pt>
                <c:pt idx="432">
                  <c:v>0.16448150132035066</c:v>
                </c:pt>
                <c:pt idx="433">
                  <c:v>0.52996494290232476</c:v>
                </c:pt>
                <c:pt idx="434">
                  <c:v>-3.0217548018804871E-3</c:v>
                </c:pt>
                <c:pt idx="435">
                  <c:v>-6.8183207088946526E-2</c:v>
                </c:pt>
                <c:pt idx="436">
                  <c:v>-9.2628107615162908E-3</c:v>
                </c:pt>
                <c:pt idx="437">
                  <c:v>0.23080052769561385</c:v>
                </c:pt>
                <c:pt idx="438">
                  <c:v>-2.031518246321562E-2</c:v>
                </c:pt>
                <c:pt idx="439">
                  <c:v>6.3324967261375723E-2</c:v>
                </c:pt>
                <c:pt idx="440">
                  <c:v>0.2021158626842357</c:v>
                </c:pt>
                <c:pt idx="441">
                  <c:v>0.36423039671021396</c:v>
                </c:pt>
                <c:pt idx="442">
                  <c:v>0.34879262729919747</c:v>
                </c:pt>
                <c:pt idx="443">
                  <c:v>0.39205901236915147</c:v>
                </c:pt>
                <c:pt idx="444">
                  <c:v>7.6149885683830312E-3</c:v>
                </c:pt>
                <c:pt idx="445">
                  <c:v>0.14683806683163175</c:v>
                </c:pt>
                <c:pt idx="446">
                  <c:v>0.32815923199863295</c:v>
                </c:pt>
                <c:pt idx="447">
                  <c:v>-6.47436326259066E-2</c:v>
                </c:pt>
                <c:pt idx="448">
                  <c:v>0.34244730885246244</c:v>
                </c:pt>
                <c:pt idx="449">
                  <c:v>0.50040795966486684</c:v>
                </c:pt>
                <c:pt idx="450">
                  <c:v>0.29384412927099002</c:v>
                </c:pt>
                <c:pt idx="451">
                  <c:v>0.27442265412956934</c:v>
                </c:pt>
                <c:pt idx="452">
                  <c:v>9.9466431005507339E-2</c:v>
                </c:pt>
                <c:pt idx="453">
                  <c:v>0.29613176649927492</c:v>
                </c:pt>
                <c:pt idx="454">
                  <c:v>0.15395889904585772</c:v>
                </c:pt>
                <c:pt idx="455">
                  <c:v>1.982376152404576E-2</c:v>
                </c:pt>
                <c:pt idx="456">
                  <c:v>0.40908360588909537</c:v>
                </c:pt>
                <c:pt idx="457">
                  <c:v>0.52724058005388319</c:v>
                </c:pt>
                <c:pt idx="458">
                  <c:v>-9.4593167773936573E-2</c:v>
                </c:pt>
                <c:pt idx="459">
                  <c:v>0.38045749938817691</c:v>
                </c:pt>
                <c:pt idx="460">
                  <c:v>-1.8647481339896965E-2</c:v>
                </c:pt>
                <c:pt idx="461">
                  <c:v>8.8737154319114428E-2</c:v>
                </c:pt>
                <c:pt idx="462">
                  <c:v>6.2346075290261732E-2</c:v>
                </c:pt>
                <c:pt idx="463">
                  <c:v>0.13324539213007014</c:v>
                </c:pt>
                <c:pt idx="464">
                  <c:v>0.14388251452170817</c:v>
                </c:pt>
                <c:pt idx="465">
                  <c:v>0.2055641849366277</c:v>
                </c:pt>
                <c:pt idx="466">
                  <c:v>0.28238113249230556</c:v>
                </c:pt>
                <c:pt idx="467">
                  <c:v>5.3974426675657133E-2</c:v>
                </c:pt>
                <c:pt idx="468">
                  <c:v>0.16660012919905362</c:v>
                </c:pt>
                <c:pt idx="469">
                  <c:v>7.9900128708705609E-2</c:v>
                </c:pt>
                <c:pt idx="470">
                  <c:v>0.18481068549605317</c:v>
                </c:pt>
                <c:pt idx="471">
                  <c:v>-7.4895323770219346E-3</c:v>
                </c:pt>
                <c:pt idx="472">
                  <c:v>0.45381986202299102</c:v>
                </c:pt>
                <c:pt idx="473">
                  <c:v>0.24883779116468011</c:v>
                </c:pt>
                <c:pt idx="474">
                  <c:v>0.136206855755867</c:v>
                </c:pt>
                <c:pt idx="475">
                  <c:v>0.25293317290686707</c:v>
                </c:pt>
                <c:pt idx="476">
                  <c:v>-5.9560109440345399E-2</c:v>
                </c:pt>
                <c:pt idx="477">
                  <c:v>0.22742277057227195</c:v>
                </c:pt>
                <c:pt idx="478">
                  <c:v>0.17061746652831344</c:v>
                </c:pt>
                <c:pt idx="479">
                  <c:v>0.28024540285859184</c:v>
                </c:pt>
                <c:pt idx="480">
                  <c:v>0.2806330397809691</c:v>
                </c:pt>
                <c:pt idx="481">
                  <c:v>0.21586774998948918</c:v>
                </c:pt>
                <c:pt idx="482">
                  <c:v>-6.7439793484152397E-2</c:v>
                </c:pt>
                <c:pt idx="483">
                  <c:v>0.26507739037843298</c:v>
                </c:pt>
                <c:pt idx="484">
                  <c:v>4.096836246765332E-2</c:v>
                </c:pt>
                <c:pt idx="485">
                  <c:v>0.51360588049737943</c:v>
                </c:pt>
                <c:pt idx="486">
                  <c:v>0.22375453581394106</c:v>
                </c:pt>
                <c:pt idx="487">
                  <c:v>0.5815479528594365</c:v>
                </c:pt>
                <c:pt idx="488">
                  <c:v>0.2788894358400742</c:v>
                </c:pt>
                <c:pt idx="489">
                  <c:v>0.29388798803329119</c:v>
                </c:pt>
                <c:pt idx="490">
                  <c:v>7.5203480392074057E-2</c:v>
                </c:pt>
                <c:pt idx="491">
                  <c:v>0.42784850814629238</c:v>
                </c:pt>
                <c:pt idx="492">
                  <c:v>0.38517373942837574</c:v>
                </c:pt>
                <c:pt idx="493">
                  <c:v>0.35498364072295147</c:v>
                </c:pt>
                <c:pt idx="494">
                  <c:v>0.36398106540733011</c:v>
                </c:pt>
                <c:pt idx="495">
                  <c:v>0.61651250957073234</c:v>
                </c:pt>
                <c:pt idx="496">
                  <c:v>0.33300098542650186</c:v>
                </c:pt>
                <c:pt idx="497">
                  <c:v>2.4312135626630899E-2</c:v>
                </c:pt>
                <c:pt idx="498">
                  <c:v>0.1407719442003898</c:v>
                </c:pt>
                <c:pt idx="499">
                  <c:v>-6.9561673440874744E-2</c:v>
                </c:pt>
                <c:pt idx="500">
                  <c:v>0.24986150296033641</c:v>
                </c:pt>
                <c:pt idx="501">
                  <c:v>0.1794848460367014</c:v>
                </c:pt>
                <c:pt idx="502">
                  <c:v>0.52556181908178456</c:v>
                </c:pt>
                <c:pt idx="503">
                  <c:v>0.33744084280205178</c:v>
                </c:pt>
                <c:pt idx="504">
                  <c:v>0.35638210975949508</c:v>
                </c:pt>
                <c:pt idx="505">
                  <c:v>0.23173821202646228</c:v>
                </c:pt>
                <c:pt idx="506">
                  <c:v>0.34151548077231109</c:v>
                </c:pt>
                <c:pt idx="507">
                  <c:v>0.18306312664488064</c:v>
                </c:pt>
                <c:pt idx="508">
                  <c:v>0.28818822107866038</c:v>
                </c:pt>
                <c:pt idx="509">
                  <c:v>0.10506468453274814</c:v>
                </c:pt>
                <c:pt idx="510">
                  <c:v>0.1922686181038038</c:v>
                </c:pt>
                <c:pt idx="511">
                  <c:v>-4.8119170516274831E-2</c:v>
                </c:pt>
                <c:pt idx="512">
                  <c:v>-8.1488395901575778E-2</c:v>
                </c:pt>
                <c:pt idx="513">
                  <c:v>0.15758480836910244</c:v>
                </c:pt>
                <c:pt idx="514">
                  <c:v>0.11479351326881732</c:v>
                </c:pt>
                <c:pt idx="515">
                  <c:v>-8.0175877027956949E-2</c:v>
                </c:pt>
                <c:pt idx="516">
                  <c:v>-7.2140034181907009E-4</c:v>
                </c:pt>
                <c:pt idx="517">
                  <c:v>0.22247925225916854</c:v>
                </c:pt>
                <c:pt idx="518">
                  <c:v>0.27107058766338377</c:v>
                </c:pt>
                <c:pt idx="519">
                  <c:v>9.4306638443307611E-2</c:v>
                </c:pt>
                <c:pt idx="520">
                  <c:v>0.20801982795267088</c:v>
                </c:pt>
                <c:pt idx="521">
                  <c:v>0.4158115744955736</c:v>
                </c:pt>
                <c:pt idx="522">
                  <c:v>0.22640936142176518</c:v>
                </c:pt>
                <c:pt idx="523">
                  <c:v>0.38610964982632701</c:v>
                </c:pt>
                <c:pt idx="524">
                  <c:v>0.17495569977031164</c:v>
                </c:pt>
                <c:pt idx="525">
                  <c:v>-1.4815401641144685E-2</c:v>
                </c:pt>
                <c:pt idx="526">
                  <c:v>0.4008689762406803</c:v>
                </c:pt>
                <c:pt idx="527">
                  <c:v>0.35708325180628864</c:v>
                </c:pt>
                <c:pt idx="528">
                  <c:v>1.4727883113240098E-2</c:v>
                </c:pt>
                <c:pt idx="529">
                  <c:v>0.28645767596803384</c:v>
                </c:pt>
                <c:pt idx="530">
                  <c:v>0.15970803656710988</c:v>
                </c:pt>
                <c:pt idx="531">
                  <c:v>-3.0817481002446773E-2</c:v>
                </c:pt>
                <c:pt idx="532">
                  <c:v>0.57109448145306385</c:v>
                </c:pt>
                <c:pt idx="533">
                  <c:v>0.23497741453947951</c:v>
                </c:pt>
                <c:pt idx="534">
                  <c:v>-1.888612709755836E-2</c:v>
                </c:pt>
                <c:pt idx="535">
                  <c:v>-7.9063010693708816E-2</c:v>
                </c:pt>
                <c:pt idx="536">
                  <c:v>-4.493399437386722E-2</c:v>
                </c:pt>
                <c:pt idx="537">
                  <c:v>2.8133336866868891E-3</c:v>
                </c:pt>
                <c:pt idx="538">
                  <c:v>0.42524504255863554</c:v>
                </c:pt>
                <c:pt idx="539">
                  <c:v>0.23515536215178984</c:v>
                </c:pt>
                <c:pt idx="540">
                  <c:v>2.6447756574724438E-2</c:v>
                </c:pt>
                <c:pt idx="541">
                  <c:v>5.4720146888179527E-2</c:v>
                </c:pt>
                <c:pt idx="542">
                  <c:v>0.30795242206286533</c:v>
                </c:pt>
                <c:pt idx="543">
                  <c:v>0.50075176564510882</c:v>
                </c:pt>
                <c:pt idx="544">
                  <c:v>9.7499402583089187E-2</c:v>
                </c:pt>
                <c:pt idx="545">
                  <c:v>0.2805842168492329</c:v>
                </c:pt>
                <c:pt idx="546">
                  <c:v>-6.5387422849364579E-2</c:v>
                </c:pt>
                <c:pt idx="547">
                  <c:v>0.86865791696918027</c:v>
                </c:pt>
                <c:pt idx="548">
                  <c:v>0.25768262781071843</c:v>
                </c:pt>
                <c:pt idx="549">
                  <c:v>0.15953011338516065</c:v>
                </c:pt>
                <c:pt idx="550">
                  <c:v>0.40152279181689643</c:v>
                </c:pt>
                <c:pt idx="551">
                  <c:v>-3.8924622711159464E-2</c:v>
                </c:pt>
                <c:pt idx="552">
                  <c:v>-2.9097057314647033E-2</c:v>
                </c:pt>
                <c:pt idx="553">
                  <c:v>1.8147097328672548E-2</c:v>
                </c:pt>
                <c:pt idx="554">
                  <c:v>0.24199809228738939</c:v>
                </c:pt>
                <c:pt idx="555">
                  <c:v>0.31023009792766065</c:v>
                </c:pt>
                <c:pt idx="556">
                  <c:v>0.23429636273470125</c:v>
                </c:pt>
                <c:pt idx="557">
                  <c:v>0.29087897735870427</c:v>
                </c:pt>
                <c:pt idx="558">
                  <c:v>1.6285345348161839E-2</c:v>
                </c:pt>
                <c:pt idx="559">
                  <c:v>0.36741936140194281</c:v>
                </c:pt>
                <c:pt idx="560">
                  <c:v>1.4445393273119979E-2</c:v>
                </c:pt>
                <c:pt idx="561">
                  <c:v>0.27467640584130043</c:v>
                </c:pt>
                <c:pt idx="562">
                  <c:v>0.28511377830842027</c:v>
                </c:pt>
                <c:pt idx="563">
                  <c:v>0.22695379058338239</c:v>
                </c:pt>
                <c:pt idx="564">
                  <c:v>6.4883830077367421E-3</c:v>
                </c:pt>
                <c:pt idx="565">
                  <c:v>0.24015743714233492</c:v>
                </c:pt>
                <c:pt idx="566">
                  <c:v>-4.194575363338935E-2</c:v>
                </c:pt>
                <c:pt idx="567">
                  <c:v>0.50847872328830457</c:v>
                </c:pt>
                <c:pt idx="568">
                  <c:v>0.28930112983289263</c:v>
                </c:pt>
                <c:pt idx="569">
                  <c:v>2.8361511270995739E-2</c:v>
                </c:pt>
                <c:pt idx="570">
                  <c:v>0.50493247700809762</c:v>
                </c:pt>
                <c:pt idx="571">
                  <c:v>0.37760353876926533</c:v>
                </c:pt>
                <c:pt idx="572">
                  <c:v>-5.8620493440056098E-2</c:v>
                </c:pt>
                <c:pt idx="573">
                  <c:v>0.2307333400086683</c:v>
                </c:pt>
                <c:pt idx="574">
                  <c:v>0.11972668305640428</c:v>
                </c:pt>
                <c:pt idx="575">
                  <c:v>-6.1813611420838049E-2</c:v>
                </c:pt>
                <c:pt idx="576">
                  <c:v>0.14236635100821296</c:v>
                </c:pt>
                <c:pt idx="577">
                  <c:v>0.43353527227908772</c:v>
                </c:pt>
                <c:pt idx="578">
                  <c:v>-5.1364155851471999E-2</c:v>
                </c:pt>
                <c:pt idx="579">
                  <c:v>0.23434267618729177</c:v>
                </c:pt>
                <c:pt idx="580">
                  <c:v>0.16022162762166259</c:v>
                </c:pt>
                <c:pt idx="581">
                  <c:v>0.28226460101561091</c:v>
                </c:pt>
                <c:pt idx="582">
                  <c:v>0.42358501572843044</c:v>
                </c:pt>
                <c:pt idx="583">
                  <c:v>6.084557315614901E-2</c:v>
                </c:pt>
                <c:pt idx="584">
                  <c:v>5.0554344739818374E-2</c:v>
                </c:pt>
                <c:pt idx="585">
                  <c:v>0.22743834713389882</c:v>
                </c:pt>
                <c:pt idx="586">
                  <c:v>-7.4032975136713627E-2</c:v>
                </c:pt>
                <c:pt idx="587">
                  <c:v>0.13692272264764777</c:v>
                </c:pt>
                <c:pt idx="588">
                  <c:v>0.2938624716396645</c:v>
                </c:pt>
                <c:pt idx="589">
                  <c:v>0.31163243153420489</c:v>
                </c:pt>
                <c:pt idx="590">
                  <c:v>0.80705085107286756</c:v>
                </c:pt>
                <c:pt idx="591">
                  <c:v>0.81439390867633898</c:v>
                </c:pt>
                <c:pt idx="592">
                  <c:v>0.22185611559966553</c:v>
                </c:pt>
                <c:pt idx="593">
                  <c:v>0.30302528045928778</c:v>
                </c:pt>
                <c:pt idx="594">
                  <c:v>0.28625632459912187</c:v>
                </c:pt>
                <c:pt idx="595">
                  <c:v>0.10508419382118868</c:v>
                </c:pt>
                <c:pt idx="596">
                  <c:v>9.4762843237231678E-2</c:v>
                </c:pt>
                <c:pt idx="597">
                  <c:v>0.1919873407412791</c:v>
                </c:pt>
                <c:pt idx="598">
                  <c:v>0.10590404323413763</c:v>
                </c:pt>
                <c:pt idx="599">
                  <c:v>0.47268218814785251</c:v>
                </c:pt>
                <c:pt idx="600">
                  <c:v>0.54388395617621588</c:v>
                </c:pt>
                <c:pt idx="601">
                  <c:v>0.21785476833655482</c:v>
                </c:pt>
                <c:pt idx="602">
                  <c:v>0.4648143191527237</c:v>
                </c:pt>
                <c:pt idx="603">
                  <c:v>0.22962671465337603</c:v>
                </c:pt>
                <c:pt idx="604">
                  <c:v>0.31455180334494592</c:v>
                </c:pt>
                <c:pt idx="605">
                  <c:v>0.19076674219155643</c:v>
                </c:pt>
                <c:pt idx="606">
                  <c:v>0.34726900818515749</c:v>
                </c:pt>
                <c:pt idx="607">
                  <c:v>0.47227504674632853</c:v>
                </c:pt>
                <c:pt idx="608">
                  <c:v>0.31318963432410679</c:v>
                </c:pt>
                <c:pt idx="609">
                  <c:v>0.44930583378555083</c:v>
                </c:pt>
                <c:pt idx="610">
                  <c:v>0.26363813183520429</c:v>
                </c:pt>
                <c:pt idx="611">
                  <c:v>0.34363774731535057</c:v>
                </c:pt>
                <c:pt idx="612">
                  <c:v>6.789190176098632E-2</c:v>
                </c:pt>
                <c:pt idx="613">
                  <c:v>0.22099405412936135</c:v>
                </c:pt>
                <c:pt idx="614">
                  <c:v>0.19953756986513441</c:v>
                </c:pt>
                <c:pt idx="615">
                  <c:v>0.33887745865327101</c:v>
                </c:pt>
                <c:pt idx="616">
                  <c:v>0.69762090972926349</c:v>
                </c:pt>
                <c:pt idx="617">
                  <c:v>0.523628277425081</c:v>
                </c:pt>
                <c:pt idx="618">
                  <c:v>0.76506456818614266</c:v>
                </c:pt>
                <c:pt idx="619">
                  <c:v>0.50323005244887375</c:v>
                </c:pt>
                <c:pt idx="620">
                  <c:v>8.1761299892539968E-2</c:v>
                </c:pt>
                <c:pt idx="621">
                  <c:v>0.5827072830486929</c:v>
                </c:pt>
                <c:pt idx="622">
                  <c:v>0.53351370744106696</c:v>
                </c:pt>
                <c:pt idx="623">
                  <c:v>0.12289006878938843</c:v>
                </c:pt>
                <c:pt idx="624">
                  <c:v>0.11523340882651799</c:v>
                </c:pt>
                <c:pt idx="625">
                  <c:v>0.39520483651401483</c:v>
                </c:pt>
                <c:pt idx="626">
                  <c:v>0.335674688958296</c:v>
                </c:pt>
                <c:pt idx="627">
                  <c:v>7.024295022332594E-2</c:v>
                </c:pt>
                <c:pt idx="628">
                  <c:v>-4.2120530957010752E-2</c:v>
                </c:pt>
                <c:pt idx="629">
                  <c:v>-2.6353094529260719E-2</c:v>
                </c:pt>
                <c:pt idx="630">
                  <c:v>-9.2788122223827402E-2</c:v>
                </c:pt>
                <c:pt idx="631">
                  <c:v>2.671064668434589E-2</c:v>
                </c:pt>
                <c:pt idx="632">
                  <c:v>0.1106716039156589</c:v>
                </c:pt>
                <c:pt idx="633">
                  <c:v>0.18347212552381026</c:v>
                </c:pt>
                <c:pt idx="634">
                  <c:v>0.12269811838484476</c:v>
                </c:pt>
                <c:pt idx="635">
                  <c:v>5.4945017627890322E-3</c:v>
                </c:pt>
                <c:pt idx="636">
                  <c:v>0.37476590881811195</c:v>
                </c:pt>
                <c:pt idx="637">
                  <c:v>0.24884580295846892</c:v>
                </c:pt>
                <c:pt idx="638">
                  <c:v>0.13817208137592368</c:v>
                </c:pt>
                <c:pt idx="639">
                  <c:v>0.25736271755138151</c:v>
                </c:pt>
                <c:pt idx="640">
                  <c:v>0.18013020826134524</c:v>
                </c:pt>
                <c:pt idx="641">
                  <c:v>0.28269734723056011</c:v>
                </c:pt>
                <c:pt idx="642">
                  <c:v>0.36437070220738293</c:v>
                </c:pt>
                <c:pt idx="643">
                  <c:v>0.15858582079898575</c:v>
                </c:pt>
                <c:pt idx="644">
                  <c:v>3.6315695645592644E-2</c:v>
                </c:pt>
                <c:pt idx="645">
                  <c:v>0.25206626413555749</c:v>
                </c:pt>
                <c:pt idx="646">
                  <c:v>0.13024026848819872</c:v>
                </c:pt>
                <c:pt idx="647">
                  <c:v>0.2530129090236638</c:v>
                </c:pt>
                <c:pt idx="648">
                  <c:v>3.2964595829421676E-2</c:v>
                </c:pt>
                <c:pt idx="649">
                  <c:v>0.48331921057786087</c:v>
                </c:pt>
                <c:pt idx="650">
                  <c:v>-5.536069332921862E-2</c:v>
                </c:pt>
                <c:pt idx="651">
                  <c:v>0.18723097389644866</c:v>
                </c:pt>
                <c:pt idx="652">
                  <c:v>0.44808675835958517</c:v>
                </c:pt>
                <c:pt idx="653">
                  <c:v>0.59074435303003558</c:v>
                </c:pt>
                <c:pt idx="654">
                  <c:v>0.29590127458484922</c:v>
                </c:pt>
                <c:pt idx="655">
                  <c:v>-5.9995566647612436E-2</c:v>
                </c:pt>
                <c:pt idx="656">
                  <c:v>2.0475845935588467E-2</c:v>
                </c:pt>
                <c:pt idx="657">
                  <c:v>0.13956981809206775</c:v>
                </c:pt>
                <c:pt idx="658">
                  <c:v>8.9509612057239785E-2</c:v>
                </c:pt>
                <c:pt idx="659">
                  <c:v>0.45130900237778404</c:v>
                </c:pt>
                <c:pt idx="660">
                  <c:v>0.72306828940718626</c:v>
                </c:pt>
                <c:pt idx="661">
                  <c:v>0.34418014229693605</c:v>
                </c:pt>
                <c:pt idx="662">
                  <c:v>0.15047669745263292</c:v>
                </c:pt>
                <c:pt idx="663">
                  <c:v>0.12672322021294052</c:v>
                </c:pt>
                <c:pt idx="664">
                  <c:v>0.52104089604953308</c:v>
                </c:pt>
                <c:pt idx="665">
                  <c:v>0.27045540683895475</c:v>
                </c:pt>
                <c:pt idx="666">
                  <c:v>0.28581862563863236</c:v>
                </c:pt>
                <c:pt idx="667">
                  <c:v>0.2505353423858192</c:v>
                </c:pt>
                <c:pt idx="668">
                  <c:v>0.10019872850686538</c:v>
                </c:pt>
                <c:pt idx="669">
                  <c:v>-5.1375080715749935E-2</c:v>
                </c:pt>
                <c:pt idx="670">
                  <c:v>0.41214941810721684</c:v>
                </c:pt>
                <c:pt idx="671">
                  <c:v>0.70670068861965141</c:v>
                </c:pt>
                <c:pt idx="672">
                  <c:v>0.17574210404979523</c:v>
                </c:pt>
                <c:pt idx="673">
                  <c:v>0.13510883218984504</c:v>
                </c:pt>
                <c:pt idx="674">
                  <c:v>0.23506255719590902</c:v>
                </c:pt>
                <c:pt idx="675">
                  <c:v>0.25163074859262524</c:v>
                </c:pt>
                <c:pt idx="676">
                  <c:v>0.17444539044354423</c:v>
                </c:pt>
                <c:pt idx="677">
                  <c:v>0.11698747584372271</c:v>
                </c:pt>
                <c:pt idx="678">
                  <c:v>0.11022626642519684</c:v>
                </c:pt>
                <c:pt idx="679">
                  <c:v>0.22959860276093066</c:v>
                </c:pt>
                <c:pt idx="680">
                  <c:v>0.38063893153682477</c:v>
                </c:pt>
                <c:pt idx="681">
                  <c:v>0.18172975502221833</c:v>
                </c:pt>
                <c:pt idx="682">
                  <c:v>0.1376716234888915</c:v>
                </c:pt>
                <c:pt idx="683">
                  <c:v>0.24966286265665105</c:v>
                </c:pt>
                <c:pt idx="684">
                  <c:v>0.33983295634958027</c:v>
                </c:pt>
                <c:pt idx="685">
                  <c:v>3.3921894976292583E-2</c:v>
                </c:pt>
                <c:pt idx="686">
                  <c:v>0.33715974642916391</c:v>
                </c:pt>
                <c:pt idx="687">
                  <c:v>0.49431458879756196</c:v>
                </c:pt>
                <c:pt idx="688">
                  <c:v>0.26581477973427753</c:v>
                </c:pt>
                <c:pt idx="689">
                  <c:v>0.10367759306416724</c:v>
                </c:pt>
                <c:pt idx="690">
                  <c:v>-8.7261779655458338E-2</c:v>
                </c:pt>
                <c:pt idx="691">
                  <c:v>0.21859566272513942</c:v>
                </c:pt>
                <c:pt idx="692">
                  <c:v>0.38635353206497597</c:v>
                </c:pt>
                <c:pt idx="693">
                  <c:v>0.29779077257559161</c:v>
                </c:pt>
                <c:pt idx="694">
                  <c:v>0.54195609958716717</c:v>
                </c:pt>
                <c:pt idx="695">
                  <c:v>0.24356842164560519</c:v>
                </c:pt>
                <c:pt idx="696">
                  <c:v>0.24301009214873606</c:v>
                </c:pt>
                <c:pt idx="697">
                  <c:v>0.23632191907578715</c:v>
                </c:pt>
                <c:pt idx="698">
                  <c:v>0.76439309424344226</c:v>
                </c:pt>
                <c:pt idx="699">
                  <c:v>0.20123646884954186</c:v>
                </c:pt>
                <c:pt idx="700">
                  <c:v>0.3922549604233404</c:v>
                </c:pt>
                <c:pt idx="701">
                  <c:v>0.45429662370649376</c:v>
                </c:pt>
                <c:pt idx="702">
                  <c:v>0.15829038842147602</c:v>
                </c:pt>
                <c:pt idx="703">
                  <c:v>5.1627225834990277E-2</c:v>
                </c:pt>
                <c:pt idx="704">
                  <c:v>0.11508007946784191</c:v>
                </c:pt>
                <c:pt idx="705">
                  <c:v>3.8196344557118449E-2</c:v>
                </c:pt>
                <c:pt idx="706">
                  <c:v>0.16410532478951997</c:v>
                </c:pt>
                <c:pt idx="707">
                  <c:v>0.43216330912120549</c:v>
                </c:pt>
                <c:pt idx="708">
                  <c:v>0.38618787624229167</c:v>
                </c:pt>
                <c:pt idx="709">
                  <c:v>0.4739622613243572</c:v>
                </c:pt>
                <c:pt idx="710">
                  <c:v>0.58078496833233251</c:v>
                </c:pt>
                <c:pt idx="711">
                  <c:v>0.40860576444926205</c:v>
                </c:pt>
                <c:pt idx="712">
                  <c:v>4.4418390093644095E-2</c:v>
                </c:pt>
                <c:pt idx="713">
                  <c:v>0.31256949850472365</c:v>
                </c:pt>
                <c:pt idx="714">
                  <c:v>0.30002445214945361</c:v>
                </c:pt>
                <c:pt idx="715">
                  <c:v>-1.0244925012169663E-2</c:v>
                </c:pt>
                <c:pt idx="716">
                  <c:v>3.856452777003179E-2</c:v>
                </c:pt>
                <c:pt idx="717">
                  <c:v>0.27550936165975576</c:v>
                </c:pt>
                <c:pt idx="718">
                  <c:v>0.34867797938192396</c:v>
                </c:pt>
                <c:pt idx="719">
                  <c:v>0.17129059662110779</c:v>
                </c:pt>
                <c:pt idx="720">
                  <c:v>0.22426682388430191</c:v>
                </c:pt>
                <c:pt idx="721">
                  <c:v>0.40454122245805568</c:v>
                </c:pt>
                <c:pt idx="722">
                  <c:v>0.28441984904191864</c:v>
                </c:pt>
                <c:pt idx="723">
                  <c:v>0.29347073055272799</c:v>
                </c:pt>
                <c:pt idx="724">
                  <c:v>-3.0608822226612133E-2</c:v>
                </c:pt>
                <c:pt idx="725">
                  <c:v>-3.5542856303697773E-2</c:v>
                </c:pt>
                <c:pt idx="726">
                  <c:v>0.11543415906945304</c:v>
                </c:pt>
                <c:pt idx="727">
                  <c:v>0.31294293814786001</c:v>
                </c:pt>
                <c:pt idx="728">
                  <c:v>0.21311283461219308</c:v>
                </c:pt>
                <c:pt idx="729">
                  <c:v>-2.1314948491431042E-2</c:v>
                </c:pt>
                <c:pt idx="730">
                  <c:v>0.10708073453105041</c:v>
                </c:pt>
                <c:pt idx="731">
                  <c:v>2.1768244392849669E-2</c:v>
                </c:pt>
                <c:pt idx="732">
                  <c:v>0.41361161378070432</c:v>
                </c:pt>
                <c:pt idx="733">
                  <c:v>-4.3839916114541758E-2</c:v>
                </c:pt>
                <c:pt idx="734">
                  <c:v>0.16420951369641854</c:v>
                </c:pt>
                <c:pt idx="735">
                  <c:v>5.1998028426695334E-2</c:v>
                </c:pt>
                <c:pt idx="736">
                  <c:v>0.20226728009756703</c:v>
                </c:pt>
                <c:pt idx="737">
                  <c:v>0.4062882646875684</c:v>
                </c:pt>
                <c:pt idx="738">
                  <c:v>0.49220557280384786</c:v>
                </c:pt>
                <c:pt idx="739">
                  <c:v>0.25224676156491388</c:v>
                </c:pt>
                <c:pt idx="740">
                  <c:v>0.10254697245869362</c:v>
                </c:pt>
                <c:pt idx="741">
                  <c:v>0.14104409907273058</c:v>
                </c:pt>
                <c:pt idx="742">
                  <c:v>0.145495877410251</c:v>
                </c:pt>
                <c:pt idx="743">
                  <c:v>0.64245432443468919</c:v>
                </c:pt>
                <c:pt idx="744">
                  <c:v>0.25233444766122098</c:v>
                </c:pt>
                <c:pt idx="745">
                  <c:v>0.31822804572336577</c:v>
                </c:pt>
                <c:pt idx="746">
                  <c:v>0.29962768041691784</c:v>
                </c:pt>
                <c:pt idx="747">
                  <c:v>3.7478817117295081E-2</c:v>
                </c:pt>
                <c:pt idx="748">
                  <c:v>0.26249386056786189</c:v>
                </c:pt>
                <c:pt idx="749">
                  <c:v>0.5993763885874156</c:v>
                </c:pt>
                <c:pt idx="750">
                  <c:v>0.27922373363683617</c:v>
                </c:pt>
                <c:pt idx="751">
                  <c:v>0.32784698352443747</c:v>
                </c:pt>
                <c:pt idx="752">
                  <c:v>0.28142947585902978</c:v>
                </c:pt>
                <c:pt idx="753">
                  <c:v>0.26032962818352096</c:v>
                </c:pt>
                <c:pt idx="754">
                  <c:v>0.27200056647065751</c:v>
                </c:pt>
                <c:pt idx="755">
                  <c:v>-8.9026597933105911E-2</c:v>
                </c:pt>
                <c:pt idx="756">
                  <c:v>0.33346575094296738</c:v>
                </c:pt>
                <c:pt idx="757">
                  <c:v>0.1244631026605615</c:v>
                </c:pt>
                <c:pt idx="758">
                  <c:v>0.35222597602391703</c:v>
                </c:pt>
                <c:pt idx="759">
                  <c:v>0.23486315717056899</c:v>
                </c:pt>
                <c:pt idx="760">
                  <c:v>0.37498930813478987</c:v>
                </c:pt>
                <c:pt idx="761">
                  <c:v>-9.2937744193423599E-2</c:v>
                </c:pt>
                <c:pt idx="762">
                  <c:v>0.17845019980665355</c:v>
                </c:pt>
                <c:pt idx="763">
                  <c:v>0.25156644723477983</c:v>
                </c:pt>
                <c:pt idx="764">
                  <c:v>0.30825560139953911</c:v>
                </c:pt>
                <c:pt idx="765">
                  <c:v>3.346558526291165E-2</c:v>
                </c:pt>
                <c:pt idx="766">
                  <c:v>0.47284752898989496</c:v>
                </c:pt>
                <c:pt idx="767">
                  <c:v>0.33684090390943078</c:v>
                </c:pt>
                <c:pt idx="768">
                  <c:v>0.16655785388488459</c:v>
                </c:pt>
                <c:pt idx="769">
                  <c:v>0.16854496098298255</c:v>
                </c:pt>
                <c:pt idx="770">
                  <c:v>0.22008180194922233</c:v>
                </c:pt>
                <c:pt idx="771">
                  <c:v>0.63550565066156428</c:v>
                </c:pt>
                <c:pt idx="772">
                  <c:v>7.5517080964236608E-2</c:v>
                </c:pt>
                <c:pt idx="773">
                  <c:v>0.24721857478363252</c:v>
                </c:pt>
                <c:pt idx="774">
                  <c:v>0.40385792492199013</c:v>
                </c:pt>
                <c:pt idx="775">
                  <c:v>0.65413933574715899</c:v>
                </c:pt>
                <c:pt idx="776">
                  <c:v>0.29642340214771112</c:v>
                </c:pt>
                <c:pt idx="777">
                  <c:v>0.32779678066365608</c:v>
                </c:pt>
                <c:pt idx="778">
                  <c:v>0.38968330547016383</c:v>
                </c:pt>
                <c:pt idx="779">
                  <c:v>0.13812324613757559</c:v>
                </c:pt>
                <c:pt idx="780">
                  <c:v>0.40822091712934083</c:v>
                </c:pt>
                <c:pt idx="781">
                  <c:v>0.45480291557457125</c:v>
                </c:pt>
                <c:pt idx="782">
                  <c:v>0.27643629234816947</c:v>
                </c:pt>
                <c:pt idx="783">
                  <c:v>0.44796124194320935</c:v>
                </c:pt>
                <c:pt idx="784">
                  <c:v>0.58419811640317698</c:v>
                </c:pt>
                <c:pt idx="785">
                  <c:v>0.21769771593237178</c:v>
                </c:pt>
                <c:pt idx="786">
                  <c:v>0.31484487556436985</c:v>
                </c:pt>
                <c:pt idx="787">
                  <c:v>0.55889316473275419</c:v>
                </c:pt>
                <c:pt idx="788">
                  <c:v>0.1719480457230434</c:v>
                </c:pt>
                <c:pt idx="789">
                  <c:v>0.32253161360481697</c:v>
                </c:pt>
                <c:pt idx="790">
                  <c:v>0.43916837871276188</c:v>
                </c:pt>
                <c:pt idx="791">
                  <c:v>5.735266264913183E-2</c:v>
                </c:pt>
                <c:pt idx="792">
                  <c:v>0.14426490206041653</c:v>
                </c:pt>
                <c:pt idx="793">
                  <c:v>0.38043174873082763</c:v>
                </c:pt>
                <c:pt idx="794">
                  <c:v>5.022039528790094E-2</c:v>
                </c:pt>
                <c:pt idx="795">
                  <c:v>1.8913148220694183E-2</c:v>
                </c:pt>
                <c:pt idx="796">
                  <c:v>7.4785773805935957E-2</c:v>
                </c:pt>
                <c:pt idx="797">
                  <c:v>0.16025873164798959</c:v>
                </c:pt>
                <c:pt idx="798">
                  <c:v>0.42226019080250066</c:v>
                </c:pt>
                <c:pt idx="799">
                  <c:v>0.36689346294847724</c:v>
                </c:pt>
                <c:pt idx="800">
                  <c:v>0.30147364243945957</c:v>
                </c:pt>
                <c:pt idx="801">
                  <c:v>3.7650873802114036E-2</c:v>
                </c:pt>
                <c:pt idx="802">
                  <c:v>-6.9460415354193408E-3</c:v>
                </c:pt>
                <c:pt idx="803">
                  <c:v>8.5188897853507584E-3</c:v>
                </c:pt>
                <c:pt idx="804">
                  <c:v>0.29513929297503694</c:v>
                </c:pt>
                <c:pt idx="805">
                  <c:v>0.35019103265568696</c:v>
                </c:pt>
                <c:pt idx="806">
                  <c:v>0.23558952215739071</c:v>
                </c:pt>
                <c:pt idx="807">
                  <c:v>0.25823541759242402</c:v>
                </c:pt>
                <c:pt idx="808">
                  <c:v>0.1189968190388177</c:v>
                </c:pt>
                <c:pt idx="809">
                  <c:v>0.23581966510076768</c:v>
                </c:pt>
                <c:pt idx="810">
                  <c:v>0.19502318860612636</c:v>
                </c:pt>
                <c:pt idx="811">
                  <c:v>-7.2509836589362137E-2</c:v>
                </c:pt>
                <c:pt idx="812">
                  <c:v>0.42844667669658304</c:v>
                </c:pt>
                <c:pt idx="813">
                  <c:v>0.31224873064159742</c:v>
                </c:pt>
                <c:pt idx="814">
                  <c:v>0.26034021074205277</c:v>
                </c:pt>
                <c:pt idx="815">
                  <c:v>0.40737187270804015</c:v>
                </c:pt>
                <c:pt idx="816">
                  <c:v>0.29114198709439437</c:v>
                </c:pt>
                <c:pt idx="817">
                  <c:v>0.22499975302171571</c:v>
                </c:pt>
                <c:pt idx="818">
                  <c:v>4.2703078355103959E-2</c:v>
                </c:pt>
                <c:pt idx="819">
                  <c:v>0.23102594385398934</c:v>
                </c:pt>
                <c:pt idx="820">
                  <c:v>0.14416059779430745</c:v>
                </c:pt>
                <c:pt idx="821">
                  <c:v>-7.8798865165860696E-2</c:v>
                </c:pt>
                <c:pt idx="822">
                  <c:v>0.2117819376562525</c:v>
                </c:pt>
                <c:pt idx="823">
                  <c:v>0.25301210299502158</c:v>
                </c:pt>
                <c:pt idx="824">
                  <c:v>0.4003152523364979</c:v>
                </c:pt>
                <c:pt idx="825">
                  <c:v>0.38863269287307728</c:v>
                </c:pt>
                <c:pt idx="826">
                  <c:v>0.18498449380315826</c:v>
                </c:pt>
                <c:pt idx="827">
                  <c:v>0.19438655355568726</c:v>
                </c:pt>
                <c:pt idx="828">
                  <c:v>0.20485649175081092</c:v>
                </c:pt>
                <c:pt idx="829">
                  <c:v>0.46818459868106871</c:v>
                </c:pt>
                <c:pt idx="830">
                  <c:v>0.26500836149819795</c:v>
                </c:pt>
                <c:pt idx="831">
                  <c:v>-6.8732276694084854E-2</c:v>
                </c:pt>
                <c:pt idx="832">
                  <c:v>-5.8784238032966306E-2</c:v>
                </c:pt>
                <c:pt idx="833">
                  <c:v>0.43445564500398981</c:v>
                </c:pt>
                <c:pt idx="834">
                  <c:v>0.24658037013831199</c:v>
                </c:pt>
                <c:pt idx="835">
                  <c:v>-2.7352239546171012E-2</c:v>
                </c:pt>
                <c:pt idx="836">
                  <c:v>0.13374895267221235</c:v>
                </c:pt>
                <c:pt idx="837">
                  <c:v>8.9298158074210959E-2</c:v>
                </c:pt>
                <c:pt idx="838">
                  <c:v>5.3131091238598653E-2</c:v>
                </c:pt>
                <c:pt idx="839">
                  <c:v>0.26161661952938609</c:v>
                </c:pt>
                <c:pt idx="840">
                  <c:v>9.5858902986596384E-2</c:v>
                </c:pt>
                <c:pt idx="841">
                  <c:v>6.092100266919246E-2</c:v>
                </c:pt>
                <c:pt idx="842">
                  <c:v>0.10904066225530752</c:v>
                </c:pt>
                <c:pt idx="843">
                  <c:v>0.33792541215140809</c:v>
                </c:pt>
                <c:pt idx="844">
                  <c:v>0.59382539881419061</c:v>
                </c:pt>
                <c:pt idx="845">
                  <c:v>-9.3253873413213589E-2</c:v>
                </c:pt>
                <c:pt idx="846">
                  <c:v>0.24614896156795488</c:v>
                </c:pt>
                <c:pt idx="847">
                  <c:v>-2.3688869716019384E-3</c:v>
                </c:pt>
                <c:pt idx="848">
                  <c:v>-5.7940736818696589E-2</c:v>
                </c:pt>
                <c:pt idx="849">
                  <c:v>6.6387780088357412E-2</c:v>
                </c:pt>
                <c:pt idx="850">
                  <c:v>0.56668775476178079</c:v>
                </c:pt>
                <c:pt idx="851">
                  <c:v>0.45997199325836496</c:v>
                </c:pt>
                <c:pt idx="852">
                  <c:v>0.20893121211677837</c:v>
                </c:pt>
                <c:pt idx="853">
                  <c:v>0.30896519215594642</c:v>
                </c:pt>
                <c:pt idx="854">
                  <c:v>0.49039538991535608</c:v>
                </c:pt>
                <c:pt idx="855">
                  <c:v>0.23548190810824765</c:v>
                </c:pt>
                <c:pt idx="856">
                  <c:v>0.27741141259321611</c:v>
                </c:pt>
                <c:pt idx="857">
                  <c:v>-8.1674674749071516E-2</c:v>
                </c:pt>
                <c:pt idx="858">
                  <c:v>0.24390614871955932</c:v>
                </c:pt>
                <c:pt idx="859">
                  <c:v>0.40843175789239061</c:v>
                </c:pt>
                <c:pt idx="860">
                  <c:v>-7.049467600380796E-2</c:v>
                </c:pt>
                <c:pt idx="861">
                  <c:v>0.26662573864861211</c:v>
                </c:pt>
                <c:pt idx="862">
                  <c:v>0.1513084869676358</c:v>
                </c:pt>
                <c:pt idx="863">
                  <c:v>0.55570686308610495</c:v>
                </c:pt>
                <c:pt idx="864">
                  <c:v>0.22286502189842122</c:v>
                </c:pt>
                <c:pt idx="865">
                  <c:v>8.498121828418842E-2</c:v>
                </c:pt>
                <c:pt idx="866">
                  <c:v>2.6785313505423125E-2</c:v>
                </c:pt>
                <c:pt idx="867">
                  <c:v>0.19934350641775</c:v>
                </c:pt>
                <c:pt idx="868">
                  <c:v>7.2842720379198117E-2</c:v>
                </c:pt>
                <c:pt idx="869">
                  <c:v>0.16042296879942744</c:v>
                </c:pt>
                <c:pt idx="870">
                  <c:v>4.5055381979880807E-3</c:v>
                </c:pt>
                <c:pt idx="871">
                  <c:v>0.13451957200565309</c:v>
                </c:pt>
                <c:pt idx="872">
                  <c:v>5.6706288426242507E-2</c:v>
                </c:pt>
                <c:pt idx="873">
                  <c:v>0.52387386394828328</c:v>
                </c:pt>
                <c:pt idx="874">
                  <c:v>0.46230704864104488</c:v>
                </c:pt>
                <c:pt idx="875">
                  <c:v>0.60091077486598699</c:v>
                </c:pt>
                <c:pt idx="876">
                  <c:v>0.22230687919191575</c:v>
                </c:pt>
                <c:pt idx="877">
                  <c:v>0.58048593782609714</c:v>
                </c:pt>
                <c:pt idx="878">
                  <c:v>0.30146962077960004</c:v>
                </c:pt>
                <c:pt idx="879">
                  <c:v>0.32645354189873327</c:v>
                </c:pt>
                <c:pt idx="880">
                  <c:v>0.23686421253479292</c:v>
                </c:pt>
                <c:pt idx="881">
                  <c:v>3.4846515925405566E-3</c:v>
                </c:pt>
                <c:pt idx="882">
                  <c:v>8.9511743601872112E-2</c:v>
                </c:pt>
                <c:pt idx="883">
                  <c:v>0.31226878428206206</c:v>
                </c:pt>
                <c:pt idx="884">
                  <c:v>0.13554594442791945</c:v>
                </c:pt>
                <c:pt idx="885">
                  <c:v>0.14320578073912407</c:v>
                </c:pt>
                <c:pt idx="886">
                  <c:v>0.23453360003490009</c:v>
                </c:pt>
                <c:pt idx="887">
                  <c:v>8.3207385043680471E-2</c:v>
                </c:pt>
                <c:pt idx="888">
                  <c:v>0.34782924063348519</c:v>
                </c:pt>
                <c:pt idx="889">
                  <c:v>0.26312997327802168</c:v>
                </c:pt>
                <c:pt idx="890">
                  <c:v>0.1181951165527893</c:v>
                </c:pt>
                <c:pt idx="891">
                  <c:v>0.34773754066184864</c:v>
                </c:pt>
                <c:pt idx="892">
                  <c:v>0.28195034941293085</c:v>
                </c:pt>
                <c:pt idx="893">
                  <c:v>0.39530526000179161</c:v>
                </c:pt>
                <c:pt idx="894">
                  <c:v>0.40748871940816889</c:v>
                </c:pt>
                <c:pt idx="895">
                  <c:v>-7.011884248992753E-2</c:v>
                </c:pt>
                <c:pt idx="896">
                  <c:v>0.17272647382372833</c:v>
                </c:pt>
                <c:pt idx="897">
                  <c:v>-7.719758338764339E-2</c:v>
                </c:pt>
                <c:pt idx="898">
                  <c:v>0.34344481342272543</c:v>
                </c:pt>
                <c:pt idx="899">
                  <c:v>0.11697311040904682</c:v>
                </c:pt>
                <c:pt idx="900">
                  <c:v>0.3388029774078013</c:v>
                </c:pt>
                <c:pt idx="901">
                  <c:v>0.15881010451221456</c:v>
                </c:pt>
                <c:pt idx="902">
                  <c:v>0.14081865320938464</c:v>
                </c:pt>
                <c:pt idx="903">
                  <c:v>0.51508527888106759</c:v>
                </c:pt>
                <c:pt idx="904">
                  <c:v>0.40920145505306493</c:v>
                </c:pt>
                <c:pt idx="905">
                  <c:v>0.28455417213788403</c:v>
                </c:pt>
                <c:pt idx="906">
                  <c:v>0.13898861326839443</c:v>
                </c:pt>
                <c:pt idx="907">
                  <c:v>0.17082179799687222</c:v>
                </c:pt>
                <c:pt idx="908">
                  <c:v>0.27560935466288572</c:v>
                </c:pt>
                <c:pt idx="909">
                  <c:v>-7.800871738813081E-3</c:v>
                </c:pt>
                <c:pt idx="910">
                  <c:v>0.23819962363373243</c:v>
                </c:pt>
                <c:pt idx="911">
                  <c:v>0.48527806809639246</c:v>
                </c:pt>
                <c:pt idx="912">
                  <c:v>0.60991574877181165</c:v>
                </c:pt>
                <c:pt idx="913">
                  <c:v>0.22199117675707478</c:v>
                </c:pt>
                <c:pt idx="914">
                  <c:v>0.39235425957377484</c:v>
                </c:pt>
                <c:pt idx="915">
                  <c:v>0.13731854277043531</c:v>
                </c:pt>
                <c:pt idx="916">
                  <c:v>0.128514077572844</c:v>
                </c:pt>
                <c:pt idx="917">
                  <c:v>-8.9127833377244989E-2</c:v>
                </c:pt>
                <c:pt idx="918">
                  <c:v>0.45698335295027365</c:v>
                </c:pt>
                <c:pt idx="919">
                  <c:v>0.30507707188840483</c:v>
                </c:pt>
                <c:pt idx="920">
                  <c:v>0.33571260984240631</c:v>
                </c:pt>
                <c:pt idx="921">
                  <c:v>9.9592519328934828E-2</c:v>
                </c:pt>
                <c:pt idx="922">
                  <c:v>0.22110879963698726</c:v>
                </c:pt>
                <c:pt idx="923">
                  <c:v>0.33335316165640905</c:v>
                </c:pt>
                <c:pt idx="924">
                  <c:v>0.37138400078532446</c:v>
                </c:pt>
                <c:pt idx="925">
                  <c:v>0.18378942128408504</c:v>
                </c:pt>
                <c:pt idx="926">
                  <c:v>0.46807929849651719</c:v>
                </c:pt>
                <c:pt idx="927">
                  <c:v>0.16541068935303338</c:v>
                </c:pt>
                <c:pt idx="928">
                  <c:v>0.31594511451501373</c:v>
                </c:pt>
                <c:pt idx="929">
                  <c:v>0.22982762280527352</c:v>
                </c:pt>
                <c:pt idx="930">
                  <c:v>7.7386080486614439E-2</c:v>
                </c:pt>
                <c:pt idx="931">
                  <c:v>0.42217175246703892</c:v>
                </c:pt>
                <c:pt idx="932">
                  <c:v>0.30058558806616592</c:v>
                </c:pt>
                <c:pt idx="933">
                  <c:v>0.36451078716303614</c:v>
                </c:pt>
                <c:pt idx="934">
                  <c:v>0.33231756035860405</c:v>
                </c:pt>
                <c:pt idx="935">
                  <c:v>0.20471835740599051</c:v>
                </c:pt>
                <c:pt idx="936">
                  <c:v>0.31554231027418522</c:v>
                </c:pt>
                <c:pt idx="937">
                  <c:v>0.13193000243880165</c:v>
                </c:pt>
                <c:pt idx="938">
                  <c:v>9.9059310054764954E-2</c:v>
                </c:pt>
                <c:pt idx="939">
                  <c:v>-1.4358643544579087E-2</c:v>
                </c:pt>
                <c:pt idx="940">
                  <c:v>0.5957536288780807</c:v>
                </c:pt>
                <c:pt idx="941">
                  <c:v>0.16030296169192026</c:v>
                </c:pt>
                <c:pt idx="942">
                  <c:v>0.17766109962231333</c:v>
                </c:pt>
                <c:pt idx="943">
                  <c:v>8.7762641326222093E-2</c:v>
                </c:pt>
                <c:pt idx="944">
                  <c:v>0.3513665028339642</c:v>
                </c:pt>
                <c:pt idx="945">
                  <c:v>0.30626881472237949</c:v>
                </c:pt>
                <c:pt idx="946">
                  <c:v>0.29906919368730495</c:v>
                </c:pt>
                <c:pt idx="947">
                  <c:v>0.51119545023841595</c:v>
                </c:pt>
                <c:pt idx="948">
                  <c:v>0.61737199038148483</c:v>
                </c:pt>
                <c:pt idx="949">
                  <c:v>0.2757620734058337</c:v>
                </c:pt>
                <c:pt idx="950">
                  <c:v>0.330593548388319</c:v>
                </c:pt>
                <c:pt idx="951">
                  <c:v>1.1936210327476132E-2</c:v>
                </c:pt>
                <c:pt idx="952">
                  <c:v>0.6330544565934918</c:v>
                </c:pt>
                <c:pt idx="953">
                  <c:v>0.10271900652807273</c:v>
                </c:pt>
                <c:pt idx="954">
                  <c:v>9.3231362552486735E-2</c:v>
                </c:pt>
                <c:pt idx="955">
                  <c:v>9.040424209071185E-2</c:v>
                </c:pt>
                <c:pt idx="956">
                  <c:v>0.31815224795207392</c:v>
                </c:pt>
                <c:pt idx="957">
                  <c:v>0.33265127460445004</c:v>
                </c:pt>
                <c:pt idx="958">
                  <c:v>0.30230393765704655</c:v>
                </c:pt>
                <c:pt idx="959">
                  <c:v>0.31081110677353846</c:v>
                </c:pt>
                <c:pt idx="960">
                  <c:v>0.17647288970038466</c:v>
                </c:pt>
                <c:pt idx="961">
                  <c:v>0.631049498741583</c:v>
                </c:pt>
                <c:pt idx="962">
                  <c:v>0.20814769025630747</c:v>
                </c:pt>
                <c:pt idx="963">
                  <c:v>0.41577051006568139</c:v>
                </c:pt>
                <c:pt idx="964">
                  <c:v>0.17085353884200891</c:v>
                </c:pt>
                <c:pt idx="965">
                  <c:v>0.25924583762831549</c:v>
                </c:pt>
                <c:pt idx="966">
                  <c:v>-4.8776956305981153E-2</c:v>
                </c:pt>
                <c:pt idx="967">
                  <c:v>4.7738546564512416E-2</c:v>
                </c:pt>
                <c:pt idx="968">
                  <c:v>0.28258161452743052</c:v>
                </c:pt>
                <c:pt idx="969">
                  <c:v>-5.6704031998097301E-2</c:v>
                </c:pt>
                <c:pt idx="970">
                  <c:v>0.23993621652631408</c:v>
                </c:pt>
                <c:pt idx="971">
                  <c:v>0.14489729030083146</c:v>
                </c:pt>
                <c:pt idx="972">
                  <c:v>-6.6659111295039805E-2</c:v>
                </c:pt>
                <c:pt idx="973">
                  <c:v>0.29547833306911164</c:v>
                </c:pt>
                <c:pt idx="974">
                  <c:v>-3.5714805247565429E-2</c:v>
                </c:pt>
                <c:pt idx="975">
                  <c:v>0.65098915084900688</c:v>
                </c:pt>
                <c:pt idx="976">
                  <c:v>-8.9026384933511629E-2</c:v>
                </c:pt>
                <c:pt idx="977">
                  <c:v>-2.6729527025351009E-2</c:v>
                </c:pt>
                <c:pt idx="978">
                  <c:v>-1.4191635006124484E-2</c:v>
                </c:pt>
                <c:pt idx="979">
                  <c:v>0.22845491126268458</c:v>
                </c:pt>
                <c:pt idx="980">
                  <c:v>0.14656762325867689</c:v>
                </c:pt>
                <c:pt idx="981">
                  <c:v>0.4506744905759083</c:v>
                </c:pt>
                <c:pt idx="982">
                  <c:v>0.19062369899548665</c:v>
                </c:pt>
                <c:pt idx="983">
                  <c:v>0.24414295957503934</c:v>
                </c:pt>
                <c:pt idx="984">
                  <c:v>0.29705803512830198</c:v>
                </c:pt>
                <c:pt idx="985">
                  <c:v>0.29075433400320227</c:v>
                </c:pt>
                <c:pt idx="986">
                  <c:v>0.36525692997736492</c:v>
                </c:pt>
                <c:pt idx="987">
                  <c:v>0.20083358828563164</c:v>
                </c:pt>
                <c:pt idx="988">
                  <c:v>0.15858971396858532</c:v>
                </c:pt>
                <c:pt idx="989">
                  <c:v>0.55481776829801266</c:v>
                </c:pt>
                <c:pt idx="990">
                  <c:v>5.9102023346154747E-2</c:v>
                </c:pt>
                <c:pt idx="991">
                  <c:v>0.39079871316846326</c:v>
                </c:pt>
                <c:pt idx="992">
                  <c:v>0.48184817394020235</c:v>
                </c:pt>
                <c:pt idx="993">
                  <c:v>0.14068939234452682</c:v>
                </c:pt>
                <c:pt idx="994">
                  <c:v>0.53404794732937988</c:v>
                </c:pt>
                <c:pt idx="995">
                  <c:v>0.43256735560135395</c:v>
                </c:pt>
                <c:pt idx="996">
                  <c:v>-2.1583343593979239E-2</c:v>
                </c:pt>
                <c:pt idx="997">
                  <c:v>0.12467012890457912</c:v>
                </c:pt>
                <c:pt idx="998">
                  <c:v>0.37507578618182996</c:v>
                </c:pt>
                <c:pt idx="999">
                  <c:v>6.9955949147462781E-2</c:v>
                </c:pt>
                <c:pt idx="1000">
                  <c:v>7.7905220354440932E-3</c:v>
                </c:pt>
                <c:pt idx="1001">
                  <c:v>0.36898162613378105</c:v>
                </c:pt>
                <c:pt idx="1002">
                  <c:v>3.2349327329792892E-2</c:v>
                </c:pt>
                <c:pt idx="1003">
                  <c:v>0.24532115042178831</c:v>
                </c:pt>
                <c:pt idx="1004">
                  <c:v>0.15393389861038209</c:v>
                </c:pt>
                <c:pt idx="1005">
                  <c:v>0.15060916562851256</c:v>
                </c:pt>
                <c:pt idx="1006">
                  <c:v>0.13651618722679842</c:v>
                </c:pt>
                <c:pt idx="1007">
                  <c:v>0.34142315768239623</c:v>
                </c:pt>
                <c:pt idx="1008">
                  <c:v>0.1002612322165132</c:v>
                </c:pt>
                <c:pt idx="1009">
                  <c:v>0.15465143176775875</c:v>
                </c:pt>
                <c:pt idx="1010">
                  <c:v>0.19175903058317245</c:v>
                </c:pt>
                <c:pt idx="1011">
                  <c:v>0.307332985538883</c:v>
                </c:pt>
                <c:pt idx="1012">
                  <c:v>0.17547657233147584</c:v>
                </c:pt>
                <c:pt idx="1013">
                  <c:v>0.10471884450861838</c:v>
                </c:pt>
                <c:pt idx="1014">
                  <c:v>0.63160510410423076</c:v>
                </c:pt>
                <c:pt idx="1015">
                  <c:v>0.33125656675604653</c:v>
                </c:pt>
                <c:pt idx="1016">
                  <c:v>0.53883101479420303</c:v>
                </c:pt>
                <c:pt idx="1017">
                  <c:v>0.34212938698070161</c:v>
                </c:pt>
                <c:pt idx="1018">
                  <c:v>0.42396215128021103</c:v>
                </c:pt>
                <c:pt idx="1019">
                  <c:v>0.13563210450893562</c:v>
                </c:pt>
                <c:pt idx="1020">
                  <c:v>9.4462018190470676E-2</c:v>
                </c:pt>
                <c:pt idx="1021">
                  <c:v>0.18621676041351093</c:v>
                </c:pt>
                <c:pt idx="1022">
                  <c:v>0.30209048012891782</c:v>
                </c:pt>
                <c:pt idx="1023">
                  <c:v>0.12311848543643319</c:v>
                </c:pt>
                <c:pt idx="1024">
                  <c:v>0.55126007759314033</c:v>
                </c:pt>
                <c:pt idx="1025">
                  <c:v>0.22357075650469307</c:v>
                </c:pt>
                <c:pt idx="1026">
                  <c:v>0.27388430934954477</c:v>
                </c:pt>
                <c:pt idx="1027">
                  <c:v>0.11810554703560107</c:v>
                </c:pt>
                <c:pt idx="1028">
                  <c:v>1.8853995245110861E-2</c:v>
                </c:pt>
                <c:pt idx="1029">
                  <c:v>0.10900099449736829</c:v>
                </c:pt>
                <c:pt idx="1030">
                  <c:v>5.4815067494910136E-2</c:v>
                </c:pt>
                <c:pt idx="1031">
                  <c:v>-4.0493677069807846E-3</c:v>
                </c:pt>
                <c:pt idx="1032">
                  <c:v>0.45935975601339518</c:v>
                </c:pt>
                <c:pt idx="1033">
                  <c:v>-4.1236703010786788E-2</c:v>
                </c:pt>
                <c:pt idx="1034">
                  <c:v>0.32740301946721551</c:v>
                </c:pt>
                <c:pt idx="1035">
                  <c:v>9.3105607726861828E-2</c:v>
                </c:pt>
                <c:pt idx="1036">
                  <c:v>0.50364197176602266</c:v>
                </c:pt>
                <c:pt idx="1037">
                  <c:v>0.2001356704301471</c:v>
                </c:pt>
                <c:pt idx="1038">
                  <c:v>0.12682476993941388</c:v>
                </c:pt>
                <c:pt idx="1039">
                  <c:v>0.30342940116869366</c:v>
                </c:pt>
                <c:pt idx="1040">
                  <c:v>0.47544537249606333</c:v>
                </c:pt>
                <c:pt idx="1041">
                  <c:v>0.21724269708296715</c:v>
                </c:pt>
                <c:pt idx="1042">
                  <c:v>0.16589446369589977</c:v>
                </c:pt>
                <c:pt idx="1043">
                  <c:v>0.38957584568250614</c:v>
                </c:pt>
                <c:pt idx="1044">
                  <c:v>0.41215279622363188</c:v>
                </c:pt>
                <c:pt idx="1045">
                  <c:v>0.31011899904784812</c:v>
                </c:pt>
                <c:pt idx="1046">
                  <c:v>-2.05406686641426E-3</c:v>
                </c:pt>
                <c:pt idx="1047">
                  <c:v>0.14410307091221863</c:v>
                </c:pt>
                <c:pt idx="1048">
                  <c:v>0.39748176214460823</c:v>
                </c:pt>
                <c:pt idx="1049">
                  <c:v>8.9381577329803064E-2</c:v>
                </c:pt>
                <c:pt idx="1050">
                  <c:v>0.10862304340317798</c:v>
                </c:pt>
                <c:pt idx="1051">
                  <c:v>0.28021092959570559</c:v>
                </c:pt>
                <c:pt idx="1052">
                  <c:v>-6.0075198036096955E-2</c:v>
                </c:pt>
                <c:pt idx="1053">
                  <c:v>0.55018017189054635</c:v>
                </c:pt>
                <c:pt idx="1054">
                  <c:v>0.28224816919192391</c:v>
                </c:pt>
                <c:pt idx="1055">
                  <c:v>0.19450507050110064</c:v>
                </c:pt>
                <c:pt idx="1056">
                  <c:v>0.15179342630185283</c:v>
                </c:pt>
                <c:pt idx="1057">
                  <c:v>0.20999905588324813</c:v>
                </c:pt>
                <c:pt idx="1058">
                  <c:v>0.17330453575799065</c:v>
                </c:pt>
                <c:pt idx="1059">
                  <c:v>0.47824771824593937</c:v>
                </c:pt>
                <c:pt idx="1060">
                  <c:v>0.18644270474236374</c:v>
                </c:pt>
                <c:pt idx="1061">
                  <c:v>9.5444728840691065E-2</c:v>
                </c:pt>
                <c:pt idx="1062">
                  <c:v>0.45079193494033343</c:v>
                </c:pt>
                <c:pt idx="1063">
                  <c:v>0.23547785609531793</c:v>
                </c:pt>
                <c:pt idx="1064">
                  <c:v>0.15467725958961764</c:v>
                </c:pt>
                <c:pt idx="1065">
                  <c:v>0.13509300068021712</c:v>
                </c:pt>
                <c:pt idx="1066">
                  <c:v>0.37936087224332071</c:v>
                </c:pt>
                <c:pt idx="1067">
                  <c:v>1.4416264294864339E-2</c:v>
                </c:pt>
                <c:pt idx="1068">
                  <c:v>0.40924458481844039</c:v>
                </c:pt>
                <c:pt idx="1069">
                  <c:v>0.45384539274841035</c:v>
                </c:pt>
                <c:pt idx="1070">
                  <c:v>0.33406033593148476</c:v>
                </c:pt>
                <c:pt idx="1071">
                  <c:v>0.34970988886848481</c:v>
                </c:pt>
                <c:pt idx="1072">
                  <c:v>0.15049116985007954</c:v>
                </c:pt>
                <c:pt idx="1073">
                  <c:v>0.22338531623679145</c:v>
                </c:pt>
                <c:pt idx="1074">
                  <c:v>0.2735921924039848</c:v>
                </c:pt>
                <c:pt idx="1075">
                  <c:v>0.38627882006197833</c:v>
                </c:pt>
                <c:pt idx="1076">
                  <c:v>0.2659217704522267</c:v>
                </c:pt>
                <c:pt idx="1077">
                  <c:v>0.26025268234103438</c:v>
                </c:pt>
                <c:pt idx="1078">
                  <c:v>-9.26199199728443E-2</c:v>
                </c:pt>
                <c:pt idx="1079">
                  <c:v>-1.1676076819703216E-2</c:v>
                </c:pt>
                <c:pt idx="1080">
                  <c:v>0.42458870724907605</c:v>
                </c:pt>
                <c:pt idx="1081">
                  <c:v>0.12899119038678558</c:v>
                </c:pt>
                <c:pt idx="1082">
                  <c:v>0.2035713732160811</c:v>
                </c:pt>
                <c:pt idx="1083">
                  <c:v>0.36689027236206684</c:v>
                </c:pt>
                <c:pt idx="1084">
                  <c:v>0.13041464493962074</c:v>
                </c:pt>
                <c:pt idx="1085">
                  <c:v>0.24840115426578713</c:v>
                </c:pt>
                <c:pt idx="1086">
                  <c:v>0.37534975958163935</c:v>
                </c:pt>
                <c:pt idx="1087">
                  <c:v>0.52117186043882879</c:v>
                </c:pt>
                <c:pt idx="1088">
                  <c:v>0.45524069519014987</c:v>
                </c:pt>
                <c:pt idx="1089">
                  <c:v>0.40458848823577159</c:v>
                </c:pt>
                <c:pt idx="1090">
                  <c:v>6.8972820491352421E-3</c:v>
                </c:pt>
                <c:pt idx="1091">
                  <c:v>0.4335422749564713</c:v>
                </c:pt>
                <c:pt idx="1092">
                  <c:v>0.25047244421052262</c:v>
                </c:pt>
                <c:pt idx="1093">
                  <c:v>0.24267913364302518</c:v>
                </c:pt>
                <c:pt idx="1094">
                  <c:v>0.11147302824321176</c:v>
                </c:pt>
                <c:pt idx="1095">
                  <c:v>0.37319187207708682</c:v>
                </c:pt>
                <c:pt idx="1096">
                  <c:v>0.30215089170714848</c:v>
                </c:pt>
                <c:pt idx="1097">
                  <c:v>0.3147629358461117</c:v>
                </c:pt>
                <c:pt idx="1098">
                  <c:v>0.31624174350272022</c:v>
                </c:pt>
                <c:pt idx="1099">
                  <c:v>0.38565384459179108</c:v>
                </c:pt>
                <c:pt idx="1100">
                  <c:v>-6.5389446096152951E-2</c:v>
                </c:pt>
                <c:pt idx="1101">
                  <c:v>0.25180830415650868</c:v>
                </c:pt>
                <c:pt idx="1102">
                  <c:v>0.25068313836796396</c:v>
                </c:pt>
                <c:pt idx="1103">
                  <c:v>0.39626211616952439</c:v>
                </c:pt>
                <c:pt idx="1104">
                  <c:v>0.20493331530717698</c:v>
                </c:pt>
                <c:pt idx="1105">
                  <c:v>0.31637559623802436</c:v>
                </c:pt>
                <c:pt idx="1106">
                  <c:v>8.5675272679198416E-2</c:v>
                </c:pt>
                <c:pt idx="1107">
                  <c:v>-8.3228500819669565E-2</c:v>
                </c:pt>
                <c:pt idx="1108">
                  <c:v>0.51232004239086781</c:v>
                </c:pt>
                <c:pt idx="1109">
                  <c:v>0.32350797466675468</c:v>
                </c:pt>
                <c:pt idx="1110">
                  <c:v>6.7624459507149542E-2</c:v>
                </c:pt>
                <c:pt idx="1111">
                  <c:v>0.4015883298190141</c:v>
                </c:pt>
                <c:pt idx="1112">
                  <c:v>0.55264608244916069</c:v>
                </c:pt>
                <c:pt idx="1113">
                  <c:v>0.13261309098377128</c:v>
                </c:pt>
                <c:pt idx="1114">
                  <c:v>0.14752958882514752</c:v>
                </c:pt>
                <c:pt idx="1115">
                  <c:v>0.36344184810441832</c:v>
                </c:pt>
                <c:pt idx="1116">
                  <c:v>0.37863308522923422</c:v>
                </c:pt>
                <c:pt idx="1117">
                  <c:v>0.39006715721411245</c:v>
                </c:pt>
                <c:pt idx="1118">
                  <c:v>0.37583411449651111</c:v>
                </c:pt>
                <c:pt idx="1119">
                  <c:v>0.22393878419155955</c:v>
                </c:pt>
                <c:pt idx="1120">
                  <c:v>0.53836488831031226</c:v>
                </c:pt>
                <c:pt idx="1121">
                  <c:v>0.41011889847775584</c:v>
                </c:pt>
                <c:pt idx="1122">
                  <c:v>-6.4595243956030918E-2</c:v>
                </c:pt>
                <c:pt idx="1123">
                  <c:v>0.54822355230328734</c:v>
                </c:pt>
                <c:pt idx="1124">
                  <c:v>0.40015125936132401</c:v>
                </c:pt>
                <c:pt idx="1125">
                  <c:v>0.1696553742563528</c:v>
                </c:pt>
                <c:pt idx="1126">
                  <c:v>0.32393994029289541</c:v>
                </c:pt>
                <c:pt idx="1127">
                  <c:v>6.9902074919133445E-2</c:v>
                </c:pt>
                <c:pt idx="1128">
                  <c:v>0.54512534635868437</c:v>
                </c:pt>
                <c:pt idx="1129">
                  <c:v>0.37163603787816885</c:v>
                </c:pt>
                <c:pt idx="1130">
                  <c:v>0.18218830507536202</c:v>
                </c:pt>
                <c:pt idx="1131">
                  <c:v>0.41109442210848729</c:v>
                </c:pt>
                <c:pt idx="1132">
                  <c:v>0.53881664107915894</c:v>
                </c:pt>
                <c:pt idx="1133">
                  <c:v>0.17255040099622015</c:v>
                </c:pt>
                <c:pt idx="1134">
                  <c:v>0.37715394359736215</c:v>
                </c:pt>
                <c:pt idx="1135">
                  <c:v>0.36917400463394634</c:v>
                </c:pt>
                <c:pt idx="1136">
                  <c:v>0.17676184973391659</c:v>
                </c:pt>
                <c:pt idx="1137">
                  <c:v>0.17637290410791193</c:v>
                </c:pt>
                <c:pt idx="1138">
                  <c:v>0.40823577592619742</c:v>
                </c:pt>
                <c:pt idx="1139">
                  <c:v>0.70344440976361178</c:v>
                </c:pt>
                <c:pt idx="1140">
                  <c:v>0.40763805579990542</c:v>
                </c:pt>
                <c:pt idx="1141">
                  <c:v>0.19297098893584574</c:v>
                </c:pt>
                <c:pt idx="1142">
                  <c:v>0.12572257932023567</c:v>
                </c:pt>
                <c:pt idx="1143">
                  <c:v>0.5221104536694221</c:v>
                </c:pt>
                <c:pt idx="1144">
                  <c:v>0.73784975964691824</c:v>
                </c:pt>
                <c:pt idx="1145">
                  <c:v>-9.1294348687198185E-2</c:v>
                </c:pt>
                <c:pt idx="1146">
                  <c:v>0.2508121211414519</c:v>
                </c:pt>
                <c:pt idx="1147">
                  <c:v>0.31382843113233505</c:v>
                </c:pt>
                <c:pt idx="1148">
                  <c:v>6.2004236557394704E-2</c:v>
                </c:pt>
                <c:pt idx="1149">
                  <c:v>2.5558191950362543E-2</c:v>
                </c:pt>
                <c:pt idx="1150">
                  <c:v>0.38502353795509819</c:v>
                </c:pt>
                <c:pt idx="1151">
                  <c:v>0.45354043402484495</c:v>
                </c:pt>
                <c:pt idx="1152">
                  <c:v>0.28063546328988559</c:v>
                </c:pt>
                <c:pt idx="1153">
                  <c:v>-5.0310899781809859E-2</c:v>
                </c:pt>
                <c:pt idx="1154">
                  <c:v>4.9634484428315064E-2</c:v>
                </c:pt>
                <c:pt idx="1155">
                  <c:v>9.5764369511157951E-2</c:v>
                </c:pt>
                <c:pt idx="1156">
                  <c:v>9.8038977178347059E-2</c:v>
                </c:pt>
                <c:pt idx="1157">
                  <c:v>0.47576298097331998</c:v>
                </c:pt>
                <c:pt idx="1158">
                  <c:v>-6.1134099636428532E-2</c:v>
                </c:pt>
                <c:pt idx="1159">
                  <c:v>4.0143951461490551E-3</c:v>
                </c:pt>
                <c:pt idx="1160">
                  <c:v>0.61284688990405045</c:v>
                </c:pt>
                <c:pt idx="1161">
                  <c:v>0.38424141245074561</c:v>
                </c:pt>
                <c:pt idx="1162">
                  <c:v>0.44090371596488248</c:v>
                </c:pt>
                <c:pt idx="1163">
                  <c:v>9.8548697273853264E-2</c:v>
                </c:pt>
                <c:pt idx="1164">
                  <c:v>-1.9580691071921268E-2</c:v>
                </c:pt>
                <c:pt idx="1165">
                  <c:v>1.4459508089732682E-2</c:v>
                </c:pt>
                <c:pt idx="1166">
                  <c:v>-6.6894058120663819E-3</c:v>
                </c:pt>
                <c:pt idx="1167">
                  <c:v>0.7398008993571511</c:v>
                </c:pt>
                <c:pt idx="1168">
                  <c:v>0.1490552256341508</c:v>
                </c:pt>
                <c:pt idx="1169">
                  <c:v>0.41658022614987888</c:v>
                </c:pt>
                <c:pt idx="1170">
                  <c:v>0.11300593878588097</c:v>
                </c:pt>
                <c:pt idx="1171">
                  <c:v>5.7922855327374075E-2</c:v>
                </c:pt>
                <c:pt idx="1172">
                  <c:v>2.6524861599561765E-2</c:v>
                </c:pt>
                <c:pt idx="1173">
                  <c:v>0.2887339176289645</c:v>
                </c:pt>
                <c:pt idx="1174">
                  <c:v>0.46764396650493778</c:v>
                </c:pt>
                <c:pt idx="1175">
                  <c:v>4.1107608185510944E-2</c:v>
                </c:pt>
                <c:pt idx="1176">
                  <c:v>0.14207213738303981</c:v>
                </c:pt>
                <c:pt idx="1177">
                  <c:v>0.23995710579633572</c:v>
                </c:pt>
                <c:pt idx="1178">
                  <c:v>-3.7827134689608188E-2</c:v>
                </c:pt>
                <c:pt idx="1179">
                  <c:v>0.43207085007342116</c:v>
                </c:pt>
                <c:pt idx="1180">
                  <c:v>0.30183040775831976</c:v>
                </c:pt>
                <c:pt idx="1181">
                  <c:v>0.15705702515480258</c:v>
                </c:pt>
                <c:pt idx="1182">
                  <c:v>0.6098323022976857</c:v>
                </c:pt>
                <c:pt idx="1183">
                  <c:v>1.0041158472884948E-2</c:v>
                </c:pt>
                <c:pt idx="1184">
                  <c:v>5.6357814546014288E-2</c:v>
                </c:pt>
                <c:pt idx="1185">
                  <c:v>0.17068046657948963</c:v>
                </c:pt>
                <c:pt idx="1186">
                  <c:v>-4.9857560150032808E-2</c:v>
                </c:pt>
                <c:pt idx="1187">
                  <c:v>0.35386742333652865</c:v>
                </c:pt>
                <c:pt idx="1188">
                  <c:v>0.30100144688252795</c:v>
                </c:pt>
                <c:pt idx="1189">
                  <c:v>0.25473908143020152</c:v>
                </c:pt>
                <c:pt idx="1190">
                  <c:v>0.27601115288249267</c:v>
                </c:pt>
                <c:pt idx="1191">
                  <c:v>0.35345886275549537</c:v>
                </c:pt>
                <c:pt idx="1192">
                  <c:v>0.47107776837976784</c:v>
                </c:pt>
                <c:pt idx="1193">
                  <c:v>4.0173930620481316E-2</c:v>
                </c:pt>
                <c:pt idx="1194">
                  <c:v>9.2830747407519787E-2</c:v>
                </c:pt>
                <c:pt idx="1195">
                  <c:v>1.9349957897990287E-2</c:v>
                </c:pt>
                <c:pt idx="1196">
                  <c:v>0.62794567688581704</c:v>
                </c:pt>
                <c:pt idx="1197">
                  <c:v>1.3615898541512371E-2</c:v>
                </c:pt>
                <c:pt idx="1198">
                  <c:v>7.9154993461101469E-2</c:v>
                </c:pt>
                <c:pt idx="1199">
                  <c:v>0.18384327107565579</c:v>
                </c:pt>
                <c:pt idx="1200">
                  <c:v>0.22544131698649533</c:v>
                </c:pt>
                <c:pt idx="1201">
                  <c:v>0.41434573405502911</c:v>
                </c:pt>
                <c:pt idx="1202">
                  <c:v>4.6496299445228366E-2</c:v>
                </c:pt>
                <c:pt idx="1203">
                  <c:v>0.30686119888356839</c:v>
                </c:pt>
                <c:pt idx="1204">
                  <c:v>0.24872907258736493</c:v>
                </c:pt>
                <c:pt idx="1205">
                  <c:v>0.3547462296765016</c:v>
                </c:pt>
                <c:pt idx="1206">
                  <c:v>0.15641834903301899</c:v>
                </c:pt>
                <c:pt idx="1207">
                  <c:v>0.36043333333290428</c:v>
                </c:pt>
                <c:pt idx="1208">
                  <c:v>-2.3596593385838353E-2</c:v>
                </c:pt>
                <c:pt idx="1209">
                  <c:v>2.618362995145776E-2</c:v>
                </c:pt>
                <c:pt idx="1210">
                  <c:v>-8.098550619605592E-3</c:v>
                </c:pt>
                <c:pt idx="1211">
                  <c:v>0.31494924647491473</c:v>
                </c:pt>
                <c:pt idx="1212">
                  <c:v>-7.926985611614118E-2</c:v>
                </c:pt>
                <c:pt idx="1213">
                  <c:v>0.40286943030741434</c:v>
                </c:pt>
                <c:pt idx="1214">
                  <c:v>0.30985673594449126</c:v>
                </c:pt>
                <c:pt idx="1215">
                  <c:v>0.33502533567389325</c:v>
                </c:pt>
                <c:pt idx="1216">
                  <c:v>0.17207512563858046</c:v>
                </c:pt>
                <c:pt idx="1217">
                  <c:v>-4.8592903331256272E-2</c:v>
                </c:pt>
                <c:pt idx="1218">
                  <c:v>5.4723324877546387E-2</c:v>
                </c:pt>
                <c:pt idx="1219">
                  <c:v>0.31215410702458873</c:v>
                </c:pt>
                <c:pt idx="1220">
                  <c:v>0.2459761232245723</c:v>
                </c:pt>
                <c:pt idx="1221">
                  <c:v>0.25949742951207622</c:v>
                </c:pt>
                <c:pt idx="1222">
                  <c:v>0.41141106635546759</c:v>
                </c:pt>
                <c:pt idx="1223">
                  <c:v>0.23195001259038819</c:v>
                </c:pt>
                <c:pt idx="1224">
                  <c:v>3.8974676568130522E-2</c:v>
                </c:pt>
                <c:pt idx="1225">
                  <c:v>0.27278595597973126</c:v>
                </c:pt>
                <c:pt idx="1226">
                  <c:v>0.26518435025415976</c:v>
                </c:pt>
                <c:pt idx="1227">
                  <c:v>0.45345531774048858</c:v>
                </c:pt>
                <c:pt idx="1228">
                  <c:v>0.26343625528077946</c:v>
                </c:pt>
                <c:pt idx="1229">
                  <c:v>5.2511593622181163E-2</c:v>
                </c:pt>
                <c:pt idx="1230">
                  <c:v>0.34793835451859945</c:v>
                </c:pt>
                <c:pt idx="1231">
                  <c:v>0.29534945706694293</c:v>
                </c:pt>
                <c:pt idx="1232">
                  <c:v>9.2700437940674132E-2</c:v>
                </c:pt>
                <c:pt idx="1233">
                  <c:v>0.27132059605742853</c:v>
                </c:pt>
                <c:pt idx="1234">
                  <c:v>2.5234110671295447E-3</c:v>
                </c:pt>
                <c:pt idx="1235">
                  <c:v>0.45948286931030885</c:v>
                </c:pt>
                <c:pt idx="1236">
                  <c:v>0.63400421082209357</c:v>
                </c:pt>
                <c:pt idx="1237">
                  <c:v>0.31085159440050675</c:v>
                </c:pt>
                <c:pt idx="1238">
                  <c:v>6.720188506240414E-2</c:v>
                </c:pt>
                <c:pt idx="1239">
                  <c:v>0.38537229828031772</c:v>
                </c:pt>
                <c:pt idx="1240">
                  <c:v>3.2988041274044366E-4</c:v>
                </c:pt>
                <c:pt idx="1241">
                  <c:v>0.25971550089319378</c:v>
                </c:pt>
                <c:pt idx="1242">
                  <c:v>0.66357221478290684</c:v>
                </c:pt>
                <c:pt idx="1243">
                  <c:v>0.4359232622066696</c:v>
                </c:pt>
                <c:pt idx="1244">
                  <c:v>0.41566977747640277</c:v>
                </c:pt>
                <c:pt idx="1245">
                  <c:v>0.50688991583071807</c:v>
                </c:pt>
                <c:pt idx="1246">
                  <c:v>0.50152931758370678</c:v>
                </c:pt>
                <c:pt idx="1247">
                  <c:v>-7.4976163926571179E-2</c:v>
                </c:pt>
                <c:pt idx="1248">
                  <c:v>0.28863148625647939</c:v>
                </c:pt>
                <c:pt idx="1249">
                  <c:v>-6.8463648999904703E-2</c:v>
                </c:pt>
                <c:pt idx="1250">
                  <c:v>4.6150264022546197E-3</c:v>
                </c:pt>
                <c:pt idx="1251">
                  <c:v>-3.4883929131449089E-2</c:v>
                </c:pt>
                <c:pt idx="1252">
                  <c:v>0.16896973708161586</c:v>
                </c:pt>
                <c:pt idx="1253">
                  <c:v>0.22706309454951054</c:v>
                </c:pt>
                <c:pt idx="1254">
                  <c:v>0.53969277041492525</c:v>
                </c:pt>
                <c:pt idx="1255">
                  <c:v>0.41605650760636387</c:v>
                </c:pt>
                <c:pt idx="1256">
                  <c:v>0.25315090251288208</c:v>
                </c:pt>
                <c:pt idx="1257">
                  <c:v>7.382370677036329E-3</c:v>
                </c:pt>
                <c:pt idx="1258">
                  <c:v>0.37564370120052909</c:v>
                </c:pt>
                <c:pt idx="1259">
                  <c:v>0.45980943688087778</c:v>
                </c:pt>
                <c:pt idx="1260">
                  <c:v>0.55499091849637616</c:v>
                </c:pt>
                <c:pt idx="1261">
                  <c:v>0.31719813122739082</c:v>
                </c:pt>
                <c:pt idx="1262">
                  <c:v>0.17969590213568884</c:v>
                </c:pt>
                <c:pt idx="1263">
                  <c:v>1.9650983732141223E-2</c:v>
                </c:pt>
                <c:pt idx="1264">
                  <c:v>0.17802333092524608</c:v>
                </c:pt>
                <c:pt idx="1265">
                  <c:v>0.372918386420865</c:v>
                </c:pt>
                <c:pt idx="1266">
                  <c:v>-4.2464652824346236E-2</c:v>
                </c:pt>
                <c:pt idx="1267">
                  <c:v>0.48416952270329267</c:v>
                </c:pt>
                <c:pt idx="1268">
                  <c:v>0.44626459810083063</c:v>
                </c:pt>
                <c:pt idx="1269">
                  <c:v>7.0619011722334285E-2</c:v>
                </c:pt>
                <c:pt idx="1270">
                  <c:v>0.24891839991994635</c:v>
                </c:pt>
                <c:pt idx="1271">
                  <c:v>0.38943595268497599</c:v>
                </c:pt>
                <c:pt idx="1272">
                  <c:v>0.24964491576268211</c:v>
                </c:pt>
                <c:pt idx="1273">
                  <c:v>0.16687352839607741</c:v>
                </c:pt>
                <c:pt idx="1274">
                  <c:v>0.11830905428123228</c:v>
                </c:pt>
                <c:pt idx="1275">
                  <c:v>0.38822110035245466</c:v>
                </c:pt>
                <c:pt idx="1276">
                  <c:v>-6.9440092951389878E-2</c:v>
                </c:pt>
                <c:pt idx="1277">
                  <c:v>0.30646526317846851</c:v>
                </c:pt>
                <c:pt idx="1278">
                  <c:v>0.47502965537651587</c:v>
                </c:pt>
                <c:pt idx="1279">
                  <c:v>0.29829805862682968</c:v>
                </c:pt>
                <c:pt idx="1280">
                  <c:v>0.23353726017727897</c:v>
                </c:pt>
                <c:pt idx="1281">
                  <c:v>0.44594478290327616</c:v>
                </c:pt>
                <c:pt idx="1282">
                  <c:v>0.33125322174046895</c:v>
                </c:pt>
                <c:pt idx="1283">
                  <c:v>0.11653757071972951</c:v>
                </c:pt>
                <c:pt idx="1284">
                  <c:v>0.12003986292317592</c:v>
                </c:pt>
                <c:pt idx="1285">
                  <c:v>0.11656779292599138</c:v>
                </c:pt>
                <c:pt idx="1286">
                  <c:v>0.30220346571076728</c:v>
                </c:pt>
                <c:pt idx="1287">
                  <c:v>0.32928873050038887</c:v>
                </c:pt>
                <c:pt idx="1288">
                  <c:v>0.324774464972161</c:v>
                </c:pt>
                <c:pt idx="1289">
                  <c:v>0.22724218419020042</c:v>
                </c:pt>
                <c:pt idx="1290">
                  <c:v>0.23975374726864682</c:v>
                </c:pt>
                <c:pt idx="1291">
                  <c:v>-1.8092695862231584E-2</c:v>
                </c:pt>
                <c:pt idx="1292">
                  <c:v>0.16922903702259184</c:v>
                </c:pt>
                <c:pt idx="1293">
                  <c:v>0.54756449817777952</c:v>
                </c:pt>
                <c:pt idx="1294">
                  <c:v>-1.7295833545691058E-2</c:v>
                </c:pt>
                <c:pt idx="1295">
                  <c:v>0.10229633426535753</c:v>
                </c:pt>
                <c:pt idx="1296">
                  <c:v>0.10562293087937671</c:v>
                </c:pt>
                <c:pt idx="1297">
                  <c:v>0.2287235861060376</c:v>
                </c:pt>
                <c:pt idx="1298">
                  <c:v>5.187705296727519E-2</c:v>
                </c:pt>
                <c:pt idx="1299">
                  <c:v>0.43311511982995499</c:v>
                </c:pt>
                <c:pt idx="1300">
                  <c:v>0.11740213225055808</c:v>
                </c:pt>
                <c:pt idx="1301">
                  <c:v>0.38879848485009461</c:v>
                </c:pt>
                <c:pt idx="1302">
                  <c:v>0.1064448511311786</c:v>
                </c:pt>
                <c:pt idx="1303">
                  <c:v>0.36277407629171354</c:v>
                </c:pt>
                <c:pt idx="1304">
                  <c:v>0.33325572569074879</c:v>
                </c:pt>
                <c:pt idx="1305">
                  <c:v>8.3775543937349928E-2</c:v>
                </c:pt>
                <c:pt idx="1306">
                  <c:v>0.16484223112116647</c:v>
                </c:pt>
                <c:pt idx="1307">
                  <c:v>0.32946599607179511</c:v>
                </c:pt>
                <c:pt idx="1308">
                  <c:v>0.25929807564626661</c:v>
                </c:pt>
                <c:pt idx="1309">
                  <c:v>0.21849281169693852</c:v>
                </c:pt>
                <c:pt idx="1310">
                  <c:v>-4.339199828959802E-2</c:v>
                </c:pt>
                <c:pt idx="1311">
                  <c:v>9.3256717068971567E-2</c:v>
                </c:pt>
                <c:pt idx="1312">
                  <c:v>0.28254455583094362</c:v>
                </c:pt>
                <c:pt idx="1313">
                  <c:v>0.30135820788059714</c:v>
                </c:pt>
                <c:pt idx="1314">
                  <c:v>2.1474254668926156E-2</c:v>
                </c:pt>
                <c:pt idx="1315">
                  <c:v>0.31976795536426944</c:v>
                </c:pt>
                <c:pt idx="1316">
                  <c:v>2.2873510294131517E-2</c:v>
                </c:pt>
                <c:pt idx="1317">
                  <c:v>0.23418117110487185</c:v>
                </c:pt>
                <c:pt idx="1318">
                  <c:v>-2.8451879334339972E-2</c:v>
                </c:pt>
                <c:pt idx="1319">
                  <c:v>0.48715841124274123</c:v>
                </c:pt>
                <c:pt idx="1320">
                  <c:v>0.21126107013891382</c:v>
                </c:pt>
                <c:pt idx="1321">
                  <c:v>0.33356743352728929</c:v>
                </c:pt>
                <c:pt idx="1322">
                  <c:v>0.27445268998954431</c:v>
                </c:pt>
                <c:pt idx="1323">
                  <c:v>5.9177532980117083E-2</c:v>
                </c:pt>
                <c:pt idx="1324">
                  <c:v>-9.0844661780654673E-2</c:v>
                </c:pt>
                <c:pt idx="1325">
                  <c:v>0.39035045438889365</c:v>
                </c:pt>
                <c:pt idx="1326">
                  <c:v>0.24508696687715648</c:v>
                </c:pt>
                <c:pt idx="1327">
                  <c:v>0.36055528259465308</c:v>
                </c:pt>
                <c:pt idx="1328">
                  <c:v>0.21302502536661519</c:v>
                </c:pt>
                <c:pt idx="1329">
                  <c:v>0.46192613826965884</c:v>
                </c:pt>
                <c:pt idx="1330">
                  <c:v>-8.1549292226342343E-2</c:v>
                </c:pt>
                <c:pt idx="1331">
                  <c:v>0.23469241612370634</c:v>
                </c:pt>
                <c:pt idx="1332">
                  <c:v>-2.8190484422588785E-2</c:v>
                </c:pt>
                <c:pt idx="1333">
                  <c:v>6.0190231363541402E-2</c:v>
                </c:pt>
                <c:pt idx="1334">
                  <c:v>0.34990245327759062</c:v>
                </c:pt>
                <c:pt idx="1335">
                  <c:v>0.33315942209657118</c:v>
                </c:pt>
                <c:pt idx="1336">
                  <c:v>6.2772694642828669E-2</c:v>
                </c:pt>
                <c:pt idx="1337">
                  <c:v>0.10281202404742273</c:v>
                </c:pt>
                <c:pt idx="1338">
                  <c:v>0.20513852181539244</c:v>
                </c:pt>
                <c:pt idx="1339">
                  <c:v>0.32702468226654646</c:v>
                </c:pt>
                <c:pt idx="1340">
                  <c:v>0.34114679133625031</c:v>
                </c:pt>
                <c:pt idx="1341">
                  <c:v>0.14965210751214736</c:v>
                </c:pt>
                <c:pt idx="1342">
                  <c:v>0.30768101923660157</c:v>
                </c:pt>
                <c:pt idx="1343">
                  <c:v>0.30512818822729815</c:v>
                </c:pt>
                <c:pt idx="1344">
                  <c:v>0.38276337852569631</c:v>
                </c:pt>
                <c:pt idx="1345">
                  <c:v>0.35748737103017336</c:v>
                </c:pt>
                <c:pt idx="1346">
                  <c:v>7.6760873038113631E-2</c:v>
                </c:pt>
                <c:pt idx="1347">
                  <c:v>0.33427088420281326</c:v>
                </c:pt>
                <c:pt idx="1348">
                  <c:v>5.2728425616637827E-2</c:v>
                </c:pt>
                <c:pt idx="1349">
                  <c:v>0.410013097130769</c:v>
                </c:pt>
                <c:pt idx="1350">
                  <c:v>0.34859454174321963</c:v>
                </c:pt>
                <c:pt idx="1351">
                  <c:v>6.864492675558681E-2</c:v>
                </c:pt>
                <c:pt idx="1352">
                  <c:v>9.7665688504984638E-2</c:v>
                </c:pt>
                <c:pt idx="1353">
                  <c:v>0.40039904048609459</c:v>
                </c:pt>
                <c:pt idx="1354">
                  <c:v>4.5503838087600265E-2</c:v>
                </c:pt>
                <c:pt idx="1355">
                  <c:v>0.25078295585170113</c:v>
                </c:pt>
                <c:pt idx="1356">
                  <c:v>0.1878877931045321</c:v>
                </c:pt>
                <c:pt idx="1357">
                  <c:v>-2.7901748026387882E-2</c:v>
                </c:pt>
                <c:pt idx="1358">
                  <c:v>0.33085789975391927</c:v>
                </c:pt>
                <c:pt idx="1359">
                  <c:v>0.58888437681057737</c:v>
                </c:pt>
                <c:pt idx="1360">
                  <c:v>0.44334669613441269</c:v>
                </c:pt>
                <c:pt idx="1361">
                  <c:v>0.32689147456204004</c:v>
                </c:pt>
                <c:pt idx="1362">
                  <c:v>0.13194291529834967</c:v>
                </c:pt>
                <c:pt idx="1363">
                  <c:v>0.31016990927536048</c:v>
                </c:pt>
                <c:pt idx="1364">
                  <c:v>-9.1284273667638499E-2</c:v>
                </c:pt>
                <c:pt idx="1365">
                  <c:v>0.20738594832046461</c:v>
                </c:pt>
                <c:pt idx="1366">
                  <c:v>0.21877249868781182</c:v>
                </c:pt>
                <c:pt idx="1367">
                  <c:v>-3.2399255845040179E-2</c:v>
                </c:pt>
                <c:pt idx="1368">
                  <c:v>0.35446928694826174</c:v>
                </c:pt>
                <c:pt idx="1369">
                  <c:v>0.26243058250975493</c:v>
                </c:pt>
                <c:pt idx="1370">
                  <c:v>3.9802276096592974E-2</c:v>
                </c:pt>
                <c:pt idx="1371">
                  <c:v>0.20731880617217449</c:v>
                </c:pt>
                <c:pt idx="1372">
                  <c:v>0.32564286836743805</c:v>
                </c:pt>
                <c:pt idx="1373">
                  <c:v>-7.7534193790115322E-2</c:v>
                </c:pt>
                <c:pt idx="1374">
                  <c:v>0.48700934384457328</c:v>
                </c:pt>
                <c:pt idx="1375">
                  <c:v>0.19386239185150106</c:v>
                </c:pt>
                <c:pt idx="1376">
                  <c:v>0.17141465931960959</c:v>
                </c:pt>
                <c:pt idx="1377">
                  <c:v>0.26278613049851379</c:v>
                </c:pt>
                <c:pt idx="1378">
                  <c:v>0.21504455905499861</c:v>
                </c:pt>
                <c:pt idx="1379">
                  <c:v>0.12099842360724275</c:v>
                </c:pt>
                <c:pt idx="1380">
                  <c:v>0.42990230168963944</c:v>
                </c:pt>
                <c:pt idx="1381">
                  <c:v>0.63672930268752281</c:v>
                </c:pt>
                <c:pt idx="1382">
                  <c:v>0.34347282521323219</c:v>
                </c:pt>
                <c:pt idx="1383">
                  <c:v>0.39607480412329127</c:v>
                </c:pt>
                <c:pt idx="1384">
                  <c:v>-2.4468373231406777E-2</c:v>
                </c:pt>
                <c:pt idx="1385">
                  <c:v>-8.8458580790348532E-3</c:v>
                </c:pt>
                <c:pt idx="1386">
                  <c:v>-3.9904758105890892E-4</c:v>
                </c:pt>
                <c:pt idx="1387">
                  <c:v>0.32575814297271183</c:v>
                </c:pt>
                <c:pt idx="1388">
                  <c:v>0.33116824816744794</c:v>
                </c:pt>
                <c:pt idx="1389">
                  <c:v>0.22985146679352914</c:v>
                </c:pt>
                <c:pt idx="1390">
                  <c:v>2.113771532087351E-2</c:v>
                </c:pt>
                <c:pt idx="1391">
                  <c:v>0.42362990551683805</c:v>
                </c:pt>
                <c:pt idx="1392">
                  <c:v>9.666127320261364E-2</c:v>
                </c:pt>
                <c:pt idx="1393">
                  <c:v>0.39164356071420131</c:v>
                </c:pt>
                <c:pt idx="1394">
                  <c:v>0.26351175860226078</c:v>
                </c:pt>
                <c:pt idx="1395">
                  <c:v>0.55284596667781072</c:v>
                </c:pt>
                <c:pt idx="1396">
                  <c:v>0.28471658856971144</c:v>
                </c:pt>
                <c:pt idx="1397">
                  <c:v>0.14580948846135716</c:v>
                </c:pt>
                <c:pt idx="1398">
                  <c:v>0.57714028138233675</c:v>
                </c:pt>
                <c:pt idx="1399">
                  <c:v>0.14652754505705953</c:v>
                </c:pt>
                <c:pt idx="1400">
                  <c:v>-6.9829833461828097E-2</c:v>
                </c:pt>
                <c:pt idx="1401">
                  <c:v>0.28105138507361521</c:v>
                </c:pt>
                <c:pt idx="1402">
                  <c:v>0.37387402562818806</c:v>
                </c:pt>
                <c:pt idx="1403">
                  <c:v>0.19580162473859808</c:v>
                </c:pt>
                <c:pt idx="1404">
                  <c:v>0.33187217338304653</c:v>
                </c:pt>
                <c:pt idx="1405">
                  <c:v>0.27769880910978595</c:v>
                </c:pt>
                <c:pt idx="1406">
                  <c:v>-6.216297472411636E-2</c:v>
                </c:pt>
                <c:pt idx="1407">
                  <c:v>0.23863791677988869</c:v>
                </c:pt>
                <c:pt idx="1408">
                  <c:v>0.28096513691093611</c:v>
                </c:pt>
                <c:pt idx="1409">
                  <c:v>0.23656065449111668</c:v>
                </c:pt>
                <c:pt idx="1410">
                  <c:v>0.34964031965377101</c:v>
                </c:pt>
                <c:pt idx="1411">
                  <c:v>0.31343392964674233</c:v>
                </c:pt>
                <c:pt idx="1412">
                  <c:v>0.26001117071759283</c:v>
                </c:pt>
                <c:pt idx="1413">
                  <c:v>-6.3579766833399595E-2</c:v>
                </c:pt>
                <c:pt idx="1414">
                  <c:v>0.24242579645442797</c:v>
                </c:pt>
                <c:pt idx="1415">
                  <c:v>3.2923457438853318E-2</c:v>
                </c:pt>
                <c:pt idx="1416">
                  <c:v>0.53320190876095963</c:v>
                </c:pt>
                <c:pt idx="1417">
                  <c:v>4.47526494213797E-2</c:v>
                </c:pt>
                <c:pt idx="1418">
                  <c:v>8.8562441910099363E-2</c:v>
                </c:pt>
                <c:pt idx="1419">
                  <c:v>0.20026961382333744</c:v>
                </c:pt>
                <c:pt idx="1420">
                  <c:v>0.29703712426034501</c:v>
                </c:pt>
                <c:pt idx="1421">
                  <c:v>-7.7286712113787639E-2</c:v>
                </c:pt>
                <c:pt idx="1422">
                  <c:v>0.33671797889233535</c:v>
                </c:pt>
                <c:pt idx="1423">
                  <c:v>0.15214477034872767</c:v>
                </c:pt>
                <c:pt idx="1424">
                  <c:v>0.17843294834401668</c:v>
                </c:pt>
                <c:pt idx="1425">
                  <c:v>0.20041632691622574</c:v>
                </c:pt>
                <c:pt idx="1426">
                  <c:v>0.4776982419925937</c:v>
                </c:pt>
                <c:pt idx="1427">
                  <c:v>0.48160430488888456</c:v>
                </c:pt>
                <c:pt idx="1428">
                  <c:v>0.5548637313741569</c:v>
                </c:pt>
                <c:pt idx="1429">
                  <c:v>0.22456254062259709</c:v>
                </c:pt>
                <c:pt idx="1430">
                  <c:v>-4.6726501348351823E-2</c:v>
                </c:pt>
                <c:pt idx="1431">
                  <c:v>0.1874394631345179</c:v>
                </c:pt>
                <c:pt idx="1432">
                  <c:v>0.25548223026355543</c:v>
                </c:pt>
                <c:pt idx="1433">
                  <c:v>0.5013974033089279</c:v>
                </c:pt>
                <c:pt idx="1434">
                  <c:v>0.4015921630498927</c:v>
                </c:pt>
                <c:pt idx="1435">
                  <c:v>0.10795947840989467</c:v>
                </c:pt>
                <c:pt idx="1436">
                  <c:v>0.11155303138209076</c:v>
                </c:pt>
                <c:pt idx="1437">
                  <c:v>0.23716576958495353</c:v>
                </c:pt>
                <c:pt idx="1438">
                  <c:v>0.13885543849336496</c:v>
                </c:pt>
                <c:pt idx="1439">
                  <c:v>7.6864255191923747E-2</c:v>
                </c:pt>
                <c:pt idx="1440">
                  <c:v>-6.3189765051444802E-2</c:v>
                </c:pt>
                <c:pt idx="1441">
                  <c:v>0.11928786416981105</c:v>
                </c:pt>
                <c:pt idx="1442">
                  <c:v>0.41120509685427353</c:v>
                </c:pt>
                <c:pt idx="1443">
                  <c:v>0.14722905979440098</c:v>
                </c:pt>
                <c:pt idx="1444">
                  <c:v>0.31666614494096551</c:v>
                </c:pt>
                <c:pt idx="1445">
                  <c:v>-2.0191187082519414E-2</c:v>
                </c:pt>
                <c:pt idx="1446">
                  <c:v>0.3976933638684097</c:v>
                </c:pt>
                <c:pt idx="1447">
                  <c:v>-1.2253273626451663E-2</c:v>
                </c:pt>
                <c:pt idx="1448">
                  <c:v>0.42309814355517922</c:v>
                </c:pt>
                <c:pt idx="1449">
                  <c:v>0.47896056606069198</c:v>
                </c:pt>
                <c:pt idx="1450">
                  <c:v>0.18136126624976318</c:v>
                </c:pt>
                <c:pt idx="1451">
                  <c:v>0.53526540160573555</c:v>
                </c:pt>
                <c:pt idx="1452">
                  <c:v>0.10624700527939142</c:v>
                </c:pt>
                <c:pt idx="1453">
                  <c:v>-9.0847732411076854E-2</c:v>
                </c:pt>
                <c:pt idx="1454">
                  <c:v>0.31273657357184481</c:v>
                </c:pt>
                <c:pt idx="1455">
                  <c:v>-8.7724376850270153E-2</c:v>
                </c:pt>
                <c:pt idx="1456">
                  <c:v>0.40355854376371958</c:v>
                </c:pt>
                <c:pt idx="1457">
                  <c:v>0.64110009611731444</c:v>
                </c:pt>
                <c:pt idx="1458">
                  <c:v>0.22379359194179194</c:v>
                </c:pt>
                <c:pt idx="1459">
                  <c:v>0.34944796809212231</c:v>
                </c:pt>
                <c:pt idx="1460">
                  <c:v>-8.4134620442802899E-2</c:v>
                </c:pt>
                <c:pt idx="1461">
                  <c:v>0.33849052406848312</c:v>
                </c:pt>
                <c:pt idx="1462">
                  <c:v>0.28745138917816493</c:v>
                </c:pt>
                <c:pt idx="1463">
                  <c:v>0.42889688369729223</c:v>
                </c:pt>
                <c:pt idx="1464">
                  <c:v>0.2927739498978853</c:v>
                </c:pt>
                <c:pt idx="1465">
                  <c:v>0.25145404322916659</c:v>
                </c:pt>
                <c:pt idx="1466">
                  <c:v>-9.0414797612832692E-2</c:v>
                </c:pt>
                <c:pt idx="1467">
                  <c:v>0.29645424978354445</c:v>
                </c:pt>
                <c:pt idx="1468">
                  <c:v>0.35325971954735275</c:v>
                </c:pt>
                <c:pt idx="1469">
                  <c:v>0.40464770907105019</c:v>
                </c:pt>
                <c:pt idx="1470">
                  <c:v>7.7284637951832748E-3</c:v>
                </c:pt>
                <c:pt idx="1471">
                  <c:v>0.79614083656889489</c:v>
                </c:pt>
                <c:pt idx="1472">
                  <c:v>0.61135241807455631</c:v>
                </c:pt>
                <c:pt idx="1473">
                  <c:v>0.18793061435214167</c:v>
                </c:pt>
                <c:pt idx="1474">
                  <c:v>0.23818730234932192</c:v>
                </c:pt>
                <c:pt idx="1475">
                  <c:v>0.30707036470610571</c:v>
                </c:pt>
                <c:pt idx="1476">
                  <c:v>0.18979060873618009</c:v>
                </c:pt>
                <c:pt idx="1477">
                  <c:v>0.68945077878825634</c:v>
                </c:pt>
                <c:pt idx="1478">
                  <c:v>0.26760923166465578</c:v>
                </c:pt>
                <c:pt idx="1479">
                  <c:v>0.35386023394418697</c:v>
                </c:pt>
                <c:pt idx="1480">
                  <c:v>0.20848708955529366</c:v>
                </c:pt>
                <c:pt idx="1481">
                  <c:v>0.42852045472648753</c:v>
                </c:pt>
                <c:pt idx="1482">
                  <c:v>0.23657551115976116</c:v>
                </c:pt>
                <c:pt idx="1483">
                  <c:v>0.39731043311046255</c:v>
                </c:pt>
                <c:pt idx="1484">
                  <c:v>0.14357929551578633</c:v>
                </c:pt>
                <c:pt idx="1485">
                  <c:v>0.3073486800947493</c:v>
                </c:pt>
                <c:pt idx="1486">
                  <c:v>0.20764427997831558</c:v>
                </c:pt>
                <c:pt idx="1487">
                  <c:v>0.39474213741786895</c:v>
                </c:pt>
                <c:pt idx="1488">
                  <c:v>0.17973414775636637</c:v>
                </c:pt>
                <c:pt idx="1489">
                  <c:v>0.23558663334504473</c:v>
                </c:pt>
                <c:pt idx="1490">
                  <c:v>0.25082775712155708</c:v>
                </c:pt>
                <c:pt idx="1491">
                  <c:v>0.40200812500534838</c:v>
                </c:pt>
                <c:pt idx="1492">
                  <c:v>0.33983016084889839</c:v>
                </c:pt>
                <c:pt idx="1493">
                  <c:v>-1.7216344823893684E-2</c:v>
                </c:pt>
                <c:pt idx="1494">
                  <c:v>0.20540578900483245</c:v>
                </c:pt>
                <c:pt idx="1495">
                  <c:v>-9.0587267774949867E-2</c:v>
                </c:pt>
                <c:pt idx="1496">
                  <c:v>0.32739745820047389</c:v>
                </c:pt>
                <c:pt idx="1497">
                  <c:v>0.52161388265439035</c:v>
                </c:pt>
                <c:pt idx="1498">
                  <c:v>1.6735440916435723E-2</c:v>
                </c:pt>
                <c:pt idx="1499">
                  <c:v>0.44866489230878476</c:v>
                </c:pt>
                <c:pt idx="1500">
                  <c:v>0.24919546189865527</c:v>
                </c:pt>
                <c:pt idx="1501">
                  <c:v>0.45042541196243158</c:v>
                </c:pt>
                <c:pt idx="1502">
                  <c:v>0.57403211788708008</c:v>
                </c:pt>
                <c:pt idx="1503">
                  <c:v>0.60344602734618147</c:v>
                </c:pt>
                <c:pt idx="1504">
                  <c:v>0.26246820362753831</c:v>
                </c:pt>
                <c:pt idx="1505">
                  <c:v>0.17672419399015094</c:v>
                </c:pt>
                <c:pt idx="1506">
                  <c:v>0.22686957013972073</c:v>
                </c:pt>
                <c:pt idx="1507">
                  <c:v>0.1157404586883273</c:v>
                </c:pt>
                <c:pt idx="1508">
                  <c:v>0.14137134086453423</c:v>
                </c:pt>
                <c:pt idx="1509">
                  <c:v>0.23507775357305385</c:v>
                </c:pt>
                <c:pt idx="1510">
                  <c:v>0.17157433658908688</c:v>
                </c:pt>
                <c:pt idx="1511">
                  <c:v>0.13277751645726521</c:v>
                </c:pt>
                <c:pt idx="1512">
                  <c:v>0.31492052168096674</c:v>
                </c:pt>
                <c:pt idx="1513">
                  <c:v>0.17928150438170523</c:v>
                </c:pt>
                <c:pt idx="1514">
                  <c:v>0.3162995411550335</c:v>
                </c:pt>
                <c:pt idx="1515">
                  <c:v>-4.5817999234612453E-2</c:v>
                </c:pt>
                <c:pt idx="1516">
                  <c:v>0.12025851818846928</c:v>
                </c:pt>
                <c:pt idx="1517">
                  <c:v>0.63418607546599071</c:v>
                </c:pt>
                <c:pt idx="1518">
                  <c:v>0.11771622935324448</c:v>
                </c:pt>
                <c:pt idx="1519">
                  <c:v>0.426947570995033</c:v>
                </c:pt>
                <c:pt idx="1520">
                  <c:v>0.37434327985270205</c:v>
                </c:pt>
                <c:pt idx="1521">
                  <c:v>0.25429606656007636</c:v>
                </c:pt>
                <c:pt idx="1522">
                  <c:v>-6.3475371888104662E-2</c:v>
                </c:pt>
                <c:pt idx="1523">
                  <c:v>9.9059226912531856E-2</c:v>
                </c:pt>
                <c:pt idx="1524">
                  <c:v>0.27158865869969867</c:v>
                </c:pt>
                <c:pt idx="1525">
                  <c:v>0.32694551291745622</c:v>
                </c:pt>
                <c:pt idx="1526">
                  <c:v>0.2645466023240155</c:v>
                </c:pt>
                <c:pt idx="1527">
                  <c:v>0.12735836972371062</c:v>
                </c:pt>
                <c:pt idx="1528">
                  <c:v>8.7290373670710741E-2</c:v>
                </c:pt>
                <c:pt idx="1529">
                  <c:v>-5.1282119523301875E-3</c:v>
                </c:pt>
                <c:pt idx="1530">
                  <c:v>0.37147730139185459</c:v>
                </c:pt>
                <c:pt idx="1531">
                  <c:v>0.32966188609918812</c:v>
                </c:pt>
                <c:pt idx="1532">
                  <c:v>0.22452822909162845</c:v>
                </c:pt>
                <c:pt idx="1533">
                  <c:v>0.16378951907232747</c:v>
                </c:pt>
                <c:pt idx="1534">
                  <c:v>0.36954974780210481</c:v>
                </c:pt>
                <c:pt idx="1535">
                  <c:v>0.18838605888622306</c:v>
                </c:pt>
                <c:pt idx="1536">
                  <c:v>0.10725325333819008</c:v>
                </c:pt>
                <c:pt idx="1537">
                  <c:v>0.29545922935628405</c:v>
                </c:pt>
                <c:pt idx="1538">
                  <c:v>0.23805097818171228</c:v>
                </c:pt>
                <c:pt idx="1539">
                  <c:v>-6.6755649430427166E-2</c:v>
                </c:pt>
                <c:pt idx="1540">
                  <c:v>0.15879483271109121</c:v>
                </c:pt>
                <c:pt idx="1541">
                  <c:v>4.1241774756006419E-3</c:v>
                </c:pt>
                <c:pt idx="1542">
                  <c:v>0.32301039041213297</c:v>
                </c:pt>
                <c:pt idx="1543">
                  <c:v>0.24619865113701933</c:v>
                </c:pt>
                <c:pt idx="1544">
                  <c:v>8.4559836403340721E-2</c:v>
                </c:pt>
                <c:pt idx="1545">
                  <c:v>-3.3670023961219597E-2</c:v>
                </c:pt>
                <c:pt idx="1546">
                  <c:v>0.37245573369027479</c:v>
                </c:pt>
                <c:pt idx="1547">
                  <c:v>0.35689848603262597</c:v>
                </c:pt>
                <c:pt idx="1548">
                  <c:v>-2.8165445852121832E-2</c:v>
                </c:pt>
                <c:pt idx="1549">
                  <c:v>5.7314599327543805E-2</c:v>
                </c:pt>
                <c:pt idx="1550">
                  <c:v>0.42233587255477123</c:v>
                </c:pt>
                <c:pt idx="1551">
                  <c:v>0.30995329675728805</c:v>
                </c:pt>
                <c:pt idx="1552">
                  <c:v>-4.324907876651464E-2</c:v>
                </c:pt>
                <c:pt idx="1553">
                  <c:v>0.72339691522940419</c:v>
                </c:pt>
                <c:pt idx="1554">
                  <c:v>0.10383273957787123</c:v>
                </c:pt>
                <c:pt idx="1555">
                  <c:v>0.16874227781188639</c:v>
                </c:pt>
                <c:pt idx="1556">
                  <c:v>0.44095407319801322</c:v>
                </c:pt>
                <c:pt idx="1557">
                  <c:v>0.17149293202284713</c:v>
                </c:pt>
                <c:pt idx="1558">
                  <c:v>0.13595801520893047</c:v>
                </c:pt>
                <c:pt idx="1559">
                  <c:v>0.34747511084454635</c:v>
                </c:pt>
                <c:pt idx="1560">
                  <c:v>0.36809243725825624</c:v>
                </c:pt>
                <c:pt idx="1561">
                  <c:v>0.41918190024882351</c:v>
                </c:pt>
                <c:pt idx="1562">
                  <c:v>0.12694900734560008</c:v>
                </c:pt>
                <c:pt idx="1563">
                  <c:v>0.23366686580286888</c:v>
                </c:pt>
                <c:pt idx="1564">
                  <c:v>0.23578471610229651</c:v>
                </c:pt>
                <c:pt idx="1565">
                  <c:v>0.43447190066637065</c:v>
                </c:pt>
                <c:pt idx="1566">
                  <c:v>0.56536746974577512</c:v>
                </c:pt>
                <c:pt idx="1567">
                  <c:v>4.7150634203701511E-2</c:v>
                </c:pt>
                <c:pt idx="1568">
                  <c:v>0.31000726379486609</c:v>
                </c:pt>
                <c:pt idx="1569">
                  <c:v>9.3559610376877905E-2</c:v>
                </c:pt>
                <c:pt idx="1570">
                  <c:v>0.20166008296774435</c:v>
                </c:pt>
                <c:pt idx="1571">
                  <c:v>0.51556498249282956</c:v>
                </c:pt>
                <c:pt idx="1572">
                  <c:v>0.43967489783633928</c:v>
                </c:pt>
                <c:pt idx="1573">
                  <c:v>1.449469286672686E-2</c:v>
                </c:pt>
                <c:pt idx="1574">
                  <c:v>0.36039933366870425</c:v>
                </c:pt>
                <c:pt idx="1575">
                  <c:v>0.17508042978091232</c:v>
                </c:pt>
                <c:pt idx="1576">
                  <c:v>8.3367985038294762E-2</c:v>
                </c:pt>
                <c:pt idx="1577">
                  <c:v>0.23637810732751785</c:v>
                </c:pt>
                <c:pt idx="1578">
                  <c:v>0.6565063799390719</c:v>
                </c:pt>
                <c:pt idx="1579">
                  <c:v>0.18843857651539084</c:v>
                </c:pt>
                <c:pt idx="1580">
                  <c:v>9.2914134826354439E-2</c:v>
                </c:pt>
                <c:pt idx="1581">
                  <c:v>0.5017095740980918</c:v>
                </c:pt>
                <c:pt idx="1582">
                  <c:v>0.41218399388407356</c:v>
                </c:pt>
                <c:pt idx="1583">
                  <c:v>0.12731564780675322</c:v>
                </c:pt>
                <c:pt idx="1584">
                  <c:v>0.48723620422376351</c:v>
                </c:pt>
                <c:pt idx="1585">
                  <c:v>0.28476724810270077</c:v>
                </c:pt>
                <c:pt idx="1586">
                  <c:v>0.23627939072188625</c:v>
                </c:pt>
                <c:pt idx="1587">
                  <c:v>2.4700651849156256E-2</c:v>
                </c:pt>
                <c:pt idx="1588">
                  <c:v>0.42886575934701199</c:v>
                </c:pt>
                <c:pt idx="1589">
                  <c:v>0.11365850813452083</c:v>
                </c:pt>
                <c:pt idx="1590">
                  <c:v>0.24322496730282966</c:v>
                </c:pt>
                <c:pt idx="1591">
                  <c:v>0.40847323581319417</c:v>
                </c:pt>
                <c:pt idx="1592">
                  <c:v>0.2929977741210027</c:v>
                </c:pt>
                <c:pt idx="1593">
                  <c:v>0.26634171697726683</c:v>
                </c:pt>
                <c:pt idx="1594">
                  <c:v>2.0713523971439586E-3</c:v>
                </c:pt>
                <c:pt idx="1595">
                  <c:v>4.1424880562190847E-6</c:v>
                </c:pt>
                <c:pt idx="1596">
                  <c:v>0.32346690345722556</c:v>
                </c:pt>
                <c:pt idx="1597">
                  <c:v>0.19186168491829461</c:v>
                </c:pt>
                <c:pt idx="1598">
                  <c:v>0.18604972777162226</c:v>
                </c:pt>
                <c:pt idx="1599">
                  <c:v>0.45840580671057651</c:v>
                </c:pt>
                <c:pt idx="1600">
                  <c:v>0.10101054021603025</c:v>
                </c:pt>
                <c:pt idx="1601">
                  <c:v>0.12300503466184148</c:v>
                </c:pt>
                <c:pt idx="1602">
                  <c:v>7.8736933366602355E-2</c:v>
                </c:pt>
                <c:pt idx="1603">
                  <c:v>0.47257133583712152</c:v>
                </c:pt>
                <c:pt idx="1604">
                  <c:v>0.17811866752828631</c:v>
                </c:pt>
                <c:pt idx="1605">
                  <c:v>0.33105019579294859</c:v>
                </c:pt>
                <c:pt idx="1606">
                  <c:v>8.0225576656650602E-2</c:v>
                </c:pt>
                <c:pt idx="1607">
                  <c:v>8.0779261891214191E-2</c:v>
                </c:pt>
                <c:pt idx="1608">
                  <c:v>0.28390750504737583</c:v>
                </c:pt>
                <c:pt idx="1609">
                  <c:v>0.39023210555022553</c:v>
                </c:pt>
                <c:pt idx="1610">
                  <c:v>4.0765020094745731E-2</c:v>
                </c:pt>
                <c:pt idx="1611">
                  <c:v>0.27761078331251765</c:v>
                </c:pt>
                <c:pt idx="1612">
                  <c:v>0.10981727952451045</c:v>
                </c:pt>
                <c:pt idx="1613">
                  <c:v>2.4864143277469469E-3</c:v>
                </c:pt>
                <c:pt idx="1614">
                  <c:v>0.16447845848738296</c:v>
                </c:pt>
                <c:pt idx="1615">
                  <c:v>0.19781421406846889</c:v>
                </c:pt>
                <c:pt idx="1616">
                  <c:v>0.18807952852374749</c:v>
                </c:pt>
                <c:pt idx="1617">
                  <c:v>0.21874353248773268</c:v>
                </c:pt>
                <c:pt idx="1618">
                  <c:v>0.29710375605739214</c:v>
                </c:pt>
                <c:pt idx="1619">
                  <c:v>0.32174844577242195</c:v>
                </c:pt>
                <c:pt idx="1620">
                  <c:v>0.25028421569890613</c:v>
                </c:pt>
                <c:pt idx="1621">
                  <c:v>0.51113230441713786</c:v>
                </c:pt>
                <c:pt idx="1622">
                  <c:v>0.12345696896956185</c:v>
                </c:pt>
                <c:pt idx="1623">
                  <c:v>3.6006732866613114E-2</c:v>
                </c:pt>
                <c:pt idx="1624">
                  <c:v>0.11421965184843041</c:v>
                </c:pt>
                <c:pt idx="1625">
                  <c:v>0.34801606319064393</c:v>
                </c:pt>
                <c:pt idx="1626">
                  <c:v>-8.0142146370627304E-2</c:v>
                </c:pt>
                <c:pt idx="1627">
                  <c:v>0.1481165400112823</c:v>
                </c:pt>
                <c:pt idx="1628">
                  <c:v>6.7630374981821131E-3</c:v>
                </c:pt>
                <c:pt idx="1629">
                  <c:v>0.28690883680537971</c:v>
                </c:pt>
                <c:pt idx="1630">
                  <c:v>0.46784568441347657</c:v>
                </c:pt>
                <c:pt idx="1631">
                  <c:v>0.1178934158510619</c:v>
                </c:pt>
                <c:pt idx="1632">
                  <c:v>0.18353128676641167</c:v>
                </c:pt>
                <c:pt idx="1633">
                  <c:v>0.26571360352302531</c:v>
                </c:pt>
                <c:pt idx="1634">
                  <c:v>3.5751745064081165E-2</c:v>
                </c:pt>
                <c:pt idx="1635">
                  <c:v>-4.1818284747875398E-2</c:v>
                </c:pt>
                <c:pt idx="1636">
                  <c:v>0.11405764006732308</c:v>
                </c:pt>
                <c:pt idx="1637">
                  <c:v>0.28760472685787181</c:v>
                </c:pt>
                <c:pt idx="1638">
                  <c:v>0.54445908312736524</c:v>
                </c:pt>
                <c:pt idx="1639">
                  <c:v>0.53087472329244412</c:v>
                </c:pt>
                <c:pt idx="1640">
                  <c:v>-5.2464228296672119E-2</c:v>
                </c:pt>
                <c:pt idx="1641">
                  <c:v>0.24832589438285435</c:v>
                </c:pt>
                <c:pt idx="1642">
                  <c:v>0.3723876855348312</c:v>
                </c:pt>
                <c:pt idx="1643">
                  <c:v>0.25990390908002931</c:v>
                </c:pt>
                <c:pt idx="1644">
                  <c:v>0.30650712978791961</c:v>
                </c:pt>
                <c:pt idx="1645">
                  <c:v>0.3325540851469807</c:v>
                </c:pt>
                <c:pt idx="1646">
                  <c:v>0.21535740648410867</c:v>
                </c:pt>
                <c:pt idx="1647">
                  <c:v>1.4484513976892793E-2</c:v>
                </c:pt>
                <c:pt idx="1648">
                  <c:v>0.28142412941921074</c:v>
                </c:pt>
                <c:pt idx="1649">
                  <c:v>0.23593288504699406</c:v>
                </c:pt>
                <c:pt idx="1650">
                  <c:v>0.26373571791173617</c:v>
                </c:pt>
                <c:pt idx="1651">
                  <c:v>0.49693691184066474</c:v>
                </c:pt>
                <c:pt idx="1652">
                  <c:v>6.2583593621776276E-2</c:v>
                </c:pt>
                <c:pt idx="1653">
                  <c:v>-8.8816294733349982E-3</c:v>
                </c:pt>
                <c:pt idx="1654">
                  <c:v>0.13460594693671271</c:v>
                </c:pt>
                <c:pt idx="1655">
                  <c:v>-3.472929054705956E-2</c:v>
                </c:pt>
                <c:pt idx="1656">
                  <c:v>0.31899022376776898</c:v>
                </c:pt>
                <c:pt idx="1657">
                  <c:v>0.13036997453796845</c:v>
                </c:pt>
                <c:pt idx="1658">
                  <c:v>0.23279487421477835</c:v>
                </c:pt>
                <c:pt idx="1659">
                  <c:v>0.27461251086935412</c:v>
                </c:pt>
                <c:pt idx="1660">
                  <c:v>0.17395442442395831</c:v>
                </c:pt>
                <c:pt idx="1661">
                  <c:v>0.13046374678743689</c:v>
                </c:pt>
                <c:pt idx="1662">
                  <c:v>0.46293412120689176</c:v>
                </c:pt>
                <c:pt idx="1663">
                  <c:v>0.47388570226218824</c:v>
                </c:pt>
                <c:pt idx="1664">
                  <c:v>-4.9885135083383485E-2</c:v>
                </c:pt>
                <c:pt idx="1665">
                  <c:v>0.33998760898407188</c:v>
                </c:pt>
                <c:pt idx="1666">
                  <c:v>0.13343022400743532</c:v>
                </c:pt>
                <c:pt idx="1667">
                  <c:v>0.17633315543601924</c:v>
                </c:pt>
                <c:pt idx="1668">
                  <c:v>0.33004869288415256</c:v>
                </c:pt>
                <c:pt idx="1669">
                  <c:v>0.68329762399220839</c:v>
                </c:pt>
                <c:pt idx="1670">
                  <c:v>-4.7147731159268014E-4</c:v>
                </c:pt>
                <c:pt idx="1671">
                  <c:v>0.29482590503341866</c:v>
                </c:pt>
                <c:pt idx="1672">
                  <c:v>0.21458845078438807</c:v>
                </c:pt>
                <c:pt idx="1673">
                  <c:v>1.7218975445419626E-2</c:v>
                </c:pt>
                <c:pt idx="1674">
                  <c:v>9.2279357795912176E-2</c:v>
                </c:pt>
                <c:pt idx="1675">
                  <c:v>1.7344849278646789E-2</c:v>
                </c:pt>
                <c:pt idx="1676">
                  <c:v>0.59287630051533202</c:v>
                </c:pt>
                <c:pt idx="1677">
                  <c:v>0.36332765629183378</c:v>
                </c:pt>
                <c:pt idx="1678">
                  <c:v>3.6910403700014492E-2</c:v>
                </c:pt>
                <c:pt idx="1679">
                  <c:v>0.2412751964538464</c:v>
                </c:pt>
                <c:pt idx="1680">
                  <c:v>-6.0850818069495861E-2</c:v>
                </c:pt>
                <c:pt idx="1681">
                  <c:v>-2.8346435442087092E-2</c:v>
                </c:pt>
                <c:pt idx="1682">
                  <c:v>4.7811092364345165E-2</c:v>
                </c:pt>
                <c:pt idx="1683">
                  <c:v>2.1388260530682077E-3</c:v>
                </c:pt>
                <c:pt idx="1684">
                  <c:v>0.24035330462247262</c:v>
                </c:pt>
                <c:pt idx="1685">
                  <c:v>0.32404574237991068</c:v>
                </c:pt>
                <c:pt idx="1686">
                  <c:v>0.34918986734233071</c:v>
                </c:pt>
                <c:pt idx="1687">
                  <c:v>-6.015930061600893E-2</c:v>
                </c:pt>
                <c:pt idx="1688">
                  <c:v>0.4432023030396085</c:v>
                </c:pt>
                <c:pt idx="1689">
                  <c:v>-4.0352307417194117E-2</c:v>
                </c:pt>
                <c:pt idx="1690">
                  <c:v>0.26385225566658438</c:v>
                </c:pt>
                <c:pt idx="1691">
                  <c:v>0.33947506201212319</c:v>
                </c:pt>
                <c:pt idx="1692">
                  <c:v>0.24652551884121732</c:v>
                </c:pt>
                <c:pt idx="1693">
                  <c:v>0.27022145538848719</c:v>
                </c:pt>
                <c:pt idx="1694">
                  <c:v>0.38186210088349831</c:v>
                </c:pt>
                <c:pt idx="1695">
                  <c:v>0.28801798580046495</c:v>
                </c:pt>
                <c:pt idx="1696">
                  <c:v>0.46479265146455634</c:v>
                </c:pt>
                <c:pt idx="1697">
                  <c:v>-1.9744457683970359E-2</c:v>
                </c:pt>
                <c:pt idx="1698">
                  <c:v>0.24967768319233455</c:v>
                </c:pt>
                <c:pt idx="1699">
                  <c:v>0.72850980731834714</c:v>
                </c:pt>
                <c:pt idx="1700">
                  <c:v>0.17701206072923828</c:v>
                </c:pt>
                <c:pt idx="1701">
                  <c:v>0.40681607952148308</c:v>
                </c:pt>
                <c:pt idx="1702">
                  <c:v>4.001921776358075E-2</c:v>
                </c:pt>
                <c:pt idx="1703">
                  <c:v>0.58827226510918129</c:v>
                </c:pt>
                <c:pt idx="1704">
                  <c:v>0.27911066558590936</c:v>
                </c:pt>
                <c:pt idx="1705">
                  <c:v>0.65537393136884092</c:v>
                </c:pt>
                <c:pt idx="1706">
                  <c:v>4.6953552276031957E-2</c:v>
                </c:pt>
                <c:pt idx="1707">
                  <c:v>0.1488347633824065</c:v>
                </c:pt>
                <c:pt idx="1708">
                  <c:v>0.13648484526602814</c:v>
                </c:pt>
                <c:pt idx="1709">
                  <c:v>0.28156304526840309</c:v>
                </c:pt>
                <c:pt idx="1710">
                  <c:v>0.27775894549074581</c:v>
                </c:pt>
                <c:pt idx="1711">
                  <c:v>1.4158737374185808E-3</c:v>
                </c:pt>
                <c:pt idx="1712">
                  <c:v>0.31422684579831978</c:v>
                </c:pt>
                <c:pt idx="1713">
                  <c:v>2.9296497890731084E-2</c:v>
                </c:pt>
                <c:pt idx="1714">
                  <c:v>-5.8758242956069573E-3</c:v>
                </c:pt>
                <c:pt idx="1715">
                  <c:v>0.41854126147540943</c:v>
                </c:pt>
                <c:pt idx="1716">
                  <c:v>0.3323806845503256</c:v>
                </c:pt>
                <c:pt idx="1717">
                  <c:v>0.36120673756987232</c:v>
                </c:pt>
                <c:pt idx="1718">
                  <c:v>0.15120758267511109</c:v>
                </c:pt>
                <c:pt idx="1719">
                  <c:v>0.13924727484216476</c:v>
                </c:pt>
                <c:pt idx="1720">
                  <c:v>0.2976568072878909</c:v>
                </c:pt>
                <c:pt idx="1721">
                  <c:v>-8.1068692508437679E-2</c:v>
                </c:pt>
                <c:pt idx="1722">
                  <c:v>-7.3060288161844039E-3</c:v>
                </c:pt>
                <c:pt idx="1723">
                  <c:v>0.29747482881555598</c:v>
                </c:pt>
                <c:pt idx="1724">
                  <c:v>-2.2369985031032574E-3</c:v>
                </c:pt>
                <c:pt idx="1725">
                  <c:v>0.42028949720514291</c:v>
                </c:pt>
                <c:pt idx="1726">
                  <c:v>0.8446956724185225</c:v>
                </c:pt>
                <c:pt idx="1727">
                  <c:v>-1.6268271889025687E-2</c:v>
                </c:pt>
                <c:pt idx="1728">
                  <c:v>-2.3419867624800222E-2</c:v>
                </c:pt>
                <c:pt idx="1729">
                  <c:v>0.27635579577348551</c:v>
                </c:pt>
                <c:pt idx="1730">
                  <c:v>0.21924189732594321</c:v>
                </c:pt>
                <c:pt idx="1731">
                  <c:v>0.32778109215938617</c:v>
                </c:pt>
                <c:pt idx="1732">
                  <c:v>4.4992737408334246E-2</c:v>
                </c:pt>
                <c:pt idx="1733">
                  <c:v>0.45587596057975338</c:v>
                </c:pt>
                <c:pt idx="1734">
                  <c:v>-8.7444762009105961E-2</c:v>
                </c:pt>
                <c:pt idx="1735">
                  <c:v>0.13352383265459591</c:v>
                </c:pt>
                <c:pt idx="1736">
                  <c:v>0.12721246738287562</c:v>
                </c:pt>
                <c:pt idx="1737">
                  <c:v>0.37901829001502491</c:v>
                </c:pt>
                <c:pt idx="1738">
                  <c:v>0.31344435589212138</c:v>
                </c:pt>
                <c:pt idx="1739">
                  <c:v>0.28339607683076684</c:v>
                </c:pt>
                <c:pt idx="1740">
                  <c:v>4.4572773639922993E-2</c:v>
                </c:pt>
                <c:pt idx="1741">
                  <c:v>0.6017616665528831</c:v>
                </c:pt>
                <c:pt idx="1742">
                  <c:v>0.2641583814425893</c:v>
                </c:pt>
                <c:pt idx="1743">
                  <c:v>5.0348263305168964E-2</c:v>
                </c:pt>
                <c:pt idx="1744">
                  <c:v>0.31408458746522661</c:v>
                </c:pt>
                <c:pt idx="1745">
                  <c:v>0.13777204073255059</c:v>
                </c:pt>
                <c:pt idx="1746">
                  <c:v>0.24389601167821601</c:v>
                </c:pt>
                <c:pt idx="1747">
                  <c:v>-4.8127963059543435E-2</c:v>
                </c:pt>
                <c:pt idx="1748">
                  <c:v>0.30852350194949441</c:v>
                </c:pt>
                <c:pt idx="1749">
                  <c:v>0.39382087326610221</c:v>
                </c:pt>
                <c:pt idx="1750">
                  <c:v>-8.951399000448923E-2</c:v>
                </c:pt>
                <c:pt idx="1751">
                  <c:v>0.5102751370558003</c:v>
                </c:pt>
                <c:pt idx="1752">
                  <c:v>0.14608748777476671</c:v>
                </c:pt>
                <c:pt idx="1753">
                  <c:v>6.4969097617143159E-2</c:v>
                </c:pt>
                <c:pt idx="1754">
                  <c:v>3.183479097993188E-2</c:v>
                </c:pt>
                <c:pt idx="1755">
                  <c:v>0.54591704875034519</c:v>
                </c:pt>
                <c:pt idx="1756">
                  <c:v>0.18538793292906047</c:v>
                </c:pt>
                <c:pt idx="1757">
                  <c:v>0.37112417905629064</c:v>
                </c:pt>
                <c:pt idx="1758">
                  <c:v>0.54286024882606088</c:v>
                </c:pt>
                <c:pt idx="1759">
                  <c:v>2.2186479005341223E-2</c:v>
                </c:pt>
                <c:pt idx="1760">
                  <c:v>8.1077864466720453E-3</c:v>
                </c:pt>
                <c:pt idx="1761">
                  <c:v>0.32693691896899335</c:v>
                </c:pt>
                <c:pt idx="1762">
                  <c:v>0.47160705374858319</c:v>
                </c:pt>
                <c:pt idx="1763">
                  <c:v>0.32799927374466931</c:v>
                </c:pt>
                <c:pt idx="1764">
                  <c:v>-5.3617332359023065E-2</c:v>
                </c:pt>
                <c:pt idx="1765">
                  <c:v>0.26512908905476029</c:v>
                </c:pt>
                <c:pt idx="1766">
                  <c:v>-5.8080420457823981E-2</c:v>
                </c:pt>
                <c:pt idx="1767">
                  <c:v>0.11663206232518782</c:v>
                </c:pt>
                <c:pt idx="1768">
                  <c:v>0.36710247543391822</c:v>
                </c:pt>
                <c:pt idx="1769">
                  <c:v>1.6643197987166902E-2</c:v>
                </c:pt>
                <c:pt idx="1770">
                  <c:v>-4.5401447100146812E-2</c:v>
                </c:pt>
                <c:pt idx="1771">
                  <c:v>0.27639219945394256</c:v>
                </c:pt>
                <c:pt idx="1772">
                  <c:v>0.69411104818592029</c:v>
                </c:pt>
                <c:pt idx="1773">
                  <c:v>4.9907214219923585E-2</c:v>
                </c:pt>
                <c:pt idx="1774">
                  <c:v>0.53219225575018758</c:v>
                </c:pt>
                <c:pt idx="1775">
                  <c:v>0.22350808407895584</c:v>
                </c:pt>
                <c:pt idx="1776">
                  <c:v>6.0477369938519612E-2</c:v>
                </c:pt>
                <c:pt idx="1777">
                  <c:v>0.25185459868661103</c:v>
                </c:pt>
                <c:pt idx="1778">
                  <c:v>0.20754611531785047</c:v>
                </c:pt>
                <c:pt idx="1779">
                  <c:v>0.25105146481470009</c:v>
                </c:pt>
                <c:pt idx="1780">
                  <c:v>0.29427568425808964</c:v>
                </c:pt>
                <c:pt idx="1781">
                  <c:v>0.41908728188801053</c:v>
                </c:pt>
                <c:pt idx="1782">
                  <c:v>-6.8564179695770576E-3</c:v>
                </c:pt>
                <c:pt idx="1783">
                  <c:v>0.33832544133474401</c:v>
                </c:pt>
                <c:pt idx="1784">
                  <c:v>2.3198352539076018E-2</c:v>
                </c:pt>
                <c:pt idx="1785">
                  <c:v>0.16917643549002023</c:v>
                </c:pt>
                <c:pt idx="1786">
                  <c:v>0.21704968733125285</c:v>
                </c:pt>
                <c:pt idx="1787">
                  <c:v>0.39279008709996943</c:v>
                </c:pt>
                <c:pt idx="1788">
                  <c:v>0.51664229251554483</c:v>
                </c:pt>
                <c:pt idx="1789">
                  <c:v>-2.4726734611006315E-3</c:v>
                </c:pt>
                <c:pt idx="1790">
                  <c:v>3.5783157924086949E-2</c:v>
                </c:pt>
                <c:pt idx="1791">
                  <c:v>0.37501760135331147</c:v>
                </c:pt>
                <c:pt idx="1792">
                  <c:v>0.40785694378851761</c:v>
                </c:pt>
                <c:pt idx="1793">
                  <c:v>0.32574751791679191</c:v>
                </c:pt>
                <c:pt idx="1794">
                  <c:v>3.3667522590086929E-2</c:v>
                </c:pt>
                <c:pt idx="1795">
                  <c:v>0.11005618807399695</c:v>
                </c:pt>
                <c:pt idx="1796">
                  <c:v>0.17978808244036446</c:v>
                </c:pt>
                <c:pt idx="1797">
                  <c:v>0.24498932845886051</c:v>
                </c:pt>
                <c:pt idx="1798">
                  <c:v>0.26975026409588931</c:v>
                </c:pt>
                <c:pt idx="1799">
                  <c:v>0.39436220331128435</c:v>
                </c:pt>
                <c:pt idx="1800">
                  <c:v>0.25450177800104851</c:v>
                </c:pt>
                <c:pt idx="1801">
                  <c:v>0.12912825761972618</c:v>
                </c:pt>
                <c:pt idx="1802">
                  <c:v>0.31911213306679381</c:v>
                </c:pt>
                <c:pt idx="1803">
                  <c:v>0.50208344850011843</c:v>
                </c:pt>
                <c:pt idx="1804">
                  <c:v>-4.3531707919427995E-3</c:v>
                </c:pt>
                <c:pt idx="1805">
                  <c:v>0.63861062191707829</c:v>
                </c:pt>
                <c:pt idx="1806">
                  <c:v>0.74440288282684641</c:v>
                </c:pt>
                <c:pt idx="1807">
                  <c:v>0.39738943458117365</c:v>
                </c:pt>
                <c:pt idx="1808">
                  <c:v>0.20821621541218957</c:v>
                </c:pt>
                <c:pt idx="1809">
                  <c:v>0.20012369829802035</c:v>
                </c:pt>
                <c:pt idx="1810">
                  <c:v>0.2426414722345642</c:v>
                </c:pt>
                <c:pt idx="1811">
                  <c:v>0.21043262476493024</c:v>
                </c:pt>
                <c:pt idx="1812">
                  <c:v>8.8738567836672361E-2</c:v>
                </c:pt>
                <c:pt idx="1813">
                  <c:v>0.26421361857525971</c:v>
                </c:pt>
                <c:pt idx="1814">
                  <c:v>0.31742388612566341</c:v>
                </c:pt>
                <c:pt idx="1815">
                  <c:v>0.39973479373807114</c:v>
                </c:pt>
                <c:pt idx="1816">
                  <c:v>0.44505395008192244</c:v>
                </c:pt>
                <c:pt idx="1817">
                  <c:v>0.28112413895926935</c:v>
                </c:pt>
                <c:pt idx="1818">
                  <c:v>0.45360927876312884</c:v>
                </c:pt>
                <c:pt idx="1819">
                  <c:v>1.5130599591374756E-2</c:v>
                </c:pt>
                <c:pt idx="1820">
                  <c:v>0.23079446448219257</c:v>
                </c:pt>
                <c:pt idx="1821">
                  <c:v>0.15689001471780128</c:v>
                </c:pt>
                <c:pt idx="1822">
                  <c:v>0.14364073116089296</c:v>
                </c:pt>
                <c:pt idx="1823">
                  <c:v>0.26699287885311906</c:v>
                </c:pt>
                <c:pt idx="1824">
                  <c:v>0.30971248788081396</c:v>
                </c:pt>
                <c:pt idx="1825">
                  <c:v>0.28477659290009044</c:v>
                </c:pt>
                <c:pt idx="1826">
                  <c:v>0.12855785539925627</c:v>
                </c:pt>
                <c:pt idx="1827">
                  <c:v>0.36511537580550774</c:v>
                </c:pt>
                <c:pt idx="1828">
                  <c:v>0.20940540098836721</c:v>
                </c:pt>
                <c:pt idx="1829">
                  <c:v>0.47605838804474515</c:v>
                </c:pt>
                <c:pt idx="1830">
                  <c:v>0.53833649688651031</c:v>
                </c:pt>
                <c:pt idx="1831">
                  <c:v>-3.6778884427320101E-2</c:v>
                </c:pt>
                <c:pt idx="1832">
                  <c:v>-6.0566759419765241E-2</c:v>
                </c:pt>
                <c:pt idx="1833">
                  <c:v>4.0508773195293543E-2</c:v>
                </c:pt>
                <c:pt idx="1834">
                  <c:v>-7.4783085923666323E-2</c:v>
                </c:pt>
                <c:pt idx="1835">
                  <c:v>0.27813192034663242</c:v>
                </c:pt>
                <c:pt idx="1836">
                  <c:v>0.15323675991663704</c:v>
                </c:pt>
                <c:pt idx="1837">
                  <c:v>0.1539767252043481</c:v>
                </c:pt>
                <c:pt idx="1838">
                  <c:v>0.31896116005997588</c:v>
                </c:pt>
                <c:pt idx="1839">
                  <c:v>-1.6098769935649685E-2</c:v>
                </c:pt>
                <c:pt idx="1840">
                  <c:v>-2.4272618464250363E-2</c:v>
                </c:pt>
                <c:pt idx="1841">
                  <c:v>0.4203963904519526</c:v>
                </c:pt>
                <c:pt idx="1842">
                  <c:v>0.19772228139799652</c:v>
                </c:pt>
                <c:pt idx="1843">
                  <c:v>0.31940921390282745</c:v>
                </c:pt>
                <c:pt idx="1844">
                  <c:v>0.24724515989468127</c:v>
                </c:pt>
                <c:pt idx="1845">
                  <c:v>0.35820359888993647</c:v>
                </c:pt>
                <c:pt idx="1846">
                  <c:v>-7.1864209348567618E-2</c:v>
                </c:pt>
                <c:pt idx="1847">
                  <c:v>0.49415763008942254</c:v>
                </c:pt>
                <c:pt idx="1848">
                  <c:v>0.34797748972292902</c:v>
                </c:pt>
                <c:pt idx="1849">
                  <c:v>0.59028025674281481</c:v>
                </c:pt>
                <c:pt idx="1850">
                  <c:v>0.19239541315048092</c:v>
                </c:pt>
                <c:pt idx="1851">
                  <c:v>-2.3537615950239704E-2</c:v>
                </c:pt>
                <c:pt idx="1852">
                  <c:v>0.33796413388127244</c:v>
                </c:pt>
                <c:pt idx="1853">
                  <c:v>8.7759480180724325E-2</c:v>
                </c:pt>
                <c:pt idx="1854">
                  <c:v>0.21055534679044119</c:v>
                </c:pt>
                <c:pt idx="1855">
                  <c:v>0.12597073500556349</c:v>
                </c:pt>
                <c:pt idx="1856">
                  <c:v>3.2085860917182414E-2</c:v>
                </c:pt>
                <c:pt idx="1857">
                  <c:v>0.16527489758493663</c:v>
                </c:pt>
                <c:pt idx="1858">
                  <c:v>0.3301335900264582</c:v>
                </c:pt>
                <c:pt idx="1859">
                  <c:v>0.371148983186879</c:v>
                </c:pt>
                <c:pt idx="1860">
                  <c:v>0.29067931479898462</c:v>
                </c:pt>
                <c:pt idx="1861">
                  <c:v>-2.6243533108529796E-2</c:v>
                </c:pt>
                <c:pt idx="1862">
                  <c:v>6.5772031974911049E-2</c:v>
                </c:pt>
                <c:pt idx="1863">
                  <c:v>0.27834699373728511</c:v>
                </c:pt>
                <c:pt idx="1864">
                  <c:v>0.23690167366448842</c:v>
                </c:pt>
                <c:pt idx="1865">
                  <c:v>0.40556559724936259</c:v>
                </c:pt>
                <c:pt idx="1866">
                  <c:v>-2.6754912270222989E-2</c:v>
                </c:pt>
                <c:pt idx="1867">
                  <c:v>0.28935434440800173</c:v>
                </c:pt>
                <c:pt idx="1868">
                  <c:v>0.54625782105917231</c:v>
                </c:pt>
                <c:pt idx="1869">
                  <c:v>0.41870216432137614</c:v>
                </c:pt>
                <c:pt idx="1870">
                  <c:v>-2.4681401305217884E-2</c:v>
                </c:pt>
                <c:pt idx="1871">
                  <c:v>0.21079504582627537</c:v>
                </c:pt>
                <c:pt idx="1872">
                  <c:v>0.46684733412969792</c:v>
                </c:pt>
                <c:pt idx="1873">
                  <c:v>0.68655031064978578</c:v>
                </c:pt>
                <c:pt idx="1874">
                  <c:v>0.38365019933218825</c:v>
                </c:pt>
                <c:pt idx="1875">
                  <c:v>0.20539648303890351</c:v>
                </c:pt>
                <c:pt idx="1876">
                  <c:v>0.25460118588894259</c:v>
                </c:pt>
                <c:pt idx="1877">
                  <c:v>4.732897659451589E-2</c:v>
                </c:pt>
                <c:pt idx="1878">
                  <c:v>0.32568792045639788</c:v>
                </c:pt>
                <c:pt idx="1879">
                  <c:v>-5.4758250506113659E-4</c:v>
                </c:pt>
                <c:pt idx="1880">
                  <c:v>0.34328232562376482</c:v>
                </c:pt>
                <c:pt idx="1881">
                  <c:v>0.45168410046822161</c:v>
                </c:pt>
                <c:pt idx="1882">
                  <c:v>0.33891809361183683</c:v>
                </c:pt>
                <c:pt idx="1883">
                  <c:v>0.22162905704000452</c:v>
                </c:pt>
                <c:pt idx="1884">
                  <c:v>0.26341538529266989</c:v>
                </c:pt>
                <c:pt idx="1885">
                  <c:v>0.35878621204264871</c:v>
                </c:pt>
                <c:pt idx="1886">
                  <c:v>0.33609437910228085</c:v>
                </c:pt>
                <c:pt idx="1887">
                  <c:v>0.49281441918711327</c:v>
                </c:pt>
                <c:pt idx="1888">
                  <c:v>0.14578754442517097</c:v>
                </c:pt>
                <c:pt idx="1889">
                  <c:v>0.24908723690359652</c:v>
                </c:pt>
                <c:pt idx="1890">
                  <c:v>0.35765722213105555</c:v>
                </c:pt>
                <c:pt idx="1891">
                  <c:v>0.34694084557147503</c:v>
                </c:pt>
                <c:pt idx="1892">
                  <c:v>0.26721498474847594</c:v>
                </c:pt>
                <c:pt idx="1893">
                  <c:v>0.43759979684992051</c:v>
                </c:pt>
                <c:pt idx="1894">
                  <c:v>0.45891388543161071</c:v>
                </c:pt>
                <c:pt idx="1895">
                  <c:v>0.12917151336765331</c:v>
                </c:pt>
                <c:pt idx="1896">
                  <c:v>0.40026164542187898</c:v>
                </c:pt>
                <c:pt idx="1897">
                  <c:v>0.20345314988171773</c:v>
                </c:pt>
                <c:pt idx="1898">
                  <c:v>0.40461279825164215</c:v>
                </c:pt>
                <c:pt idx="1899">
                  <c:v>0.23047466479496248</c:v>
                </c:pt>
                <c:pt idx="1900">
                  <c:v>7.2896073292540775E-2</c:v>
                </c:pt>
                <c:pt idx="1901">
                  <c:v>0.22603385368775625</c:v>
                </c:pt>
                <c:pt idx="1902">
                  <c:v>0.3668840978038681</c:v>
                </c:pt>
                <c:pt idx="1903">
                  <c:v>6.4593893538896524E-2</c:v>
                </c:pt>
                <c:pt idx="1904">
                  <c:v>-5.6748099072481413E-2</c:v>
                </c:pt>
                <c:pt idx="1905">
                  <c:v>0.26814276175740193</c:v>
                </c:pt>
                <c:pt idx="1906">
                  <c:v>-7.9431437721420417E-2</c:v>
                </c:pt>
                <c:pt idx="1907">
                  <c:v>0.33982905773047339</c:v>
                </c:pt>
                <c:pt idx="1908">
                  <c:v>5.4659512153445715E-2</c:v>
                </c:pt>
                <c:pt idx="1909">
                  <c:v>0.51565468905914102</c:v>
                </c:pt>
                <c:pt idx="1910">
                  <c:v>6.3404452503210917E-2</c:v>
                </c:pt>
                <c:pt idx="1911">
                  <c:v>6.8320026809171569E-2</c:v>
                </c:pt>
                <c:pt idx="1912">
                  <c:v>0.2153926273005374</c:v>
                </c:pt>
                <c:pt idx="1913">
                  <c:v>-3.0138870700798851E-2</c:v>
                </c:pt>
                <c:pt idx="1914">
                  <c:v>0.13410520730998143</c:v>
                </c:pt>
                <c:pt idx="1915">
                  <c:v>0.39678498252995087</c:v>
                </c:pt>
                <c:pt idx="1916">
                  <c:v>-1.3418912623381143E-3</c:v>
                </c:pt>
                <c:pt idx="1917">
                  <c:v>0.13394298803566868</c:v>
                </c:pt>
                <c:pt idx="1918">
                  <c:v>0.22344681638883912</c:v>
                </c:pt>
                <c:pt idx="1919">
                  <c:v>0.33734527860725716</c:v>
                </c:pt>
                <c:pt idx="1920">
                  <c:v>0.14333628683375782</c:v>
                </c:pt>
                <c:pt idx="1921">
                  <c:v>1.7948421225173712E-2</c:v>
                </c:pt>
                <c:pt idx="1922">
                  <c:v>0.28923831926197247</c:v>
                </c:pt>
                <c:pt idx="1923">
                  <c:v>-3.3284632083804833E-2</c:v>
                </c:pt>
                <c:pt idx="1924">
                  <c:v>-7.0541450613506598E-2</c:v>
                </c:pt>
                <c:pt idx="1925">
                  <c:v>0.37778198189426448</c:v>
                </c:pt>
                <c:pt idx="1926">
                  <c:v>0.33299191513301396</c:v>
                </c:pt>
                <c:pt idx="1927">
                  <c:v>0.23175025598364285</c:v>
                </c:pt>
                <c:pt idx="1928">
                  <c:v>0.42576222598804692</c:v>
                </c:pt>
                <c:pt idx="1929">
                  <c:v>-6.8103589118184496E-2</c:v>
                </c:pt>
                <c:pt idx="1930">
                  <c:v>0.46848455909941555</c:v>
                </c:pt>
                <c:pt idx="1931">
                  <c:v>-7.6724597023932251E-2</c:v>
                </c:pt>
                <c:pt idx="1932">
                  <c:v>0.39003295925115544</c:v>
                </c:pt>
                <c:pt idx="1933">
                  <c:v>0.23754608675293973</c:v>
                </c:pt>
                <c:pt idx="1934">
                  <c:v>7.1338425275176906E-2</c:v>
                </c:pt>
                <c:pt idx="1935">
                  <c:v>0.51145183902502356</c:v>
                </c:pt>
                <c:pt idx="1936">
                  <c:v>0.25727065819751266</c:v>
                </c:pt>
                <c:pt idx="1937">
                  <c:v>0.36789175453718892</c:v>
                </c:pt>
                <c:pt idx="1938">
                  <c:v>0.71151727019779243</c:v>
                </c:pt>
                <c:pt idx="1939">
                  <c:v>0.15374008506759959</c:v>
                </c:pt>
                <c:pt idx="1940">
                  <c:v>0.48533613473901277</c:v>
                </c:pt>
                <c:pt idx="1941">
                  <c:v>-8.2233736883802103E-2</c:v>
                </c:pt>
                <c:pt idx="1942">
                  <c:v>0.31168656373213105</c:v>
                </c:pt>
                <c:pt idx="1943">
                  <c:v>0.25051051919999179</c:v>
                </c:pt>
                <c:pt idx="1944">
                  <c:v>0.24703434024967263</c:v>
                </c:pt>
                <c:pt idx="1945">
                  <c:v>0.29965550959578147</c:v>
                </c:pt>
                <c:pt idx="1946">
                  <c:v>0.23088312978946635</c:v>
                </c:pt>
                <c:pt idx="1947">
                  <c:v>8.3737146627191519E-2</c:v>
                </c:pt>
                <c:pt idx="1948">
                  <c:v>0.16046565572516489</c:v>
                </c:pt>
                <c:pt idx="1949">
                  <c:v>0.12223245311144455</c:v>
                </c:pt>
                <c:pt idx="1950">
                  <c:v>2.9766316834415121E-3</c:v>
                </c:pt>
                <c:pt idx="1951">
                  <c:v>0.32246995668944656</c:v>
                </c:pt>
                <c:pt idx="1952">
                  <c:v>-4.2748644993676019E-2</c:v>
                </c:pt>
                <c:pt idx="1953">
                  <c:v>0.18196136821080602</c:v>
                </c:pt>
                <c:pt idx="1954">
                  <c:v>0.45917470731765597</c:v>
                </c:pt>
                <c:pt idx="1955">
                  <c:v>8.5815486329843205E-2</c:v>
                </c:pt>
                <c:pt idx="1956">
                  <c:v>-4.491271635054489E-2</c:v>
                </c:pt>
                <c:pt idx="1957">
                  <c:v>0.17126608403803001</c:v>
                </c:pt>
                <c:pt idx="1958">
                  <c:v>0.15887157389172613</c:v>
                </c:pt>
                <c:pt idx="1959">
                  <c:v>0.29719224723722082</c:v>
                </c:pt>
                <c:pt idx="1960">
                  <c:v>0.42403965871636112</c:v>
                </c:pt>
                <c:pt idx="1961">
                  <c:v>0.34782809140347404</c:v>
                </c:pt>
                <c:pt idx="1962">
                  <c:v>0.16063355218297184</c:v>
                </c:pt>
                <c:pt idx="1963">
                  <c:v>0.25637105926861148</c:v>
                </c:pt>
                <c:pt idx="1964">
                  <c:v>0.29886808818712829</c:v>
                </c:pt>
                <c:pt idx="1965">
                  <c:v>-8.693137994646051E-2</c:v>
                </c:pt>
                <c:pt idx="1966">
                  <c:v>0.15997374272232545</c:v>
                </c:pt>
                <c:pt idx="1967">
                  <c:v>0.29496847780983887</c:v>
                </c:pt>
                <c:pt idx="1968">
                  <c:v>4.6626497201481612E-2</c:v>
                </c:pt>
                <c:pt idx="1969">
                  <c:v>0.29227335492074269</c:v>
                </c:pt>
                <c:pt idx="1970">
                  <c:v>0.23987483278511218</c:v>
                </c:pt>
                <c:pt idx="1971">
                  <c:v>0.12187414427701293</c:v>
                </c:pt>
                <c:pt idx="1972">
                  <c:v>0.28434519778279688</c:v>
                </c:pt>
                <c:pt idx="1973">
                  <c:v>5.0809404279478547E-2</c:v>
                </c:pt>
                <c:pt idx="1974">
                  <c:v>0.4125084421410582</c:v>
                </c:pt>
                <c:pt idx="1975">
                  <c:v>0.16006610814001915</c:v>
                </c:pt>
                <c:pt idx="1976">
                  <c:v>0.11872858022252768</c:v>
                </c:pt>
                <c:pt idx="1977">
                  <c:v>0.26935542305376664</c:v>
                </c:pt>
                <c:pt idx="1978">
                  <c:v>0.22256649082855209</c:v>
                </c:pt>
                <c:pt idx="1979">
                  <c:v>1.288736483207778E-3</c:v>
                </c:pt>
                <c:pt idx="1980">
                  <c:v>7.558965771025819E-2</c:v>
                </c:pt>
                <c:pt idx="1981">
                  <c:v>8.0647813106945326E-2</c:v>
                </c:pt>
                <c:pt idx="1982">
                  <c:v>0.21750061491027511</c:v>
                </c:pt>
                <c:pt idx="1983">
                  <c:v>0.3858250512496561</c:v>
                </c:pt>
                <c:pt idx="1984">
                  <c:v>5.6031706181793088E-2</c:v>
                </c:pt>
                <c:pt idx="1985">
                  <c:v>0.37121805063584595</c:v>
                </c:pt>
                <c:pt idx="1986">
                  <c:v>5.4624837942624585E-3</c:v>
                </c:pt>
                <c:pt idx="1987">
                  <c:v>0.5642400528628061</c:v>
                </c:pt>
                <c:pt idx="1988">
                  <c:v>0.31410575501843774</c:v>
                </c:pt>
                <c:pt idx="1989">
                  <c:v>0.29680891660830538</c:v>
                </c:pt>
                <c:pt idx="1990">
                  <c:v>0.15642213188518092</c:v>
                </c:pt>
                <c:pt idx="1991">
                  <c:v>0.28807217326169732</c:v>
                </c:pt>
                <c:pt idx="1992">
                  <c:v>4.8721038635280697E-2</c:v>
                </c:pt>
                <c:pt idx="1993">
                  <c:v>0.10205545656362418</c:v>
                </c:pt>
                <c:pt idx="1994">
                  <c:v>0.21643145639927899</c:v>
                </c:pt>
                <c:pt idx="1995">
                  <c:v>0.2083993482452243</c:v>
                </c:pt>
                <c:pt idx="1996">
                  <c:v>0.38213566719683334</c:v>
                </c:pt>
                <c:pt idx="1997">
                  <c:v>-4.6155355527932457E-2</c:v>
                </c:pt>
                <c:pt idx="1998">
                  <c:v>0.36890239674945857</c:v>
                </c:pt>
                <c:pt idx="1999">
                  <c:v>0.4971657732053692</c:v>
                </c:pt>
                <c:pt idx="2000">
                  <c:v>0.281968225471662</c:v>
                </c:pt>
                <c:pt idx="2001">
                  <c:v>0.32373998692187966</c:v>
                </c:pt>
                <c:pt idx="2002">
                  <c:v>0.31745440808775388</c:v>
                </c:pt>
                <c:pt idx="2003">
                  <c:v>0.18103030694541919</c:v>
                </c:pt>
                <c:pt idx="2004">
                  <c:v>0.18194174319006334</c:v>
                </c:pt>
                <c:pt idx="2005">
                  <c:v>0.21474958533088689</c:v>
                </c:pt>
                <c:pt idx="2006">
                  <c:v>7.3883155628865049E-2</c:v>
                </c:pt>
                <c:pt idx="2007">
                  <c:v>0.43700719540078653</c:v>
                </c:pt>
                <c:pt idx="2008">
                  <c:v>0.38176076279031279</c:v>
                </c:pt>
                <c:pt idx="2009">
                  <c:v>2.3817086125344639E-4</c:v>
                </c:pt>
                <c:pt idx="2010">
                  <c:v>0.48332843911870754</c:v>
                </c:pt>
                <c:pt idx="2011">
                  <c:v>0.17750318858294262</c:v>
                </c:pt>
                <c:pt idx="2012">
                  <c:v>5.0402516128825355E-2</c:v>
                </c:pt>
                <c:pt idx="2013">
                  <c:v>0.55672856077171184</c:v>
                </c:pt>
                <c:pt idx="2014">
                  <c:v>-3.660099146160975E-2</c:v>
                </c:pt>
                <c:pt idx="2015">
                  <c:v>0.4140738617442431</c:v>
                </c:pt>
                <c:pt idx="2016">
                  <c:v>0.53345751908753591</c:v>
                </c:pt>
                <c:pt idx="2017">
                  <c:v>0.14880995973443739</c:v>
                </c:pt>
                <c:pt idx="2018">
                  <c:v>8.4953767209227288E-2</c:v>
                </c:pt>
                <c:pt idx="2019">
                  <c:v>0.34740930653895957</c:v>
                </c:pt>
                <c:pt idx="2020">
                  <c:v>0.3638978102451752</c:v>
                </c:pt>
                <c:pt idx="2021">
                  <c:v>0.74800969207104706</c:v>
                </c:pt>
                <c:pt idx="2022">
                  <c:v>8.9997816335210978E-2</c:v>
                </c:pt>
                <c:pt idx="2023">
                  <c:v>1.2005909865419884E-2</c:v>
                </c:pt>
                <c:pt idx="2024">
                  <c:v>0.2421944014568449</c:v>
                </c:pt>
                <c:pt idx="2025">
                  <c:v>0.41385079725519397</c:v>
                </c:pt>
                <c:pt idx="2026">
                  <c:v>0.42298031268644171</c:v>
                </c:pt>
                <c:pt idx="2027">
                  <c:v>0.52421471305709966</c:v>
                </c:pt>
                <c:pt idx="2028">
                  <c:v>0.31578666816656364</c:v>
                </c:pt>
                <c:pt idx="2029">
                  <c:v>0.41137028869642306</c:v>
                </c:pt>
                <c:pt idx="2030">
                  <c:v>0.27829108633952765</c:v>
                </c:pt>
                <c:pt idx="2031">
                  <c:v>0.61211474872079463</c:v>
                </c:pt>
                <c:pt idx="2032">
                  <c:v>-6.3590726338450837E-2</c:v>
                </c:pt>
                <c:pt idx="2033">
                  <c:v>0.52010868821529621</c:v>
                </c:pt>
                <c:pt idx="2034">
                  <c:v>0.24815919646523224</c:v>
                </c:pt>
                <c:pt idx="2035">
                  <c:v>0.52981292381063705</c:v>
                </c:pt>
                <c:pt idx="2036">
                  <c:v>0.29459752345984019</c:v>
                </c:pt>
                <c:pt idx="2037">
                  <c:v>5.4208120880392702E-2</c:v>
                </c:pt>
                <c:pt idx="2038">
                  <c:v>0.33845432636894474</c:v>
                </c:pt>
                <c:pt idx="2039">
                  <c:v>0.13245835322755223</c:v>
                </c:pt>
                <c:pt idx="2040">
                  <c:v>0.22664676202611508</c:v>
                </c:pt>
                <c:pt idx="2041">
                  <c:v>8.4564799757681136E-2</c:v>
                </c:pt>
                <c:pt idx="2042">
                  <c:v>7.3175325428280258E-2</c:v>
                </c:pt>
                <c:pt idx="2043">
                  <c:v>0.27474282725282778</c:v>
                </c:pt>
                <c:pt idx="2044">
                  <c:v>0.20290044322084266</c:v>
                </c:pt>
                <c:pt idx="2045">
                  <c:v>0.29901432722664784</c:v>
                </c:pt>
                <c:pt idx="2046">
                  <c:v>0.39335797781080811</c:v>
                </c:pt>
                <c:pt idx="2047">
                  <c:v>0.14540764987105906</c:v>
                </c:pt>
                <c:pt idx="2048">
                  <c:v>0.26621091719518652</c:v>
                </c:pt>
                <c:pt idx="2049">
                  <c:v>0.31683464348243584</c:v>
                </c:pt>
                <c:pt idx="2050">
                  <c:v>0.18508936914349744</c:v>
                </c:pt>
                <c:pt idx="2051">
                  <c:v>0.17141944752790253</c:v>
                </c:pt>
                <c:pt idx="2052">
                  <c:v>0.58114969001298811</c:v>
                </c:pt>
                <c:pt idx="2053">
                  <c:v>0.47063907818506251</c:v>
                </c:pt>
                <c:pt idx="2054">
                  <c:v>0.17168544154113743</c:v>
                </c:pt>
                <c:pt idx="2055">
                  <c:v>0.22703876151520797</c:v>
                </c:pt>
                <c:pt idx="2056">
                  <c:v>0.21235244531858827</c:v>
                </c:pt>
                <c:pt idx="2057">
                  <c:v>4.1992247417010735E-2</c:v>
                </c:pt>
                <c:pt idx="2058">
                  <c:v>0.34196204548231346</c:v>
                </c:pt>
                <c:pt idx="2059">
                  <c:v>0.16343221587071488</c:v>
                </c:pt>
                <c:pt idx="2060">
                  <c:v>4.6438763692841452E-2</c:v>
                </c:pt>
                <c:pt idx="2061">
                  <c:v>8.2295532819486733E-2</c:v>
                </c:pt>
                <c:pt idx="2062">
                  <c:v>-4.9727669788190168E-2</c:v>
                </c:pt>
                <c:pt idx="2063">
                  <c:v>-4.7608320793829609E-2</c:v>
                </c:pt>
                <c:pt idx="2064">
                  <c:v>8.0918267204320493E-2</c:v>
                </c:pt>
                <c:pt idx="2065">
                  <c:v>0.40500992507867922</c:v>
                </c:pt>
                <c:pt idx="2066">
                  <c:v>0.23649730140674069</c:v>
                </c:pt>
                <c:pt idx="2067">
                  <c:v>0.30308622679446667</c:v>
                </c:pt>
                <c:pt idx="2068">
                  <c:v>0.46506036111684462</c:v>
                </c:pt>
                <c:pt idx="2069">
                  <c:v>5.1998630895365536E-2</c:v>
                </c:pt>
                <c:pt idx="2070">
                  <c:v>7.9774876686886459E-2</c:v>
                </c:pt>
                <c:pt idx="2071">
                  <c:v>0.11959196514159325</c:v>
                </c:pt>
                <c:pt idx="2072">
                  <c:v>0.43418486447394389</c:v>
                </c:pt>
                <c:pt idx="2073">
                  <c:v>0.20825916366443997</c:v>
                </c:pt>
                <c:pt idx="2074">
                  <c:v>0.4029516978810519</c:v>
                </c:pt>
                <c:pt idx="2075">
                  <c:v>0.3530631363732476</c:v>
                </c:pt>
                <c:pt idx="2076">
                  <c:v>0.30778408144355723</c:v>
                </c:pt>
                <c:pt idx="2077">
                  <c:v>0.25187790959895606</c:v>
                </c:pt>
                <c:pt idx="2078">
                  <c:v>4.8798748018810553E-2</c:v>
                </c:pt>
                <c:pt idx="2079">
                  <c:v>0.3138077953307446</c:v>
                </c:pt>
                <c:pt idx="2080">
                  <c:v>0.30843590209307148</c:v>
                </c:pt>
                <c:pt idx="2081">
                  <c:v>0.30345249881077491</c:v>
                </c:pt>
                <c:pt idx="2082">
                  <c:v>0.26783426468482568</c:v>
                </c:pt>
                <c:pt idx="2083">
                  <c:v>7.8514444933080477E-2</c:v>
                </c:pt>
                <c:pt idx="2084">
                  <c:v>0.23984108870902371</c:v>
                </c:pt>
                <c:pt idx="2085">
                  <c:v>0.41535505971041603</c:v>
                </c:pt>
                <c:pt idx="2086">
                  <c:v>0.30202560437423065</c:v>
                </c:pt>
                <c:pt idx="2087">
                  <c:v>0.21599501085830253</c:v>
                </c:pt>
                <c:pt idx="2088">
                  <c:v>0.63822477237483655</c:v>
                </c:pt>
                <c:pt idx="2089">
                  <c:v>0.22482310402968744</c:v>
                </c:pt>
                <c:pt idx="2090">
                  <c:v>0.27673196600000127</c:v>
                </c:pt>
                <c:pt idx="2091">
                  <c:v>0.13267241103618765</c:v>
                </c:pt>
                <c:pt idx="2092">
                  <c:v>0.3465598304760677</c:v>
                </c:pt>
                <c:pt idx="2093">
                  <c:v>-6.7970475164898958E-2</c:v>
                </c:pt>
                <c:pt idx="2094">
                  <c:v>0.42541163009998995</c:v>
                </c:pt>
                <c:pt idx="2095">
                  <c:v>0.11898144557651363</c:v>
                </c:pt>
                <c:pt idx="2096">
                  <c:v>9.8801788373896776E-2</c:v>
                </c:pt>
                <c:pt idx="2097">
                  <c:v>0.4023755885479392</c:v>
                </c:pt>
                <c:pt idx="2098">
                  <c:v>0.3500726679376594</c:v>
                </c:pt>
                <c:pt idx="2099">
                  <c:v>0.21283768327531027</c:v>
                </c:pt>
                <c:pt idx="2100">
                  <c:v>0.19106866729691016</c:v>
                </c:pt>
                <c:pt idx="2101">
                  <c:v>-8.1966752472192983E-2</c:v>
                </c:pt>
                <c:pt idx="2102">
                  <c:v>0.20400592494807279</c:v>
                </c:pt>
                <c:pt idx="2103">
                  <c:v>0.30751069197226744</c:v>
                </c:pt>
                <c:pt idx="2104">
                  <c:v>0.35236630322684076</c:v>
                </c:pt>
                <c:pt idx="2105">
                  <c:v>0.34315133782386625</c:v>
                </c:pt>
                <c:pt idx="2106">
                  <c:v>6.6034453631161172E-2</c:v>
                </c:pt>
                <c:pt idx="2107">
                  <c:v>0.17611530268846537</c:v>
                </c:pt>
                <c:pt idx="2108">
                  <c:v>0.22638342270246886</c:v>
                </c:pt>
                <c:pt idx="2109">
                  <c:v>0.44554864286371654</c:v>
                </c:pt>
                <c:pt idx="2110">
                  <c:v>0.37318924468281151</c:v>
                </c:pt>
                <c:pt idx="2111">
                  <c:v>2.2002646310337846E-2</c:v>
                </c:pt>
                <c:pt idx="2112">
                  <c:v>0.72711994240590572</c:v>
                </c:pt>
                <c:pt idx="2113">
                  <c:v>0.26221871009092024</c:v>
                </c:pt>
                <c:pt idx="2114">
                  <c:v>0.23182244134836383</c:v>
                </c:pt>
                <c:pt idx="2115">
                  <c:v>5.1788011930060177E-2</c:v>
                </c:pt>
                <c:pt idx="2116">
                  <c:v>0.34469815028786771</c:v>
                </c:pt>
                <c:pt idx="2117">
                  <c:v>0.3841041399468072</c:v>
                </c:pt>
                <c:pt idx="2118">
                  <c:v>0.18628530671854307</c:v>
                </c:pt>
                <c:pt idx="2119">
                  <c:v>0.13772369496272555</c:v>
                </c:pt>
                <c:pt idx="2120">
                  <c:v>0.23335919668774507</c:v>
                </c:pt>
                <c:pt idx="2121">
                  <c:v>0.24880111777752906</c:v>
                </c:pt>
                <c:pt idx="2122">
                  <c:v>0.26684409918998597</c:v>
                </c:pt>
                <c:pt idx="2123">
                  <c:v>2.9852548089209785E-2</c:v>
                </c:pt>
                <c:pt idx="2124">
                  <c:v>2.8936694088647123E-2</c:v>
                </c:pt>
                <c:pt idx="2125">
                  <c:v>8.7201324704675148E-2</c:v>
                </c:pt>
                <c:pt idx="2126">
                  <c:v>0.39102074130955272</c:v>
                </c:pt>
                <c:pt idx="2127">
                  <c:v>0.37532051528447591</c:v>
                </c:pt>
                <c:pt idx="2128">
                  <c:v>5.343249226294193E-2</c:v>
                </c:pt>
                <c:pt idx="2129">
                  <c:v>0.53573388195489124</c:v>
                </c:pt>
                <c:pt idx="2130">
                  <c:v>0.34509976470367998</c:v>
                </c:pt>
                <c:pt idx="2131">
                  <c:v>0.15029153764125674</c:v>
                </c:pt>
                <c:pt idx="2132">
                  <c:v>0.31475294532028714</c:v>
                </c:pt>
                <c:pt idx="2133">
                  <c:v>0.21411062216173701</c:v>
                </c:pt>
                <c:pt idx="2134">
                  <c:v>0.1842834156658007</c:v>
                </c:pt>
                <c:pt idx="2135">
                  <c:v>0.11951785340140304</c:v>
                </c:pt>
                <c:pt idx="2136">
                  <c:v>0.14930759457468862</c:v>
                </c:pt>
                <c:pt idx="2137">
                  <c:v>0.37927553745448261</c:v>
                </c:pt>
                <c:pt idx="2138">
                  <c:v>5.380580654090699E-2</c:v>
                </c:pt>
                <c:pt idx="2139">
                  <c:v>0.38568300440934011</c:v>
                </c:pt>
                <c:pt idx="2140">
                  <c:v>0.32302323083764195</c:v>
                </c:pt>
                <c:pt idx="2141">
                  <c:v>0.60733590745054344</c:v>
                </c:pt>
                <c:pt idx="2142">
                  <c:v>0.32714054989911151</c:v>
                </c:pt>
                <c:pt idx="2143">
                  <c:v>0.3561240241249134</c:v>
                </c:pt>
                <c:pt idx="2144">
                  <c:v>-2.7743902618359458E-2</c:v>
                </c:pt>
                <c:pt idx="2145">
                  <c:v>1.1385935183859303E-2</c:v>
                </c:pt>
                <c:pt idx="2146">
                  <c:v>0.44186930059223373</c:v>
                </c:pt>
                <c:pt idx="2147">
                  <c:v>-8.1873324960501842E-2</c:v>
                </c:pt>
                <c:pt idx="2148">
                  <c:v>0.30030240566625177</c:v>
                </c:pt>
                <c:pt idx="2149">
                  <c:v>-2.7406644253209697E-2</c:v>
                </c:pt>
                <c:pt idx="2150">
                  <c:v>0.19882328758911497</c:v>
                </c:pt>
                <c:pt idx="2151">
                  <c:v>0.24873879301124788</c:v>
                </c:pt>
                <c:pt idx="2152">
                  <c:v>0.31119201889883058</c:v>
                </c:pt>
                <c:pt idx="2153">
                  <c:v>0.29094872601703164</c:v>
                </c:pt>
                <c:pt idx="2154">
                  <c:v>-1.9108697238946724E-2</c:v>
                </c:pt>
                <c:pt idx="2155">
                  <c:v>0.18329055057787322</c:v>
                </c:pt>
                <c:pt idx="2156">
                  <c:v>0.25746496976122479</c:v>
                </c:pt>
                <c:pt idx="2157">
                  <c:v>0.23878713130038887</c:v>
                </c:pt>
                <c:pt idx="2158">
                  <c:v>0.22152736394517955</c:v>
                </c:pt>
                <c:pt idx="2159">
                  <c:v>0.11578496645672016</c:v>
                </c:pt>
                <c:pt idx="2160">
                  <c:v>0.28380003169895868</c:v>
                </c:pt>
                <c:pt idx="2161">
                  <c:v>0.33742024497406087</c:v>
                </c:pt>
                <c:pt idx="2162">
                  <c:v>0.19455998749247386</c:v>
                </c:pt>
                <c:pt idx="2163">
                  <c:v>4.7603089413198109E-2</c:v>
                </c:pt>
                <c:pt idx="2164">
                  <c:v>-6.0376705374136024E-2</c:v>
                </c:pt>
                <c:pt idx="2165">
                  <c:v>0.13349647984977511</c:v>
                </c:pt>
                <c:pt idx="2166">
                  <c:v>2.5291979271077444E-2</c:v>
                </c:pt>
                <c:pt idx="2167">
                  <c:v>0.20675026502033905</c:v>
                </c:pt>
                <c:pt idx="2168">
                  <c:v>0.20387547741000706</c:v>
                </c:pt>
                <c:pt idx="2169">
                  <c:v>0.13522013115974513</c:v>
                </c:pt>
                <c:pt idx="2170">
                  <c:v>0.19276793296283384</c:v>
                </c:pt>
                <c:pt idx="2171">
                  <c:v>0.41376802830422799</c:v>
                </c:pt>
                <c:pt idx="2172">
                  <c:v>0.25716154198303964</c:v>
                </c:pt>
                <c:pt idx="2173">
                  <c:v>0.28048214961749529</c:v>
                </c:pt>
                <c:pt idx="2174">
                  <c:v>4.9765632836706368E-2</c:v>
                </c:pt>
                <c:pt idx="2175">
                  <c:v>0.2720274878587966</c:v>
                </c:pt>
                <c:pt idx="2176">
                  <c:v>0.671381986359051</c:v>
                </c:pt>
                <c:pt idx="2177">
                  <c:v>0.16326379970947569</c:v>
                </c:pt>
                <c:pt idx="2178">
                  <c:v>0.30433797820565217</c:v>
                </c:pt>
                <c:pt idx="2179">
                  <c:v>0.35768611521712473</c:v>
                </c:pt>
                <c:pt idx="2180">
                  <c:v>0.23830665463309836</c:v>
                </c:pt>
                <c:pt idx="2181">
                  <c:v>1.0453251115430197E-2</c:v>
                </c:pt>
                <c:pt idx="2182">
                  <c:v>0.36341510942358252</c:v>
                </c:pt>
                <c:pt idx="2183">
                  <c:v>0.25489529067859185</c:v>
                </c:pt>
                <c:pt idx="2184">
                  <c:v>0.28610949368351879</c:v>
                </c:pt>
                <c:pt idx="2185">
                  <c:v>0.31016768925684524</c:v>
                </c:pt>
                <c:pt idx="2186">
                  <c:v>1.7612790309300713E-2</c:v>
                </c:pt>
                <c:pt idx="2187">
                  <c:v>0.17896086387004512</c:v>
                </c:pt>
                <c:pt idx="2188">
                  <c:v>0.49713700601819999</c:v>
                </c:pt>
                <c:pt idx="2189">
                  <c:v>0.32073439718107477</c:v>
                </c:pt>
                <c:pt idx="2190">
                  <c:v>4.1190087663682512E-2</c:v>
                </c:pt>
                <c:pt idx="2191">
                  <c:v>0.2551842004515803</c:v>
                </c:pt>
                <c:pt idx="2192">
                  <c:v>0.17953728174374645</c:v>
                </c:pt>
                <c:pt idx="2193">
                  <c:v>0.3459236075864256</c:v>
                </c:pt>
                <c:pt idx="2194">
                  <c:v>0.40573884172778213</c:v>
                </c:pt>
                <c:pt idx="2195">
                  <c:v>0.34068200684154609</c:v>
                </c:pt>
                <c:pt idx="2196">
                  <c:v>0.37965974892497356</c:v>
                </c:pt>
                <c:pt idx="2197">
                  <c:v>0.26808876584898578</c:v>
                </c:pt>
                <c:pt idx="2198">
                  <c:v>0.33287465710675535</c:v>
                </c:pt>
                <c:pt idx="2199">
                  <c:v>-2.6743746751412834E-2</c:v>
                </c:pt>
                <c:pt idx="2200">
                  <c:v>5.9524983114331825E-2</c:v>
                </c:pt>
                <c:pt idx="2201">
                  <c:v>1.4253178033371002E-2</c:v>
                </c:pt>
                <c:pt idx="2202">
                  <c:v>-8.1404940463878611E-2</c:v>
                </c:pt>
                <c:pt idx="2203">
                  <c:v>0.18441418600316195</c:v>
                </c:pt>
                <c:pt idx="2204">
                  <c:v>-2.142757824484599E-2</c:v>
                </c:pt>
                <c:pt idx="2205">
                  <c:v>0.23298187507964754</c:v>
                </c:pt>
                <c:pt idx="2206">
                  <c:v>8.7107971058422995E-2</c:v>
                </c:pt>
                <c:pt idx="2207">
                  <c:v>0.37599174059346596</c:v>
                </c:pt>
                <c:pt idx="2208">
                  <c:v>9.3998718765874387E-3</c:v>
                </c:pt>
                <c:pt idx="2209">
                  <c:v>0.43874622329471885</c:v>
                </c:pt>
                <c:pt idx="2210">
                  <c:v>0.59030794763971717</c:v>
                </c:pt>
                <c:pt idx="2211">
                  <c:v>0.46226289818593364</c:v>
                </c:pt>
                <c:pt idx="2212">
                  <c:v>0.1385267146601592</c:v>
                </c:pt>
                <c:pt idx="2213">
                  <c:v>-3.4484726286080021E-2</c:v>
                </c:pt>
                <c:pt idx="2214">
                  <c:v>0.23030714851563591</c:v>
                </c:pt>
                <c:pt idx="2215">
                  <c:v>0.15656424810474007</c:v>
                </c:pt>
                <c:pt idx="2216">
                  <c:v>-4.4274920461492805E-3</c:v>
                </c:pt>
                <c:pt idx="2217">
                  <c:v>3.9343435431101192E-2</c:v>
                </c:pt>
                <c:pt idx="2218">
                  <c:v>0.27456688346033853</c:v>
                </c:pt>
                <c:pt idx="2219">
                  <c:v>0.24151062908856738</c:v>
                </c:pt>
                <c:pt idx="2220">
                  <c:v>0.16062323463858416</c:v>
                </c:pt>
                <c:pt idx="2221">
                  <c:v>0.28907996287800231</c:v>
                </c:pt>
                <c:pt idx="2222">
                  <c:v>0.13182027037704133</c:v>
                </c:pt>
                <c:pt idx="2223">
                  <c:v>0.36184834396586552</c:v>
                </c:pt>
                <c:pt idx="2224">
                  <c:v>1.0437956893140227E-3</c:v>
                </c:pt>
                <c:pt idx="2225">
                  <c:v>0.42665138065145025</c:v>
                </c:pt>
                <c:pt idx="2226">
                  <c:v>0.29000976331143197</c:v>
                </c:pt>
                <c:pt idx="2227">
                  <c:v>0.48080029970524063</c:v>
                </c:pt>
                <c:pt idx="2228">
                  <c:v>-2.9723322532185598E-2</c:v>
                </c:pt>
                <c:pt idx="2229">
                  <c:v>0.37866909542215355</c:v>
                </c:pt>
                <c:pt idx="2230">
                  <c:v>0.19231926278790712</c:v>
                </c:pt>
                <c:pt idx="2231">
                  <c:v>0.46029597183949883</c:v>
                </c:pt>
                <c:pt idx="2232">
                  <c:v>0.29992449859018616</c:v>
                </c:pt>
                <c:pt idx="2233">
                  <c:v>-2.8199841106648527E-2</c:v>
                </c:pt>
                <c:pt idx="2234">
                  <c:v>0.39942820743021934</c:v>
                </c:pt>
                <c:pt idx="2235">
                  <c:v>0.38192097472132175</c:v>
                </c:pt>
                <c:pt idx="2236">
                  <c:v>0.2436656817115323</c:v>
                </c:pt>
                <c:pt idx="2237">
                  <c:v>0.22887555545448829</c:v>
                </c:pt>
                <c:pt idx="2238">
                  <c:v>0.54526404131338635</c:v>
                </c:pt>
                <c:pt idx="2239">
                  <c:v>0.16905237768767639</c:v>
                </c:pt>
                <c:pt idx="2240">
                  <c:v>0.26811006506385482</c:v>
                </c:pt>
                <c:pt idx="2241">
                  <c:v>0.29817977512060917</c:v>
                </c:pt>
                <c:pt idx="2242">
                  <c:v>0.11781109757722764</c:v>
                </c:pt>
                <c:pt idx="2243">
                  <c:v>0.2219925206951005</c:v>
                </c:pt>
                <c:pt idx="2244">
                  <c:v>0.2316043369407334</c:v>
                </c:pt>
                <c:pt idx="2245">
                  <c:v>0.21491683813750606</c:v>
                </c:pt>
                <c:pt idx="2246">
                  <c:v>0.3914929818342559</c:v>
                </c:pt>
                <c:pt idx="2247">
                  <c:v>0.39893739402173406</c:v>
                </c:pt>
                <c:pt idx="2248">
                  <c:v>0.35727835726510881</c:v>
                </c:pt>
                <c:pt idx="2249">
                  <c:v>0.24957882398020181</c:v>
                </c:pt>
                <c:pt idx="2250">
                  <c:v>0.35811058899993237</c:v>
                </c:pt>
                <c:pt idx="2251">
                  <c:v>-2.5503562551607781E-2</c:v>
                </c:pt>
                <c:pt idx="2252">
                  <c:v>-2.9471578950381813E-2</c:v>
                </c:pt>
                <c:pt idx="2253">
                  <c:v>0.42768706775059595</c:v>
                </c:pt>
                <c:pt idx="2254">
                  <c:v>0.12973466212932372</c:v>
                </c:pt>
                <c:pt idx="2255">
                  <c:v>0.24445048182656948</c:v>
                </c:pt>
                <c:pt idx="2256">
                  <c:v>0.18528358623599128</c:v>
                </c:pt>
                <c:pt idx="2257">
                  <c:v>0.27444897313910671</c:v>
                </c:pt>
                <c:pt idx="2258">
                  <c:v>0.24648926127340318</c:v>
                </c:pt>
                <c:pt idx="2259">
                  <c:v>-2.9372910100769326E-2</c:v>
                </c:pt>
                <c:pt idx="2260">
                  <c:v>0.25779293477681769</c:v>
                </c:pt>
                <c:pt idx="2261">
                  <c:v>0.224785731823476</c:v>
                </c:pt>
                <c:pt idx="2262">
                  <c:v>0.27933202119399336</c:v>
                </c:pt>
                <c:pt idx="2263">
                  <c:v>0.29346736160800996</c:v>
                </c:pt>
                <c:pt idx="2264">
                  <c:v>-3.2650306036506385E-3</c:v>
                </c:pt>
                <c:pt idx="2265">
                  <c:v>0.28332875592591777</c:v>
                </c:pt>
                <c:pt idx="2266">
                  <c:v>0.27686323118428463</c:v>
                </c:pt>
                <c:pt idx="2267">
                  <c:v>0.64293909999575594</c:v>
                </c:pt>
                <c:pt idx="2268">
                  <c:v>-6.9568801705292255E-2</c:v>
                </c:pt>
                <c:pt idx="2269">
                  <c:v>0.26085084952322457</c:v>
                </c:pt>
                <c:pt idx="2270">
                  <c:v>-1.8227933597118648E-2</c:v>
                </c:pt>
                <c:pt idx="2271">
                  <c:v>-7.293313311986821E-2</c:v>
                </c:pt>
                <c:pt idx="2272">
                  <c:v>-2.859968750055223E-2</c:v>
                </c:pt>
                <c:pt idx="2273">
                  <c:v>0.33095758775945577</c:v>
                </c:pt>
                <c:pt idx="2274">
                  <c:v>0.57350005585178332</c:v>
                </c:pt>
                <c:pt idx="2275">
                  <c:v>0.73574046978122543</c:v>
                </c:pt>
                <c:pt idx="2276">
                  <c:v>0.27487256893529549</c:v>
                </c:pt>
                <c:pt idx="2277">
                  <c:v>9.5499228901082117E-2</c:v>
                </c:pt>
                <c:pt idx="2278">
                  <c:v>0.10395349208443665</c:v>
                </c:pt>
                <c:pt idx="2279">
                  <c:v>0.34628020501257034</c:v>
                </c:pt>
                <c:pt idx="2280">
                  <c:v>0.28181641861892104</c:v>
                </c:pt>
                <c:pt idx="2281">
                  <c:v>0.3166321127851266</c:v>
                </c:pt>
                <c:pt idx="2282">
                  <c:v>-9.2232770828235278E-2</c:v>
                </c:pt>
                <c:pt idx="2283">
                  <c:v>8.8690775449486781E-2</c:v>
                </c:pt>
                <c:pt idx="2284">
                  <c:v>0.38393693086272945</c:v>
                </c:pt>
                <c:pt idx="2285">
                  <c:v>2.2618384870474011E-2</c:v>
                </c:pt>
                <c:pt idx="2286">
                  <c:v>7.0145248501005966E-2</c:v>
                </c:pt>
                <c:pt idx="2287">
                  <c:v>0.28321340555763497</c:v>
                </c:pt>
                <c:pt idx="2288">
                  <c:v>0.19675482496808661</c:v>
                </c:pt>
                <c:pt idx="2289">
                  <c:v>0.10434540225413738</c:v>
                </c:pt>
                <c:pt idx="2290">
                  <c:v>0.16517004500176816</c:v>
                </c:pt>
                <c:pt idx="2291">
                  <c:v>0.46813550539170368</c:v>
                </c:pt>
                <c:pt idx="2292">
                  <c:v>0.37028441960337566</c:v>
                </c:pt>
                <c:pt idx="2293">
                  <c:v>0.29212105940350014</c:v>
                </c:pt>
                <c:pt idx="2294">
                  <c:v>8.5173696342984107E-2</c:v>
                </c:pt>
                <c:pt idx="2295">
                  <c:v>6.3608331069879204E-2</c:v>
                </c:pt>
                <c:pt idx="2296">
                  <c:v>0.17922695354526441</c:v>
                </c:pt>
                <c:pt idx="2297">
                  <c:v>7.8259749939373471E-2</c:v>
                </c:pt>
                <c:pt idx="2298">
                  <c:v>0.10696356467911772</c:v>
                </c:pt>
                <c:pt idx="2299">
                  <c:v>0.14483930334323453</c:v>
                </c:pt>
                <c:pt idx="2300">
                  <c:v>5.5476182121485647E-2</c:v>
                </c:pt>
                <c:pt idx="2301">
                  <c:v>0.2005148417234898</c:v>
                </c:pt>
                <c:pt idx="2302">
                  <c:v>0.3532845184217801</c:v>
                </c:pt>
                <c:pt idx="2303">
                  <c:v>0.26970803405084393</c:v>
                </c:pt>
                <c:pt idx="2304">
                  <c:v>0.22723830840742454</c:v>
                </c:pt>
                <c:pt idx="2305">
                  <c:v>2.7694314438409036E-2</c:v>
                </c:pt>
                <c:pt idx="2306">
                  <c:v>0.24139327623023957</c:v>
                </c:pt>
                <c:pt idx="2307">
                  <c:v>-5.208909358220741E-2</c:v>
                </c:pt>
                <c:pt idx="2308">
                  <c:v>0.2747372017565094</c:v>
                </c:pt>
                <c:pt idx="2309">
                  <c:v>-8.1333501967930308E-2</c:v>
                </c:pt>
                <c:pt idx="2310">
                  <c:v>0.21192902264738331</c:v>
                </c:pt>
                <c:pt idx="2311">
                  <c:v>-4.4738516567879846E-2</c:v>
                </c:pt>
                <c:pt idx="2312">
                  <c:v>5.1984415667048534E-2</c:v>
                </c:pt>
                <c:pt idx="2313">
                  <c:v>0.3995975715884818</c:v>
                </c:pt>
                <c:pt idx="2314">
                  <c:v>-9.2447396832653905E-4</c:v>
                </c:pt>
                <c:pt idx="2315">
                  <c:v>8.8582625460005032E-2</c:v>
                </c:pt>
                <c:pt idx="2316">
                  <c:v>0.50031592934478875</c:v>
                </c:pt>
                <c:pt idx="2317">
                  <c:v>6.2684139068344691E-2</c:v>
                </c:pt>
                <c:pt idx="2318">
                  <c:v>0.27664496487631041</c:v>
                </c:pt>
                <c:pt idx="2319">
                  <c:v>1.1930768235703923E-2</c:v>
                </c:pt>
                <c:pt idx="2320">
                  <c:v>5.1669359451975976E-2</c:v>
                </c:pt>
                <c:pt idx="2321">
                  <c:v>0.58498859824392968</c:v>
                </c:pt>
                <c:pt idx="2322">
                  <c:v>-6.2789697082035814E-3</c:v>
                </c:pt>
                <c:pt idx="2323">
                  <c:v>0.17737281887227457</c:v>
                </c:pt>
                <c:pt idx="2324">
                  <c:v>-6.2920682160272454E-2</c:v>
                </c:pt>
                <c:pt idx="2325">
                  <c:v>0.43018046661264725</c:v>
                </c:pt>
                <c:pt idx="2326">
                  <c:v>8.3139564613022118E-2</c:v>
                </c:pt>
                <c:pt idx="2327">
                  <c:v>9.0443222480569227E-3</c:v>
                </c:pt>
                <c:pt idx="2328">
                  <c:v>0.34276788734485059</c:v>
                </c:pt>
                <c:pt idx="2329">
                  <c:v>5.7056478068817751E-2</c:v>
                </c:pt>
                <c:pt idx="2330">
                  <c:v>-6.2818080130825679E-3</c:v>
                </c:pt>
                <c:pt idx="2331">
                  <c:v>9.4550566340816405E-2</c:v>
                </c:pt>
                <c:pt idx="2332">
                  <c:v>3.4616543224590707E-2</c:v>
                </c:pt>
                <c:pt idx="2333">
                  <c:v>3.9266600042048717E-2</c:v>
                </c:pt>
                <c:pt idx="2334">
                  <c:v>0.3325876287997242</c:v>
                </c:pt>
                <c:pt idx="2335">
                  <c:v>0.18381474705941278</c:v>
                </c:pt>
                <c:pt idx="2336">
                  <c:v>0.32513801448866153</c:v>
                </c:pt>
                <c:pt idx="2337">
                  <c:v>0.38195995198050292</c:v>
                </c:pt>
                <c:pt idx="2338">
                  <c:v>0.48511968456181248</c:v>
                </c:pt>
                <c:pt idx="2339">
                  <c:v>0.53813847008926352</c:v>
                </c:pt>
                <c:pt idx="2340">
                  <c:v>0.31624655800391482</c:v>
                </c:pt>
                <c:pt idx="2341">
                  <c:v>-2.150498812064576E-2</c:v>
                </c:pt>
                <c:pt idx="2342">
                  <c:v>0.23977363967007342</c:v>
                </c:pt>
                <c:pt idx="2343">
                  <c:v>3.7565329200962762E-2</c:v>
                </c:pt>
                <c:pt idx="2344">
                  <c:v>0.31836855427434979</c:v>
                </c:pt>
                <c:pt idx="2345">
                  <c:v>0.21211681022379922</c:v>
                </c:pt>
                <c:pt idx="2346">
                  <c:v>0.25938338157321561</c:v>
                </c:pt>
                <c:pt idx="2347">
                  <c:v>-4.2072036917064404E-2</c:v>
                </c:pt>
                <c:pt idx="2348">
                  <c:v>0.11599754796385262</c:v>
                </c:pt>
                <c:pt idx="2349">
                  <c:v>0.32917286132350482</c:v>
                </c:pt>
                <c:pt idx="2350">
                  <c:v>0.38820767759488806</c:v>
                </c:pt>
                <c:pt idx="2351">
                  <c:v>-7.3481524963902575E-2</c:v>
                </c:pt>
                <c:pt idx="2352">
                  <c:v>0.24773788152246845</c:v>
                </c:pt>
                <c:pt idx="2353">
                  <c:v>0.33077026887373778</c:v>
                </c:pt>
                <c:pt idx="2354">
                  <c:v>0.1726312466917565</c:v>
                </c:pt>
                <c:pt idx="2355">
                  <c:v>0.32595895654618268</c:v>
                </c:pt>
                <c:pt idx="2356">
                  <c:v>0.3071751522820354</c:v>
                </c:pt>
                <c:pt idx="2357">
                  <c:v>0.18327949035351845</c:v>
                </c:pt>
                <c:pt idx="2358">
                  <c:v>-8.9262896805875722E-2</c:v>
                </c:pt>
                <c:pt idx="2359">
                  <c:v>0.29989527727054099</c:v>
                </c:pt>
                <c:pt idx="2360">
                  <c:v>-1.9940731841546787E-2</c:v>
                </c:pt>
                <c:pt idx="2361">
                  <c:v>0.25596363678462053</c:v>
                </c:pt>
                <c:pt idx="2362">
                  <c:v>0.1103853893773899</c:v>
                </c:pt>
                <c:pt idx="2363">
                  <c:v>0.26791111515405741</c:v>
                </c:pt>
                <c:pt idx="2364">
                  <c:v>0.46615640375023693</c:v>
                </c:pt>
                <c:pt idx="2365">
                  <c:v>6.3018424040577073E-2</c:v>
                </c:pt>
                <c:pt idx="2366">
                  <c:v>0.18331307826821217</c:v>
                </c:pt>
                <c:pt idx="2367">
                  <c:v>0.37176404844309519</c:v>
                </c:pt>
                <c:pt idx="2368">
                  <c:v>7.7619748460762292E-2</c:v>
                </c:pt>
                <c:pt idx="2369">
                  <c:v>0.23576406556432408</c:v>
                </c:pt>
                <c:pt idx="2370">
                  <c:v>-3.3188235752962439E-2</c:v>
                </c:pt>
                <c:pt idx="2371">
                  <c:v>0.11370463283027726</c:v>
                </c:pt>
                <c:pt idx="2372">
                  <c:v>0.41016792570872179</c:v>
                </c:pt>
                <c:pt idx="2373">
                  <c:v>0.16786347548941744</c:v>
                </c:pt>
                <c:pt idx="2374">
                  <c:v>0.25395226422692185</c:v>
                </c:pt>
                <c:pt idx="2375">
                  <c:v>3.1439700145364749E-2</c:v>
                </c:pt>
                <c:pt idx="2376">
                  <c:v>0.31290307994756805</c:v>
                </c:pt>
                <c:pt idx="2377">
                  <c:v>8.7393271097855357E-2</c:v>
                </c:pt>
                <c:pt idx="2378">
                  <c:v>0.11611905152157923</c:v>
                </c:pt>
                <c:pt idx="2379">
                  <c:v>0.29321283399918219</c:v>
                </c:pt>
                <c:pt idx="2380">
                  <c:v>0.25993759725156351</c:v>
                </c:pt>
                <c:pt idx="2381">
                  <c:v>0.12413457761508796</c:v>
                </c:pt>
                <c:pt idx="2382">
                  <c:v>0.32095624756557656</c:v>
                </c:pt>
                <c:pt idx="2383">
                  <c:v>7.9607388359555456E-2</c:v>
                </c:pt>
                <c:pt idx="2384">
                  <c:v>0.58025770084055395</c:v>
                </c:pt>
                <c:pt idx="2385">
                  <c:v>0.18940498401267689</c:v>
                </c:pt>
                <c:pt idx="2386">
                  <c:v>0.38062437521512454</c:v>
                </c:pt>
                <c:pt idx="2387">
                  <c:v>0.43546533241281854</c:v>
                </c:pt>
                <c:pt idx="2388">
                  <c:v>3.6997476041631672E-2</c:v>
                </c:pt>
                <c:pt idx="2389">
                  <c:v>0.17801647450844707</c:v>
                </c:pt>
                <c:pt idx="2390">
                  <c:v>4.6357374918086912E-2</c:v>
                </c:pt>
                <c:pt idx="2391">
                  <c:v>-4.7851826897240594E-2</c:v>
                </c:pt>
                <c:pt idx="2392">
                  <c:v>0.25808681848835707</c:v>
                </c:pt>
                <c:pt idx="2393">
                  <c:v>0.36667251928378947</c:v>
                </c:pt>
                <c:pt idx="2394">
                  <c:v>-4.9892816745233756E-2</c:v>
                </c:pt>
                <c:pt idx="2395">
                  <c:v>-7.5753830737407032E-2</c:v>
                </c:pt>
                <c:pt idx="2396">
                  <c:v>0.18390075984402438</c:v>
                </c:pt>
                <c:pt idx="2397">
                  <c:v>0.22005811827678673</c:v>
                </c:pt>
                <c:pt idx="2398">
                  <c:v>6.1035587208980571E-2</c:v>
                </c:pt>
                <c:pt idx="2399">
                  <c:v>0.60474970831681873</c:v>
                </c:pt>
                <c:pt idx="2400">
                  <c:v>0.28043440407949632</c:v>
                </c:pt>
                <c:pt idx="2401">
                  <c:v>-7.2931173970619906E-2</c:v>
                </c:pt>
                <c:pt idx="2402">
                  <c:v>0.27240708350489962</c:v>
                </c:pt>
                <c:pt idx="2403">
                  <c:v>0.14474745214818746</c:v>
                </c:pt>
                <c:pt idx="2404">
                  <c:v>-6.509558701575141E-2</c:v>
                </c:pt>
                <c:pt idx="2405">
                  <c:v>0.16639451590065268</c:v>
                </c:pt>
                <c:pt idx="2406">
                  <c:v>0.18499054542253918</c:v>
                </c:pt>
                <c:pt idx="2407">
                  <c:v>0.23659132356921997</c:v>
                </c:pt>
                <c:pt idx="2408">
                  <c:v>-8.1634350064025807E-2</c:v>
                </c:pt>
                <c:pt idx="2409">
                  <c:v>0.20749392187905213</c:v>
                </c:pt>
                <c:pt idx="2410">
                  <c:v>-4.2692061664591593E-2</c:v>
                </c:pt>
                <c:pt idx="2411">
                  <c:v>1.1581364543694767E-2</c:v>
                </c:pt>
                <c:pt idx="2412">
                  <c:v>-8.3708980765278912E-2</c:v>
                </c:pt>
                <c:pt idx="2413">
                  <c:v>0.28808384178772312</c:v>
                </c:pt>
                <c:pt idx="2414">
                  <c:v>0.1710381109504725</c:v>
                </c:pt>
                <c:pt idx="2415">
                  <c:v>0.34115622801234652</c:v>
                </c:pt>
                <c:pt idx="2416">
                  <c:v>2.5604893718855819E-2</c:v>
                </c:pt>
                <c:pt idx="2417">
                  <c:v>4.6730604053570754E-2</c:v>
                </c:pt>
                <c:pt idx="2418">
                  <c:v>3.0243397997995594E-2</c:v>
                </c:pt>
                <c:pt idx="2419">
                  <c:v>0.35999679336225243</c:v>
                </c:pt>
                <c:pt idx="2420">
                  <c:v>7.3320182536861539E-2</c:v>
                </c:pt>
                <c:pt idx="2421">
                  <c:v>0.16697426385447683</c:v>
                </c:pt>
                <c:pt idx="2422">
                  <c:v>5.7084386205135763E-2</c:v>
                </c:pt>
                <c:pt idx="2423">
                  <c:v>-4.7844800867175033E-2</c:v>
                </c:pt>
                <c:pt idx="2424">
                  <c:v>0.24041479945521665</c:v>
                </c:pt>
                <c:pt idx="2425">
                  <c:v>0.45586543677079</c:v>
                </c:pt>
                <c:pt idx="2426">
                  <c:v>0.38456090143315375</c:v>
                </c:pt>
                <c:pt idx="2427">
                  <c:v>1.945227442875784E-2</c:v>
                </c:pt>
                <c:pt idx="2428">
                  <c:v>0.21979470081637795</c:v>
                </c:pt>
                <c:pt idx="2429">
                  <c:v>5.2208176972015921E-2</c:v>
                </c:pt>
                <c:pt idx="2430">
                  <c:v>0.3891111338202477</c:v>
                </c:pt>
                <c:pt idx="2431">
                  <c:v>0.17904582907004157</c:v>
                </c:pt>
                <c:pt idx="2432">
                  <c:v>0.40490814612147347</c:v>
                </c:pt>
                <c:pt idx="2433">
                  <c:v>8.8220141797184584E-3</c:v>
                </c:pt>
                <c:pt idx="2434">
                  <c:v>0.44728394588662063</c:v>
                </c:pt>
                <c:pt idx="2435">
                  <c:v>0.16689761007272705</c:v>
                </c:pt>
                <c:pt idx="2436">
                  <c:v>0.49271058741653778</c:v>
                </c:pt>
                <c:pt idx="2437">
                  <c:v>0.34159187257194329</c:v>
                </c:pt>
                <c:pt idx="2438">
                  <c:v>-9.2581181034571663E-2</c:v>
                </c:pt>
                <c:pt idx="2439">
                  <c:v>0.22876031656550869</c:v>
                </c:pt>
                <c:pt idx="2440">
                  <c:v>0.33903440072822977</c:v>
                </c:pt>
                <c:pt idx="2441">
                  <c:v>0.26487538750478501</c:v>
                </c:pt>
                <c:pt idx="2442">
                  <c:v>-3.8243690458918275E-2</c:v>
                </c:pt>
                <c:pt idx="2443">
                  <c:v>0.27486916008879408</c:v>
                </c:pt>
                <c:pt idx="2444">
                  <c:v>3.5053494653407229E-2</c:v>
                </c:pt>
                <c:pt idx="2445">
                  <c:v>2.999684494637234E-2</c:v>
                </c:pt>
                <c:pt idx="2446">
                  <c:v>5.9332053325415655E-2</c:v>
                </c:pt>
                <c:pt idx="2447">
                  <c:v>0.26379770438762318</c:v>
                </c:pt>
                <c:pt idx="2448">
                  <c:v>0.51194104916855898</c:v>
                </c:pt>
                <c:pt idx="2449">
                  <c:v>0.21201915263368759</c:v>
                </c:pt>
                <c:pt idx="2450">
                  <c:v>0.16672844405580195</c:v>
                </c:pt>
                <c:pt idx="2451">
                  <c:v>0.30785463118646678</c:v>
                </c:pt>
                <c:pt idx="2452">
                  <c:v>0.17203619254801086</c:v>
                </c:pt>
                <c:pt idx="2453">
                  <c:v>0.18262272123512874</c:v>
                </c:pt>
                <c:pt idx="2454">
                  <c:v>0.50932497251334474</c:v>
                </c:pt>
                <c:pt idx="2455">
                  <c:v>0.28858229414699016</c:v>
                </c:pt>
                <c:pt idx="2456">
                  <c:v>6.4211980251518946E-2</c:v>
                </c:pt>
                <c:pt idx="2457">
                  <c:v>0.35689495871320248</c:v>
                </c:pt>
                <c:pt idx="2458">
                  <c:v>0.21878607316200249</c:v>
                </c:pt>
                <c:pt idx="2459">
                  <c:v>-1.8616225169474712E-2</c:v>
                </c:pt>
                <c:pt idx="2460">
                  <c:v>0.25012052021229941</c:v>
                </c:pt>
                <c:pt idx="2461">
                  <c:v>0.12981911468349527</c:v>
                </c:pt>
                <c:pt idx="2462">
                  <c:v>0.61483355300664522</c:v>
                </c:pt>
                <c:pt idx="2463">
                  <c:v>0.42895250261427825</c:v>
                </c:pt>
                <c:pt idx="2464">
                  <c:v>0.49232767121139526</c:v>
                </c:pt>
                <c:pt idx="2465">
                  <c:v>0.4243034330904743</c:v>
                </c:pt>
                <c:pt idx="2466">
                  <c:v>0.22492846166370811</c:v>
                </c:pt>
                <c:pt idx="2467">
                  <c:v>0.26828236655389254</c:v>
                </c:pt>
                <c:pt idx="2468">
                  <c:v>-2.8861810082395724E-2</c:v>
                </c:pt>
                <c:pt idx="2469">
                  <c:v>-4.3697860469114544E-3</c:v>
                </c:pt>
                <c:pt idx="2470">
                  <c:v>-1.6157682701568796E-3</c:v>
                </c:pt>
                <c:pt idx="2471">
                  <c:v>0.21745824054110158</c:v>
                </c:pt>
                <c:pt idx="2472">
                  <c:v>0.23589370840974755</c:v>
                </c:pt>
                <c:pt idx="2473">
                  <c:v>0.22150153050092991</c:v>
                </c:pt>
                <c:pt idx="2474">
                  <c:v>0.12574244892341949</c:v>
                </c:pt>
                <c:pt idx="2475">
                  <c:v>0.47287616133298394</c:v>
                </c:pt>
                <c:pt idx="2476">
                  <c:v>0.11486427688411174</c:v>
                </c:pt>
                <c:pt idx="2477">
                  <c:v>-2.4391820358213821E-2</c:v>
                </c:pt>
                <c:pt idx="2478">
                  <c:v>0.17687227811951592</c:v>
                </c:pt>
                <c:pt idx="2479">
                  <c:v>0.40363335940943601</c:v>
                </c:pt>
                <c:pt idx="2480">
                  <c:v>0.11995364815196702</c:v>
                </c:pt>
                <c:pt idx="2481">
                  <c:v>0.31860446663151865</c:v>
                </c:pt>
                <c:pt idx="2482">
                  <c:v>0.38582781518863063</c:v>
                </c:pt>
                <c:pt idx="2483">
                  <c:v>0.20594981795675874</c:v>
                </c:pt>
                <c:pt idx="2484">
                  <c:v>0.30070833557034132</c:v>
                </c:pt>
                <c:pt idx="2485">
                  <c:v>-6.0497117380740928E-2</c:v>
                </c:pt>
                <c:pt idx="2486">
                  <c:v>0.15552630547504528</c:v>
                </c:pt>
                <c:pt idx="2487">
                  <c:v>8.4997310536521209E-2</c:v>
                </c:pt>
                <c:pt idx="2488">
                  <c:v>0.44864711587741252</c:v>
                </c:pt>
                <c:pt idx="2489">
                  <c:v>0.12497459368187448</c:v>
                </c:pt>
                <c:pt idx="2490">
                  <c:v>0.24184143066575231</c:v>
                </c:pt>
                <c:pt idx="2491">
                  <c:v>0.10492351726333729</c:v>
                </c:pt>
                <c:pt idx="2492">
                  <c:v>-3.7425050814613933E-3</c:v>
                </c:pt>
                <c:pt idx="2493">
                  <c:v>6.2369999053403069E-2</c:v>
                </c:pt>
                <c:pt idx="2494">
                  <c:v>0.11057983804609284</c:v>
                </c:pt>
                <c:pt idx="2495">
                  <c:v>9.097318838123028E-2</c:v>
                </c:pt>
                <c:pt idx="2496">
                  <c:v>0.23194287041214956</c:v>
                </c:pt>
                <c:pt idx="2497">
                  <c:v>5.7354256930902611E-2</c:v>
                </c:pt>
                <c:pt idx="2498">
                  <c:v>0.56749666455464898</c:v>
                </c:pt>
                <c:pt idx="2499">
                  <c:v>0.2986887641399239</c:v>
                </c:pt>
                <c:pt idx="2500">
                  <c:v>0.34370339799590527</c:v>
                </c:pt>
                <c:pt idx="2501">
                  <c:v>0.11026268181560804</c:v>
                </c:pt>
                <c:pt idx="2502">
                  <c:v>0.16877932517020208</c:v>
                </c:pt>
                <c:pt idx="2503">
                  <c:v>0.13236851561373583</c:v>
                </c:pt>
                <c:pt idx="2504">
                  <c:v>2.4767369843400479E-2</c:v>
                </c:pt>
                <c:pt idx="2505">
                  <c:v>5.2795807731587777E-2</c:v>
                </c:pt>
                <c:pt idx="2506">
                  <c:v>-1.4987189038077331E-2</c:v>
                </c:pt>
                <c:pt idx="2507">
                  <c:v>-8.0005782288221666E-2</c:v>
                </c:pt>
                <c:pt idx="2508">
                  <c:v>0.22813101184310902</c:v>
                </c:pt>
                <c:pt idx="2509">
                  <c:v>0.32306837993355703</c:v>
                </c:pt>
                <c:pt idx="2510">
                  <c:v>0.2116521795725749</c:v>
                </c:pt>
                <c:pt idx="2511">
                  <c:v>0.27393891809206661</c:v>
                </c:pt>
                <c:pt idx="2512">
                  <c:v>0.79437937995523134</c:v>
                </c:pt>
                <c:pt idx="2513">
                  <c:v>0.27582612094532871</c:v>
                </c:pt>
                <c:pt idx="2514">
                  <c:v>0.73276750882563901</c:v>
                </c:pt>
                <c:pt idx="2515">
                  <c:v>0.49390906889945702</c:v>
                </c:pt>
                <c:pt idx="2516">
                  <c:v>-4.4029220108258604E-2</c:v>
                </c:pt>
                <c:pt idx="2517">
                  <c:v>-5.4802168558478498E-2</c:v>
                </c:pt>
                <c:pt idx="2518">
                  <c:v>0.10977610548247944</c:v>
                </c:pt>
                <c:pt idx="2519">
                  <c:v>6.1909445283018394E-2</c:v>
                </c:pt>
                <c:pt idx="2520">
                  <c:v>0.13345523447698859</c:v>
                </c:pt>
                <c:pt idx="2521">
                  <c:v>0.53812241678381767</c:v>
                </c:pt>
                <c:pt idx="2522">
                  <c:v>0.42196750721170395</c:v>
                </c:pt>
                <c:pt idx="2523">
                  <c:v>0.62438290934838792</c:v>
                </c:pt>
                <c:pt idx="2524">
                  <c:v>0.25952063075128362</c:v>
                </c:pt>
                <c:pt idx="2525">
                  <c:v>0.13094094528540595</c:v>
                </c:pt>
                <c:pt idx="2526">
                  <c:v>0.26564192296696204</c:v>
                </c:pt>
                <c:pt idx="2527">
                  <c:v>0.10465585844741944</c:v>
                </c:pt>
                <c:pt idx="2528">
                  <c:v>1.3201870395632961E-2</c:v>
                </c:pt>
                <c:pt idx="2529">
                  <c:v>0.2607276558782825</c:v>
                </c:pt>
                <c:pt idx="2530">
                  <c:v>0.27960521380984643</c:v>
                </c:pt>
                <c:pt idx="2531">
                  <c:v>0.10092596888310341</c:v>
                </c:pt>
                <c:pt idx="2532">
                  <c:v>0.18317451501262155</c:v>
                </c:pt>
                <c:pt idx="2533">
                  <c:v>0.24934621131388943</c:v>
                </c:pt>
                <c:pt idx="2534">
                  <c:v>0.4309516273990609</c:v>
                </c:pt>
                <c:pt idx="2535">
                  <c:v>0.26474819122056786</c:v>
                </c:pt>
                <c:pt idx="2536">
                  <c:v>4.2445107004173886E-2</c:v>
                </c:pt>
                <c:pt idx="2537">
                  <c:v>0.64674309352898396</c:v>
                </c:pt>
                <c:pt idx="2538">
                  <c:v>-8.0125950843795965E-2</c:v>
                </c:pt>
                <c:pt idx="2539">
                  <c:v>0.1472284661830256</c:v>
                </c:pt>
                <c:pt idx="2540">
                  <c:v>0.10953051377551466</c:v>
                </c:pt>
                <c:pt idx="2541">
                  <c:v>7.8179674556274198E-2</c:v>
                </c:pt>
                <c:pt idx="2542">
                  <c:v>0.3822204125765255</c:v>
                </c:pt>
                <c:pt idx="2543">
                  <c:v>0.15638123284809163</c:v>
                </c:pt>
                <c:pt idx="2544">
                  <c:v>0.42988130153578602</c:v>
                </c:pt>
                <c:pt idx="2545">
                  <c:v>3.754757425280654E-2</c:v>
                </c:pt>
                <c:pt idx="2546">
                  <c:v>0.35804133291829099</c:v>
                </c:pt>
                <c:pt idx="2547">
                  <c:v>0.17875096263725823</c:v>
                </c:pt>
                <c:pt idx="2548">
                  <c:v>0.11184987943375321</c:v>
                </c:pt>
                <c:pt idx="2549">
                  <c:v>0.23893043250578833</c:v>
                </c:pt>
                <c:pt idx="2550">
                  <c:v>3.9917197469782131E-2</c:v>
                </c:pt>
                <c:pt idx="2551">
                  <c:v>0.33091079015570374</c:v>
                </c:pt>
                <c:pt idx="2552">
                  <c:v>0.21969586623314322</c:v>
                </c:pt>
                <c:pt idx="2553">
                  <c:v>-5.308073071061542E-3</c:v>
                </c:pt>
                <c:pt idx="2554">
                  <c:v>0.22135217946968869</c:v>
                </c:pt>
                <c:pt idx="2555">
                  <c:v>0.37189316547730045</c:v>
                </c:pt>
                <c:pt idx="2556">
                  <c:v>0.6255892534107298</c:v>
                </c:pt>
                <c:pt idx="2557">
                  <c:v>3.9501167540202116E-2</c:v>
                </c:pt>
                <c:pt idx="2558">
                  <c:v>2.9468982642535686E-2</c:v>
                </c:pt>
                <c:pt idx="2559">
                  <c:v>0.33569149098528511</c:v>
                </c:pt>
                <c:pt idx="2560">
                  <c:v>2.0009564871374994E-2</c:v>
                </c:pt>
                <c:pt idx="2561">
                  <c:v>9.5653550143528596E-2</c:v>
                </c:pt>
                <c:pt idx="2562">
                  <c:v>0.25512164944844656</c:v>
                </c:pt>
                <c:pt idx="2563">
                  <c:v>0.34240242194172943</c:v>
                </c:pt>
                <c:pt idx="2564">
                  <c:v>0.57931687696230894</c:v>
                </c:pt>
                <c:pt idx="2565">
                  <c:v>0.13959897480919009</c:v>
                </c:pt>
                <c:pt idx="2566">
                  <c:v>0.29854676270024993</c:v>
                </c:pt>
                <c:pt idx="2567">
                  <c:v>0.16209824623041552</c:v>
                </c:pt>
                <c:pt idx="2568">
                  <c:v>0.47845949683866884</c:v>
                </c:pt>
                <c:pt idx="2569">
                  <c:v>0.47304432870402974</c:v>
                </c:pt>
                <c:pt idx="2570">
                  <c:v>4.4844866829368196E-2</c:v>
                </c:pt>
                <c:pt idx="2571">
                  <c:v>0.22491450814664546</c:v>
                </c:pt>
                <c:pt idx="2572">
                  <c:v>0.21525613237504787</c:v>
                </c:pt>
                <c:pt idx="2573">
                  <c:v>0.14290344515759068</c:v>
                </c:pt>
                <c:pt idx="2574">
                  <c:v>0.14194221732284368</c:v>
                </c:pt>
                <c:pt idx="2575">
                  <c:v>0.50219097522449019</c:v>
                </c:pt>
                <c:pt idx="2576">
                  <c:v>9.5854569032112952E-2</c:v>
                </c:pt>
                <c:pt idx="2577">
                  <c:v>0.23534174655054527</c:v>
                </c:pt>
                <c:pt idx="2578">
                  <c:v>0.2835656186723875</c:v>
                </c:pt>
                <c:pt idx="2579">
                  <c:v>4.3247571441432639E-2</c:v>
                </c:pt>
                <c:pt idx="2580">
                  <c:v>0.16646970999503</c:v>
                </c:pt>
                <c:pt idx="2581">
                  <c:v>0.45241649314472177</c:v>
                </c:pt>
                <c:pt idx="2582">
                  <c:v>0.35662531094036742</c:v>
                </c:pt>
                <c:pt idx="2583">
                  <c:v>0.63357289338308809</c:v>
                </c:pt>
                <c:pt idx="2584">
                  <c:v>-2.6377521039272524E-2</c:v>
                </c:pt>
                <c:pt idx="2585">
                  <c:v>0.34133232120069573</c:v>
                </c:pt>
                <c:pt idx="2586">
                  <c:v>0.11754363468153563</c:v>
                </c:pt>
                <c:pt idx="2587">
                  <c:v>-4.3566633187671663E-2</c:v>
                </c:pt>
                <c:pt idx="2588">
                  <c:v>0.3072904270074388</c:v>
                </c:pt>
                <c:pt idx="2589">
                  <c:v>0.34491332965070909</c:v>
                </c:pt>
                <c:pt idx="2590">
                  <c:v>0.61947764776301473</c:v>
                </c:pt>
                <c:pt idx="2591">
                  <c:v>6.0137605036535022E-2</c:v>
                </c:pt>
                <c:pt idx="2592">
                  <c:v>0.48137635350693203</c:v>
                </c:pt>
                <c:pt idx="2593">
                  <c:v>0.71176194814200333</c:v>
                </c:pt>
                <c:pt idx="2594">
                  <c:v>0.20187706834401531</c:v>
                </c:pt>
                <c:pt idx="2595">
                  <c:v>0.10012185488037537</c:v>
                </c:pt>
                <c:pt idx="2596">
                  <c:v>0.43420086830774363</c:v>
                </c:pt>
                <c:pt idx="2597">
                  <c:v>-8.1118741116942922E-2</c:v>
                </c:pt>
                <c:pt idx="2598">
                  <c:v>9.0605095263092572E-2</c:v>
                </c:pt>
                <c:pt idx="2599">
                  <c:v>0.14715442498496442</c:v>
                </c:pt>
                <c:pt idx="2600">
                  <c:v>0.11108307281940441</c:v>
                </c:pt>
                <c:pt idx="2601">
                  <c:v>0.29727121376370907</c:v>
                </c:pt>
                <c:pt idx="2602">
                  <c:v>0.15561259730549912</c:v>
                </c:pt>
                <c:pt idx="2603">
                  <c:v>0.36301731370171714</c:v>
                </c:pt>
                <c:pt idx="2604">
                  <c:v>0.65146145434433367</c:v>
                </c:pt>
                <c:pt idx="2605">
                  <c:v>0.1736199257487149</c:v>
                </c:pt>
                <c:pt idx="2606">
                  <c:v>0.77170109796928921</c:v>
                </c:pt>
                <c:pt idx="2607">
                  <c:v>3.0173715268657999E-2</c:v>
                </c:pt>
                <c:pt idx="2608">
                  <c:v>0.15326044998787569</c:v>
                </c:pt>
                <c:pt idx="2609">
                  <c:v>5.2677455869933276E-2</c:v>
                </c:pt>
                <c:pt idx="2610">
                  <c:v>0.26718487737988211</c:v>
                </c:pt>
                <c:pt idx="2611">
                  <c:v>0.57279826287976132</c:v>
                </c:pt>
                <c:pt idx="2612">
                  <c:v>0.2281537881804877</c:v>
                </c:pt>
                <c:pt idx="2613">
                  <c:v>0.32528457357317564</c:v>
                </c:pt>
                <c:pt idx="2614">
                  <c:v>-2.2108133006789488E-2</c:v>
                </c:pt>
                <c:pt idx="2615">
                  <c:v>0.2569933156001688</c:v>
                </c:pt>
                <c:pt idx="2616">
                  <c:v>4.8760868041537404E-2</c:v>
                </c:pt>
                <c:pt idx="2617">
                  <c:v>0.22449358435254912</c:v>
                </c:pt>
                <c:pt idx="2618">
                  <c:v>0.23794796397910992</c:v>
                </c:pt>
                <c:pt idx="2619">
                  <c:v>0.44947069683149837</c:v>
                </c:pt>
                <c:pt idx="2620">
                  <c:v>8.0499243277780561E-2</c:v>
                </c:pt>
                <c:pt idx="2621">
                  <c:v>0.15908625579603258</c:v>
                </c:pt>
                <c:pt idx="2622">
                  <c:v>0.24662643240354779</c:v>
                </c:pt>
                <c:pt idx="2623">
                  <c:v>-9.5461760492925207E-2</c:v>
                </c:pt>
                <c:pt idx="2624">
                  <c:v>-1.1219851609023668E-2</c:v>
                </c:pt>
                <c:pt idx="2625">
                  <c:v>0.19344302206271854</c:v>
                </c:pt>
                <c:pt idx="2626">
                  <c:v>0.38220641083320223</c:v>
                </c:pt>
                <c:pt idx="2627">
                  <c:v>0.12405158510080908</c:v>
                </c:pt>
                <c:pt idx="2628">
                  <c:v>0.42714449684910483</c:v>
                </c:pt>
                <c:pt idx="2629">
                  <c:v>0.224581209096052</c:v>
                </c:pt>
                <c:pt idx="2630">
                  <c:v>0.68125870610692818</c:v>
                </c:pt>
                <c:pt idx="2631">
                  <c:v>0.19263441777770857</c:v>
                </c:pt>
                <c:pt idx="2632">
                  <c:v>0.1565005488906131</c:v>
                </c:pt>
                <c:pt idx="2633">
                  <c:v>0.16851220979221926</c:v>
                </c:pt>
                <c:pt idx="2634">
                  <c:v>0.53830051047982108</c:v>
                </c:pt>
                <c:pt idx="2635">
                  <c:v>2.7435106256788352E-2</c:v>
                </c:pt>
                <c:pt idx="2636">
                  <c:v>0.29198361376120158</c:v>
                </c:pt>
                <c:pt idx="2637">
                  <c:v>0.41782837828771635</c:v>
                </c:pt>
                <c:pt idx="2638">
                  <c:v>0.57684113108729751</c:v>
                </c:pt>
                <c:pt idx="2639">
                  <c:v>0.18445217879392967</c:v>
                </c:pt>
                <c:pt idx="2640">
                  <c:v>0.26962775001817851</c:v>
                </c:pt>
                <c:pt idx="2641">
                  <c:v>0.20023954406264727</c:v>
                </c:pt>
                <c:pt idx="2642">
                  <c:v>9.615680546774287E-2</c:v>
                </c:pt>
                <c:pt idx="2643">
                  <c:v>0.13755737190512662</c:v>
                </c:pt>
                <c:pt idx="2644">
                  <c:v>0.27023497600947149</c:v>
                </c:pt>
                <c:pt idx="2645">
                  <c:v>-7.9879580477383583E-4</c:v>
                </c:pt>
                <c:pt idx="2646">
                  <c:v>3.937872495765278E-2</c:v>
                </c:pt>
                <c:pt idx="2647">
                  <c:v>8.982414514869573E-2</c:v>
                </c:pt>
                <c:pt idx="2648">
                  <c:v>0.37143291643687015</c:v>
                </c:pt>
                <c:pt idx="2649">
                  <c:v>7.3593322675183453E-2</c:v>
                </c:pt>
                <c:pt idx="2650">
                  <c:v>0.34744880872530737</c:v>
                </c:pt>
                <c:pt idx="2651">
                  <c:v>0.21460554489732911</c:v>
                </c:pt>
                <c:pt idx="2652">
                  <c:v>0.31152371431908688</c:v>
                </c:pt>
                <c:pt idx="2653">
                  <c:v>0.15351686701551717</c:v>
                </c:pt>
                <c:pt idx="2654">
                  <c:v>0.45139453757710629</c:v>
                </c:pt>
                <c:pt idx="2655">
                  <c:v>0.13259508858124328</c:v>
                </c:pt>
                <c:pt idx="2656">
                  <c:v>6.6914595602535987E-2</c:v>
                </c:pt>
                <c:pt idx="2657">
                  <c:v>0.42377205701924636</c:v>
                </c:pt>
                <c:pt idx="2658">
                  <c:v>0.17141346539460994</c:v>
                </c:pt>
                <c:pt idx="2659">
                  <c:v>0.18499661433416109</c:v>
                </c:pt>
                <c:pt idx="2660">
                  <c:v>0.22767940145589854</c:v>
                </c:pt>
                <c:pt idx="2661">
                  <c:v>0.12639315681249341</c:v>
                </c:pt>
                <c:pt idx="2662">
                  <c:v>0.10296550237683399</c:v>
                </c:pt>
                <c:pt idx="2663">
                  <c:v>0.68092294258139618</c:v>
                </c:pt>
                <c:pt idx="2664">
                  <c:v>0.12867186675090139</c:v>
                </c:pt>
                <c:pt idx="2665">
                  <c:v>-8.217216331270509E-2</c:v>
                </c:pt>
                <c:pt idx="2666">
                  <c:v>0.51719321343248903</c:v>
                </c:pt>
                <c:pt idx="2667">
                  <c:v>0.16361121535001721</c:v>
                </c:pt>
                <c:pt idx="2668">
                  <c:v>0.26192282193287225</c:v>
                </c:pt>
                <c:pt idx="2669">
                  <c:v>-8.5081138332355713E-2</c:v>
                </c:pt>
                <c:pt idx="2670">
                  <c:v>0.29150804567441285</c:v>
                </c:pt>
                <c:pt idx="2671">
                  <c:v>-1.1537785433713837E-3</c:v>
                </c:pt>
                <c:pt idx="2672">
                  <c:v>0.12581722125723177</c:v>
                </c:pt>
                <c:pt idx="2673">
                  <c:v>6.8321993849440502E-2</c:v>
                </c:pt>
                <c:pt idx="2674">
                  <c:v>0.2182887469187913</c:v>
                </c:pt>
                <c:pt idx="2675">
                  <c:v>0.30029827838578993</c:v>
                </c:pt>
                <c:pt idx="2676">
                  <c:v>0.3575336578769806</c:v>
                </c:pt>
                <c:pt idx="2677">
                  <c:v>0.3344423896662515</c:v>
                </c:pt>
                <c:pt idx="2678">
                  <c:v>0.23276572786657362</c:v>
                </c:pt>
                <c:pt idx="2679">
                  <c:v>0.2068456855555279</c:v>
                </c:pt>
                <c:pt idx="2680">
                  <c:v>0.43420780656468211</c:v>
                </c:pt>
                <c:pt idx="2681">
                  <c:v>0.17455663731506238</c:v>
                </c:pt>
                <c:pt idx="2682">
                  <c:v>0.13495657967187386</c:v>
                </c:pt>
                <c:pt idx="2683">
                  <c:v>3.3634735680403566E-2</c:v>
                </c:pt>
                <c:pt idx="2684">
                  <c:v>0.23246294733086387</c:v>
                </c:pt>
                <c:pt idx="2685">
                  <c:v>0.26622423325377575</c:v>
                </c:pt>
                <c:pt idx="2686">
                  <c:v>-7.5485662710023257E-2</c:v>
                </c:pt>
                <c:pt idx="2687">
                  <c:v>-1.2809614274735735E-2</c:v>
                </c:pt>
                <c:pt idx="2688">
                  <c:v>0.3527155665273376</c:v>
                </c:pt>
                <c:pt idx="2689">
                  <c:v>0.43114401946216291</c:v>
                </c:pt>
                <c:pt idx="2690">
                  <c:v>0.26593690033029371</c:v>
                </c:pt>
                <c:pt idx="2691">
                  <c:v>0.2327146817621929</c:v>
                </c:pt>
                <c:pt idx="2692">
                  <c:v>0.41667305143468225</c:v>
                </c:pt>
                <c:pt idx="2693">
                  <c:v>0.22612703100874421</c:v>
                </c:pt>
                <c:pt idx="2694">
                  <c:v>0.32239144132894842</c:v>
                </c:pt>
                <c:pt idx="2695">
                  <c:v>9.1086925602704844E-2</c:v>
                </c:pt>
                <c:pt idx="2696">
                  <c:v>1.4587201004307299E-2</c:v>
                </c:pt>
                <c:pt idx="2697">
                  <c:v>0.25050820656074613</c:v>
                </c:pt>
                <c:pt idx="2698">
                  <c:v>0.52272285311445932</c:v>
                </c:pt>
                <c:pt idx="2699">
                  <c:v>0.39816517105777138</c:v>
                </c:pt>
                <c:pt idx="2700">
                  <c:v>0.36690113070062264</c:v>
                </c:pt>
                <c:pt idx="2701">
                  <c:v>0.49271626476265529</c:v>
                </c:pt>
                <c:pt idx="2702">
                  <c:v>0.51163591791574337</c:v>
                </c:pt>
                <c:pt idx="2703">
                  <c:v>0.38641559721921925</c:v>
                </c:pt>
                <c:pt idx="2704">
                  <c:v>0.17484420090833688</c:v>
                </c:pt>
                <c:pt idx="2705">
                  <c:v>0.39940340782769068</c:v>
                </c:pt>
                <c:pt idx="2706">
                  <c:v>0.38419112036999503</c:v>
                </c:pt>
                <c:pt idx="2707">
                  <c:v>0.25928527643199401</c:v>
                </c:pt>
                <c:pt idx="2708">
                  <c:v>0.43729040283182324</c:v>
                </c:pt>
                <c:pt idx="2709">
                  <c:v>0.24580102098015252</c:v>
                </c:pt>
                <c:pt idx="2710">
                  <c:v>0.33154138769794234</c:v>
                </c:pt>
                <c:pt idx="2711">
                  <c:v>0.25576539596483588</c:v>
                </c:pt>
                <c:pt idx="2712">
                  <c:v>8.8524196702182006E-2</c:v>
                </c:pt>
                <c:pt idx="2713">
                  <c:v>0.18982643452848755</c:v>
                </c:pt>
                <c:pt idx="2714">
                  <c:v>0.40864503297080057</c:v>
                </c:pt>
                <c:pt idx="2715">
                  <c:v>0.30358514599983361</c:v>
                </c:pt>
                <c:pt idx="2716">
                  <c:v>2.9098519496992312E-2</c:v>
                </c:pt>
                <c:pt idx="2717">
                  <c:v>0.2744601195732092</c:v>
                </c:pt>
                <c:pt idx="2718">
                  <c:v>0.21673806241158758</c:v>
                </c:pt>
                <c:pt idx="2719">
                  <c:v>0.11129075150605763</c:v>
                </c:pt>
                <c:pt idx="2720">
                  <c:v>0.14977648131824955</c:v>
                </c:pt>
                <c:pt idx="2721">
                  <c:v>0.34281358941705486</c:v>
                </c:pt>
                <c:pt idx="2722">
                  <c:v>0.22758904037051791</c:v>
                </c:pt>
                <c:pt idx="2723">
                  <c:v>0.31608222130982472</c:v>
                </c:pt>
                <c:pt idx="2724">
                  <c:v>0.35629302093155379</c:v>
                </c:pt>
                <c:pt idx="2725">
                  <c:v>0.24635951299956987</c:v>
                </c:pt>
                <c:pt idx="2726">
                  <c:v>0.15127555371220702</c:v>
                </c:pt>
                <c:pt idx="2727">
                  <c:v>0.52850152986677246</c:v>
                </c:pt>
                <c:pt idx="2728">
                  <c:v>9.4577863553194239E-2</c:v>
                </c:pt>
                <c:pt idx="2729">
                  <c:v>6.003259565937643E-2</c:v>
                </c:pt>
                <c:pt idx="2730">
                  <c:v>9.2168510226950495E-2</c:v>
                </c:pt>
                <c:pt idx="2731">
                  <c:v>0.28137730926386734</c:v>
                </c:pt>
                <c:pt idx="2732">
                  <c:v>0.1449469347589985</c:v>
                </c:pt>
                <c:pt idx="2733">
                  <c:v>0.34183500757715451</c:v>
                </c:pt>
                <c:pt idx="2734">
                  <c:v>0.37818880592918297</c:v>
                </c:pt>
                <c:pt idx="2735">
                  <c:v>5.1600264011283786E-3</c:v>
                </c:pt>
                <c:pt idx="2736">
                  <c:v>0.25004051282361422</c:v>
                </c:pt>
                <c:pt idx="2737">
                  <c:v>9.7526762093698843E-2</c:v>
                </c:pt>
                <c:pt idx="2738">
                  <c:v>0.27675161898026196</c:v>
                </c:pt>
                <c:pt idx="2739">
                  <c:v>0.1066572874874009</c:v>
                </c:pt>
                <c:pt idx="2740">
                  <c:v>0.19534229856379975</c:v>
                </c:pt>
                <c:pt idx="2741">
                  <c:v>0.36380173353520989</c:v>
                </c:pt>
                <c:pt idx="2742">
                  <c:v>0.43203452032850209</c:v>
                </c:pt>
                <c:pt idx="2743">
                  <c:v>0.24671667511245807</c:v>
                </c:pt>
                <c:pt idx="2744">
                  <c:v>9.6594441502329154E-2</c:v>
                </c:pt>
                <c:pt idx="2745">
                  <c:v>0.26019395599374034</c:v>
                </c:pt>
                <c:pt idx="2746">
                  <c:v>0.53573439652879273</c:v>
                </c:pt>
                <c:pt idx="2747">
                  <c:v>0.11691365271129041</c:v>
                </c:pt>
                <c:pt idx="2748">
                  <c:v>0.50649449347964925</c:v>
                </c:pt>
                <c:pt idx="2749">
                  <c:v>0.20711935833310874</c:v>
                </c:pt>
                <c:pt idx="2750">
                  <c:v>0.12910256829300343</c:v>
                </c:pt>
                <c:pt idx="2751">
                  <c:v>0.1994567683715133</c:v>
                </c:pt>
                <c:pt idx="2752">
                  <c:v>-4.9396868814638256E-2</c:v>
                </c:pt>
                <c:pt idx="2753">
                  <c:v>0.30426099531626838</c:v>
                </c:pt>
                <c:pt idx="2754">
                  <c:v>9.8536651201406755E-2</c:v>
                </c:pt>
                <c:pt idx="2755">
                  <c:v>0.13589107010055756</c:v>
                </c:pt>
                <c:pt idx="2756">
                  <c:v>0.16828234572208248</c:v>
                </c:pt>
                <c:pt idx="2757">
                  <c:v>0.15298463017046809</c:v>
                </c:pt>
                <c:pt idx="2758">
                  <c:v>0.51272922667470489</c:v>
                </c:pt>
                <c:pt idx="2759">
                  <c:v>0.32527857098974255</c:v>
                </c:pt>
                <c:pt idx="2760">
                  <c:v>6.8833560883769393E-2</c:v>
                </c:pt>
                <c:pt idx="2761">
                  <c:v>0.51790381605742697</c:v>
                </c:pt>
                <c:pt idx="2762">
                  <c:v>0.45993882590385338</c:v>
                </c:pt>
                <c:pt idx="2763">
                  <c:v>0.2937167297624676</c:v>
                </c:pt>
                <c:pt idx="2764">
                  <c:v>-7.2404375998109394E-2</c:v>
                </c:pt>
                <c:pt idx="2765">
                  <c:v>-8.2691278888687963E-2</c:v>
                </c:pt>
                <c:pt idx="2766">
                  <c:v>-2.1224072596999419E-2</c:v>
                </c:pt>
                <c:pt idx="2767">
                  <c:v>0.19318346553833241</c:v>
                </c:pt>
                <c:pt idx="2768">
                  <c:v>0.49155536075958672</c:v>
                </c:pt>
                <c:pt idx="2769">
                  <c:v>0.42439638793855539</c:v>
                </c:pt>
                <c:pt idx="2770">
                  <c:v>0.34087622373919418</c:v>
                </c:pt>
                <c:pt idx="2771">
                  <c:v>0.26973163007941076</c:v>
                </c:pt>
                <c:pt idx="2772">
                  <c:v>0.30720817004933015</c:v>
                </c:pt>
                <c:pt idx="2773">
                  <c:v>0.4328868964617324</c:v>
                </c:pt>
                <c:pt idx="2774">
                  <c:v>0.29400601177709473</c:v>
                </c:pt>
                <c:pt idx="2775">
                  <c:v>0.73224707322225469</c:v>
                </c:pt>
                <c:pt idx="2776">
                  <c:v>1.4388405500511486E-2</c:v>
                </c:pt>
                <c:pt idx="2777">
                  <c:v>0.40846839286280451</c:v>
                </c:pt>
                <c:pt idx="2778">
                  <c:v>0.29428027889708314</c:v>
                </c:pt>
                <c:pt idx="2779">
                  <c:v>0.4134851394256851</c:v>
                </c:pt>
                <c:pt idx="2780">
                  <c:v>-3.5519710549215038E-2</c:v>
                </c:pt>
                <c:pt idx="2781">
                  <c:v>9.685119058302244E-3</c:v>
                </c:pt>
                <c:pt idx="2782">
                  <c:v>0.38713874241105528</c:v>
                </c:pt>
                <c:pt idx="2783">
                  <c:v>0.29600752798525953</c:v>
                </c:pt>
                <c:pt idx="2784">
                  <c:v>0.1646725537701603</c:v>
                </c:pt>
                <c:pt idx="2785">
                  <c:v>0.31868940626181275</c:v>
                </c:pt>
                <c:pt idx="2786">
                  <c:v>0.38632279354664745</c:v>
                </c:pt>
                <c:pt idx="2787">
                  <c:v>0.23000613208754397</c:v>
                </c:pt>
                <c:pt idx="2788">
                  <c:v>0.36956419395660878</c:v>
                </c:pt>
                <c:pt idx="2789">
                  <c:v>0.17539889652358387</c:v>
                </c:pt>
                <c:pt idx="2790">
                  <c:v>0.1003052803111022</c:v>
                </c:pt>
                <c:pt idx="2791">
                  <c:v>9.0271919374769249E-2</c:v>
                </c:pt>
                <c:pt idx="2792">
                  <c:v>0.38436903361205632</c:v>
                </c:pt>
                <c:pt idx="2793">
                  <c:v>8.5139525643739583E-2</c:v>
                </c:pt>
                <c:pt idx="2794">
                  <c:v>4.3020185097718391E-2</c:v>
                </c:pt>
                <c:pt idx="2795">
                  <c:v>0.10575219853912105</c:v>
                </c:pt>
                <c:pt idx="2796">
                  <c:v>0.26846030070317206</c:v>
                </c:pt>
                <c:pt idx="2797">
                  <c:v>0.22793312645713773</c:v>
                </c:pt>
                <c:pt idx="2798">
                  <c:v>1.9672972135032933E-2</c:v>
                </c:pt>
                <c:pt idx="2799">
                  <c:v>0.69610816802985076</c:v>
                </c:pt>
                <c:pt idx="2800">
                  <c:v>0.37501911495568518</c:v>
                </c:pt>
                <c:pt idx="2801">
                  <c:v>4.501016525149483E-2</c:v>
                </c:pt>
                <c:pt idx="2802">
                  <c:v>0.36037651237912427</c:v>
                </c:pt>
                <c:pt idx="2803">
                  <c:v>0.47083561497233595</c:v>
                </c:pt>
                <c:pt idx="2804">
                  <c:v>0.17177348872113118</c:v>
                </c:pt>
                <c:pt idx="2805">
                  <c:v>0.3712507410696454</c:v>
                </c:pt>
                <c:pt idx="2806">
                  <c:v>0.11419691747810043</c:v>
                </c:pt>
                <c:pt idx="2807">
                  <c:v>0.46766306600211671</c:v>
                </c:pt>
                <c:pt idx="2808">
                  <c:v>0.38735924577904357</c:v>
                </c:pt>
                <c:pt idx="2809">
                  <c:v>0.46999917354783721</c:v>
                </c:pt>
                <c:pt idx="2810">
                  <c:v>9.9385201515668875E-2</c:v>
                </c:pt>
                <c:pt idx="2811">
                  <c:v>0.43770793048025636</c:v>
                </c:pt>
                <c:pt idx="2812">
                  <c:v>0.46428528511747841</c:v>
                </c:pt>
                <c:pt idx="2813">
                  <c:v>0.14381052735461514</c:v>
                </c:pt>
                <c:pt idx="2814">
                  <c:v>0.172372189598616</c:v>
                </c:pt>
                <c:pt idx="2815">
                  <c:v>0.18249851005906909</c:v>
                </c:pt>
                <c:pt idx="2816">
                  <c:v>-8.0414797589627066E-2</c:v>
                </c:pt>
                <c:pt idx="2817">
                  <c:v>0.30420291693787765</c:v>
                </c:pt>
                <c:pt idx="2818">
                  <c:v>9.2892634177376365E-2</c:v>
                </c:pt>
                <c:pt idx="2819">
                  <c:v>0.68220698467081997</c:v>
                </c:pt>
                <c:pt idx="2820">
                  <c:v>0.15869498758601827</c:v>
                </c:pt>
                <c:pt idx="2821">
                  <c:v>0.16170903610007639</c:v>
                </c:pt>
                <c:pt idx="2822">
                  <c:v>0.20914860020828022</c:v>
                </c:pt>
                <c:pt idx="2823">
                  <c:v>0.17292312339936405</c:v>
                </c:pt>
                <c:pt idx="2824">
                  <c:v>0.27476159158985952</c:v>
                </c:pt>
                <c:pt idx="2825">
                  <c:v>0.28668980799832311</c:v>
                </c:pt>
                <c:pt idx="2826">
                  <c:v>0.14611087390117158</c:v>
                </c:pt>
                <c:pt idx="2827">
                  <c:v>-4.3986802500625796E-2</c:v>
                </c:pt>
                <c:pt idx="2828">
                  <c:v>0.45277047948971355</c:v>
                </c:pt>
                <c:pt idx="2829">
                  <c:v>0.15263009253765239</c:v>
                </c:pt>
                <c:pt idx="2830">
                  <c:v>0.13092390520695055</c:v>
                </c:pt>
                <c:pt idx="2831">
                  <c:v>7.2961564724059305E-2</c:v>
                </c:pt>
                <c:pt idx="2832">
                  <c:v>7.1382651361683452E-2</c:v>
                </c:pt>
                <c:pt idx="2833">
                  <c:v>0.26481957926867122</c:v>
                </c:pt>
                <c:pt idx="2834">
                  <c:v>8.6686938401109762E-2</c:v>
                </c:pt>
                <c:pt idx="2835">
                  <c:v>7.4081077520686392E-2</c:v>
                </c:pt>
                <c:pt idx="2836">
                  <c:v>0.34986832315848709</c:v>
                </c:pt>
                <c:pt idx="2837">
                  <c:v>0.15381835891117429</c:v>
                </c:pt>
                <c:pt idx="2838">
                  <c:v>1.0146610658379209E-2</c:v>
                </c:pt>
                <c:pt idx="2839">
                  <c:v>0.18874584306231276</c:v>
                </c:pt>
                <c:pt idx="2840">
                  <c:v>8.7235185544028176E-2</c:v>
                </c:pt>
                <c:pt idx="2841">
                  <c:v>0.37341544612277566</c:v>
                </c:pt>
                <c:pt idx="2842">
                  <c:v>0.24951502051176155</c:v>
                </c:pt>
                <c:pt idx="2843">
                  <c:v>0.44722751933611482</c:v>
                </c:pt>
                <c:pt idx="2844">
                  <c:v>0.31277737615106388</c:v>
                </c:pt>
                <c:pt idx="2845">
                  <c:v>7.1436417249282541E-2</c:v>
                </c:pt>
                <c:pt idx="2846">
                  <c:v>4.0326710850259337E-2</c:v>
                </c:pt>
                <c:pt idx="2847">
                  <c:v>0.26362319269122059</c:v>
                </c:pt>
                <c:pt idx="2848">
                  <c:v>0.38566178095735221</c:v>
                </c:pt>
                <c:pt idx="2849">
                  <c:v>-8.9179467339562529E-3</c:v>
                </c:pt>
                <c:pt idx="2850">
                  <c:v>-5.5517659111858908E-4</c:v>
                </c:pt>
                <c:pt idx="2851">
                  <c:v>3.1862297646884162E-2</c:v>
                </c:pt>
                <c:pt idx="2852">
                  <c:v>0.26465737639630926</c:v>
                </c:pt>
                <c:pt idx="2853">
                  <c:v>0.23050360587761851</c:v>
                </c:pt>
                <c:pt idx="2854">
                  <c:v>0.32473520196168126</c:v>
                </c:pt>
                <c:pt idx="2855">
                  <c:v>0.11314862561421835</c:v>
                </c:pt>
                <c:pt idx="2856">
                  <c:v>3.1996282277562856E-2</c:v>
                </c:pt>
                <c:pt idx="2857">
                  <c:v>0.37030192029149533</c:v>
                </c:pt>
                <c:pt idx="2858">
                  <c:v>0.49503302583780567</c:v>
                </c:pt>
                <c:pt idx="2859">
                  <c:v>-8.5013570217772685E-3</c:v>
                </c:pt>
                <c:pt idx="2860">
                  <c:v>-5.092962573732053E-2</c:v>
                </c:pt>
                <c:pt idx="2861">
                  <c:v>0.32639677651931565</c:v>
                </c:pt>
                <c:pt idx="2862">
                  <c:v>0.23513559834958628</c:v>
                </c:pt>
                <c:pt idx="2863">
                  <c:v>-1.890212376007535E-2</c:v>
                </c:pt>
                <c:pt idx="2864">
                  <c:v>-7.7679607667708983E-2</c:v>
                </c:pt>
                <c:pt idx="2865">
                  <c:v>3.5514419887869512E-2</c:v>
                </c:pt>
                <c:pt idx="2866">
                  <c:v>0.2317136213181433</c:v>
                </c:pt>
                <c:pt idx="2867">
                  <c:v>0.27638202189294003</c:v>
                </c:pt>
                <c:pt idx="2868">
                  <c:v>0.33126762554025152</c:v>
                </c:pt>
                <c:pt idx="2869">
                  <c:v>0.1836944594149042</c:v>
                </c:pt>
                <c:pt idx="2870">
                  <c:v>7.0351269492788443E-2</c:v>
                </c:pt>
                <c:pt idx="2871">
                  <c:v>4.0469979845627536E-2</c:v>
                </c:pt>
                <c:pt idx="2872">
                  <c:v>0.51083222405489437</c:v>
                </c:pt>
                <c:pt idx="2873">
                  <c:v>-7.1513559362195112E-2</c:v>
                </c:pt>
                <c:pt idx="2874">
                  <c:v>0.41125722401402776</c:v>
                </c:pt>
                <c:pt idx="2875">
                  <c:v>0.26621883808206193</c:v>
                </c:pt>
                <c:pt idx="2876">
                  <c:v>0.47089270117002469</c:v>
                </c:pt>
                <c:pt idx="2877">
                  <c:v>-3.4080290773732383E-2</c:v>
                </c:pt>
                <c:pt idx="2878">
                  <c:v>0.15670217178102994</c:v>
                </c:pt>
                <c:pt idx="2879">
                  <c:v>0.26089951741639988</c:v>
                </c:pt>
                <c:pt idx="2880">
                  <c:v>0.35940265070661792</c:v>
                </c:pt>
                <c:pt idx="2881">
                  <c:v>0.37955973854822289</c:v>
                </c:pt>
                <c:pt idx="2882">
                  <c:v>0.1474665437897564</c:v>
                </c:pt>
                <c:pt idx="2883">
                  <c:v>-5.8048399265689138E-2</c:v>
                </c:pt>
                <c:pt idx="2884">
                  <c:v>1.271838668101901E-2</c:v>
                </c:pt>
                <c:pt idx="2885">
                  <c:v>0.35624098391200748</c:v>
                </c:pt>
                <c:pt idx="2886">
                  <c:v>0.21347822235335981</c:v>
                </c:pt>
                <c:pt idx="2887">
                  <c:v>9.3884009809640206E-2</c:v>
                </c:pt>
                <c:pt idx="2888">
                  <c:v>0.16676574064745994</c:v>
                </c:pt>
                <c:pt idx="2889">
                  <c:v>0.75797738235745249</c:v>
                </c:pt>
                <c:pt idx="2890">
                  <c:v>0.41544853086359529</c:v>
                </c:pt>
                <c:pt idx="2891">
                  <c:v>0.1791332905411917</c:v>
                </c:pt>
                <c:pt idx="2892">
                  <c:v>0.37070155354395667</c:v>
                </c:pt>
                <c:pt idx="2893">
                  <c:v>0.22419362645883451</c:v>
                </c:pt>
                <c:pt idx="2894">
                  <c:v>-6.1696412808679137E-2</c:v>
                </c:pt>
                <c:pt idx="2895">
                  <c:v>0.21620493316431197</c:v>
                </c:pt>
                <c:pt idx="2896">
                  <c:v>0.20645009710935758</c:v>
                </c:pt>
                <c:pt idx="2897">
                  <c:v>0.16438501475229145</c:v>
                </c:pt>
                <c:pt idx="2898">
                  <c:v>0.10046393943160548</c:v>
                </c:pt>
                <c:pt idx="2899">
                  <c:v>0.12614310798159045</c:v>
                </c:pt>
                <c:pt idx="2900">
                  <c:v>-8.1638712672402497E-2</c:v>
                </c:pt>
                <c:pt idx="2901">
                  <c:v>-6.7016969207660815E-3</c:v>
                </c:pt>
                <c:pt idx="2902">
                  <c:v>0.15436815528776582</c:v>
                </c:pt>
                <c:pt idx="2903">
                  <c:v>0.23086100984839619</c:v>
                </c:pt>
                <c:pt idx="2904">
                  <c:v>0.28234582824354443</c:v>
                </c:pt>
                <c:pt idx="2905">
                  <c:v>8.8746602575673114E-2</c:v>
                </c:pt>
                <c:pt idx="2906">
                  <c:v>0.61715943320210809</c:v>
                </c:pt>
                <c:pt idx="2907">
                  <c:v>0.40254823401615952</c:v>
                </c:pt>
                <c:pt idx="2908">
                  <c:v>0.42173368884332035</c:v>
                </c:pt>
                <c:pt idx="2909">
                  <c:v>0.37947052696670092</c:v>
                </c:pt>
                <c:pt idx="2910">
                  <c:v>0.55020677702288134</c:v>
                </c:pt>
                <c:pt idx="2911">
                  <c:v>6.7662123291558546E-2</c:v>
                </c:pt>
                <c:pt idx="2912">
                  <c:v>0.27388979185400869</c:v>
                </c:pt>
                <c:pt idx="2913">
                  <c:v>0.31637588997686977</c:v>
                </c:pt>
                <c:pt idx="2914">
                  <c:v>-8.3054099867618109E-4</c:v>
                </c:pt>
                <c:pt idx="2915">
                  <c:v>0.45419722401188567</c:v>
                </c:pt>
                <c:pt idx="2916">
                  <c:v>0.2418883915324633</c:v>
                </c:pt>
                <c:pt idx="2917">
                  <c:v>2.7135826693779286E-2</c:v>
                </c:pt>
                <c:pt idx="2918">
                  <c:v>0.33135633249213758</c:v>
                </c:pt>
                <c:pt idx="2919">
                  <c:v>0.23774917902660792</c:v>
                </c:pt>
                <c:pt idx="2920">
                  <c:v>-4.9659609399549283E-3</c:v>
                </c:pt>
                <c:pt idx="2921">
                  <c:v>4.1426765089313755E-2</c:v>
                </c:pt>
                <c:pt idx="2922">
                  <c:v>0.45602173430311016</c:v>
                </c:pt>
                <c:pt idx="2923">
                  <c:v>0.18943403812956536</c:v>
                </c:pt>
                <c:pt idx="2924">
                  <c:v>0.30422241064295569</c:v>
                </c:pt>
                <c:pt idx="2925">
                  <c:v>0.35321965115431658</c:v>
                </c:pt>
                <c:pt idx="2926">
                  <c:v>5.5423568751144826E-2</c:v>
                </c:pt>
                <c:pt idx="2927">
                  <c:v>0.17541165215316706</c:v>
                </c:pt>
                <c:pt idx="2928">
                  <c:v>1.3178237918536014E-2</c:v>
                </c:pt>
                <c:pt idx="2929">
                  <c:v>0.70233549573678256</c:v>
                </c:pt>
                <c:pt idx="2930">
                  <c:v>0.29631548606264391</c:v>
                </c:pt>
                <c:pt idx="2931">
                  <c:v>0.17598719735570184</c:v>
                </c:pt>
                <c:pt idx="2932">
                  <c:v>0.42962170077132716</c:v>
                </c:pt>
                <c:pt idx="2933">
                  <c:v>0.27479568450667163</c:v>
                </c:pt>
                <c:pt idx="2934">
                  <c:v>0.41033036309976534</c:v>
                </c:pt>
                <c:pt idx="2935">
                  <c:v>0.4795444450192155</c:v>
                </c:pt>
                <c:pt idx="2936">
                  <c:v>0.29396399847628363</c:v>
                </c:pt>
                <c:pt idx="2937">
                  <c:v>0.29240471712770671</c:v>
                </c:pt>
                <c:pt idx="2938">
                  <c:v>0.29378014623962806</c:v>
                </c:pt>
                <c:pt idx="2939">
                  <c:v>-5.1068473066308864E-2</c:v>
                </c:pt>
                <c:pt idx="2940">
                  <c:v>0.1874415644786826</c:v>
                </c:pt>
                <c:pt idx="2941">
                  <c:v>0.19263298785217461</c:v>
                </c:pt>
                <c:pt idx="2942">
                  <c:v>0.58642784877924126</c:v>
                </c:pt>
                <c:pt idx="2943">
                  <c:v>-5.7611568920836992E-2</c:v>
                </c:pt>
                <c:pt idx="2944">
                  <c:v>0.39743248684619603</c:v>
                </c:pt>
                <c:pt idx="2945">
                  <c:v>0.51302862022686213</c:v>
                </c:pt>
                <c:pt idx="2946">
                  <c:v>0.38378897533424366</c:v>
                </c:pt>
                <c:pt idx="2947">
                  <c:v>0.3286336583598376</c:v>
                </c:pt>
                <c:pt idx="2948">
                  <c:v>0.36146146673518192</c:v>
                </c:pt>
                <c:pt idx="2949">
                  <c:v>0.25950909902320257</c:v>
                </c:pt>
                <c:pt idx="2950">
                  <c:v>4.3730557908746914E-2</c:v>
                </c:pt>
                <c:pt idx="2951">
                  <c:v>0.33118808511396081</c:v>
                </c:pt>
                <c:pt idx="2952">
                  <c:v>0.24587328887278304</c:v>
                </c:pt>
                <c:pt idx="2953">
                  <c:v>0.24713168208041036</c:v>
                </c:pt>
                <c:pt idx="2954">
                  <c:v>2.8006478285425587E-2</c:v>
                </c:pt>
                <c:pt idx="2955">
                  <c:v>0.32473576070039378</c:v>
                </c:pt>
                <c:pt idx="2956">
                  <c:v>0.74366487816480364</c:v>
                </c:pt>
                <c:pt idx="2957">
                  <c:v>0.41965220771895784</c:v>
                </c:pt>
                <c:pt idx="2958">
                  <c:v>0.17252776057450198</c:v>
                </c:pt>
                <c:pt idx="2959">
                  <c:v>0.29428418960955105</c:v>
                </c:pt>
                <c:pt idx="2960">
                  <c:v>6.3232851822506125E-2</c:v>
                </c:pt>
                <c:pt idx="2961">
                  <c:v>0.60256875976808877</c:v>
                </c:pt>
                <c:pt idx="2962">
                  <c:v>-5.3336249551024523E-3</c:v>
                </c:pt>
                <c:pt idx="2963">
                  <c:v>0.26273409453582075</c:v>
                </c:pt>
                <c:pt idx="2964">
                  <c:v>0.17559323112448</c:v>
                </c:pt>
                <c:pt idx="2965">
                  <c:v>-8.7808289106233867E-2</c:v>
                </c:pt>
                <c:pt idx="2966">
                  <c:v>0.21872271957572961</c:v>
                </c:pt>
                <c:pt idx="2967">
                  <c:v>0.2438865139114392</c:v>
                </c:pt>
                <c:pt idx="2968">
                  <c:v>0.18655814663312498</c:v>
                </c:pt>
                <c:pt idx="2969">
                  <c:v>0.34462689746211583</c:v>
                </c:pt>
                <c:pt idx="2970">
                  <c:v>0.26164047774217281</c:v>
                </c:pt>
                <c:pt idx="2971">
                  <c:v>0.20143425510716009</c:v>
                </c:pt>
                <c:pt idx="2972">
                  <c:v>0.24721335463090149</c:v>
                </c:pt>
                <c:pt idx="2973">
                  <c:v>0.2274467304659972</c:v>
                </c:pt>
                <c:pt idx="2974">
                  <c:v>0.142501081243013</c:v>
                </c:pt>
                <c:pt idx="2975">
                  <c:v>0.39434792045829831</c:v>
                </c:pt>
                <c:pt idx="2976">
                  <c:v>0.127038428169789</c:v>
                </c:pt>
                <c:pt idx="2977">
                  <c:v>0.10966796387433121</c:v>
                </c:pt>
                <c:pt idx="2978">
                  <c:v>0.28341683121298111</c:v>
                </c:pt>
                <c:pt idx="2979">
                  <c:v>0.41059872936268949</c:v>
                </c:pt>
                <c:pt idx="2980">
                  <c:v>0.34746005637850491</c:v>
                </c:pt>
                <c:pt idx="2981">
                  <c:v>7.6057084200283731E-2</c:v>
                </c:pt>
                <c:pt idx="2982">
                  <c:v>0.20105520142042332</c:v>
                </c:pt>
                <c:pt idx="2983">
                  <c:v>0.19876275316915312</c:v>
                </c:pt>
                <c:pt idx="2984">
                  <c:v>0.12356233467633776</c:v>
                </c:pt>
                <c:pt idx="2985">
                  <c:v>0.49760310726529355</c:v>
                </c:pt>
                <c:pt idx="2986">
                  <c:v>-2.8441526199424968E-2</c:v>
                </c:pt>
                <c:pt idx="2987">
                  <c:v>0.50897898205223147</c:v>
                </c:pt>
                <c:pt idx="2988">
                  <c:v>0.25142861765290658</c:v>
                </c:pt>
                <c:pt idx="2989">
                  <c:v>0.12674624678408081</c:v>
                </c:pt>
                <c:pt idx="2990">
                  <c:v>-1.0559038487923457E-2</c:v>
                </c:pt>
                <c:pt idx="2991">
                  <c:v>0.2127332308991276</c:v>
                </c:pt>
                <c:pt idx="2992">
                  <c:v>-4.1892774158230714E-2</c:v>
                </c:pt>
                <c:pt idx="2993">
                  <c:v>0.55110156782992292</c:v>
                </c:pt>
                <c:pt idx="2994">
                  <c:v>0.3983787546139963</c:v>
                </c:pt>
                <c:pt idx="2995">
                  <c:v>0.25852339971653471</c:v>
                </c:pt>
                <c:pt idx="2996">
                  <c:v>0.27777256802175659</c:v>
                </c:pt>
                <c:pt idx="2997">
                  <c:v>0.30763092158490524</c:v>
                </c:pt>
                <c:pt idx="2998">
                  <c:v>2.3262061014185504E-2</c:v>
                </c:pt>
                <c:pt idx="2999">
                  <c:v>0.22155023969607873</c:v>
                </c:pt>
                <c:pt idx="3000">
                  <c:v>1.6825747962823191E-2</c:v>
                </c:pt>
                <c:pt idx="3001">
                  <c:v>0.30879652144281083</c:v>
                </c:pt>
                <c:pt idx="3002">
                  <c:v>0.30702372163858183</c:v>
                </c:pt>
                <c:pt idx="3003">
                  <c:v>0.25633616609132204</c:v>
                </c:pt>
                <c:pt idx="3004">
                  <c:v>0.16006144414407927</c:v>
                </c:pt>
                <c:pt idx="3005">
                  <c:v>0.16091893890963291</c:v>
                </c:pt>
                <c:pt idx="3006">
                  <c:v>0.34654657918521098</c:v>
                </c:pt>
                <c:pt idx="3007">
                  <c:v>0.23263415177495267</c:v>
                </c:pt>
                <c:pt idx="3008">
                  <c:v>0.27582291759584571</c:v>
                </c:pt>
                <c:pt idx="3009">
                  <c:v>0.24683566418373284</c:v>
                </c:pt>
                <c:pt idx="3010">
                  <c:v>0.20682022884526172</c:v>
                </c:pt>
                <c:pt idx="3011">
                  <c:v>0.25311175282790321</c:v>
                </c:pt>
                <c:pt idx="3012">
                  <c:v>0.1571182779181019</c:v>
                </c:pt>
                <c:pt idx="3013">
                  <c:v>0.16943465217393183</c:v>
                </c:pt>
                <c:pt idx="3014">
                  <c:v>0.3759108691421631</c:v>
                </c:pt>
                <c:pt idx="3015">
                  <c:v>-8.6106302869584598E-3</c:v>
                </c:pt>
                <c:pt idx="3016">
                  <c:v>9.584876110526365E-2</c:v>
                </c:pt>
                <c:pt idx="3017">
                  <c:v>0.39561486959956715</c:v>
                </c:pt>
                <c:pt idx="3018">
                  <c:v>0.23667365227049719</c:v>
                </c:pt>
                <c:pt idx="3019">
                  <c:v>7.8036721354129313E-2</c:v>
                </c:pt>
                <c:pt idx="3020">
                  <c:v>-7.1624459140614147E-2</c:v>
                </c:pt>
                <c:pt idx="3021">
                  <c:v>0.36641193043822667</c:v>
                </c:pt>
                <c:pt idx="3022">
                  <c:v>0.2694845113178696</c:v>
                </c:pt>
                <c:pt idx="3023">
                  <c:v>0.47447936694493298</c:v>
                </c:pt>
                <c:pt idx="3024">
                  <c:v>0.31078166561019632</c:v>
                </c:pt>
                <c:pt idx="3025">
                  <c:v>0.4053595349562612</c:v>
                </c:pt>
                <c:pt idx="3026">
                  <c:v>0.27797208917623872</c:v>
                </c:pt>
                <c:pt idx="3027">
                  <c:v>-5.9443726707547606E-5</c:v>
                </c:pt>
                <c:pt idx="3028">
                  <c:v>0.22094105646200002</c:v>
                </c:pt>
                <c:pt idx="3029">
                  <c:v>-3.0141447003719443E-2</c:v>
                </c:pt>
                <c:pt idx="3030">
                  <c:v>-5.1510187848475691E-2</c:v>
                </c:pt>
                <c:pt idx="3031">
                  <c:v>0.36099802710869883</c:v>
                </c:pt>
                <c:pt idx="3032">
                  <c:v>0.18928458490006805</c:v>
                </c:pt>
                <c:pt idx="3033">
                  <c:v>0.37377335073317958</c:v>
                </c:pt>
                <c:pt idx="3034">
                  <c:v>0.16168649272553132</c:v>
                </c:pt>
                <c:pt idx="3035">
                  <c:v>0.18273662124213555</c:v>
                </c:pt>
                <c:pt idx="3036">
                  <c:v>0.58389191080438008</c:v>
                </c:pt>
                <c:pt idx="3037">
                  <c:v>4.8208418245072035E-2</c:v>
                </c:pt>
                <c:pt idx="3038">
                  <c:v>6.2001416327157145E-2</c:v>
                </c:pt>
                <c:pt idx="3039">
                  <c:v>0.22953180720531474</c:v>
                </c:pt>
                <c:pt idx="3040">
                  <c:v>0.48953602781883637</c:v>
                </c:pt>
                <c:pt idx="3041">
                  <c:v>0.19442938828948067</c:v>
                </c:pt>
                <c:pt idx="3042">
                  <c:v>0.39696079710492405</c:v>
                </c:pt>
                <c:pt idx="3043">
                  <c:v>0.33462812818475746</c:v>
                </c:pt>
                <c:pt idx="3044">
                  <c:v>0.35777174569588388</c:v>
                </c:pt>
                <c:pt idx="3045">
                  <c:v>0.1724483511226173</c:v>
                </c:pt>
                <c:pt idx="3046">
                  <c:v>0.36645534604038416</c:v>
                </c:pt>
                <c:pt idx="3047">
                  <c:v>0.10747881901637212</c:v>
                </c:pt>
                <c:pt idx="3048">
                  <c:v>0.18545038128663416</c:v>
                </c:pt>
                <c:pt idx="3049">
                  <c:v>0.19300927013024027</c:v>
                </c:pt>
                <c:pt idx="3050">
                  <c:v>4.5760923768874487E-3</c:v>
                </c:pt>
                <c:pt idx="3051">
                  <c:v>7.9867685768009039E-2</c:v>
                </c:pt>
                <c:pt idx="3052">
                  <c:v>8.3513341989651824E-2</c:v>
                </c:pt>
                <c:pt idx="3053">
                  <c:v>0.25510120257167146</c:v>
                </c:pt>
                <c:pt idx="3054">
                  <c:v>0.28437606266465509</c:v>
                </c:pt>
                <c:pt idx="3055">
                  <c:v>-5.8451741811776457E-3</c:v>
                </c:pt>
                <c:pt idx="3056">
                  <c:v>0.78063857421538063</c:v>
                </c:pt>
                <c:pt idx="3057">
                  <c:v>0.15138651454875354</c:v>
                </c:pt>
                <c:pt idx="3058">
                  <c:v>3.1348054227032816E-2</c:v>
                </c:pt>
                <c:pt idx="3059">
                  <c:v>0.16108808191279658</c:v>
                </c:pt>
                <c:pt idx="3060">
                  <c:v>0.22709824504533258</c:v>
                </c:pt>
                <c:pt idx="3061">
                  <c:v>0.35148899233606062</c:v>
                </c:pt>
                <c:pt idx="3062">
                  <c:v>-2.5598478872805461E-2</c:v>
                </c:pt>
                <c:pt idx="3063">
                  <c:v>1.426648868957826E-2</c:v>
                </c:pt>
                <c:pt idx="3064">
                  <c:v>0.19814644269554899</c:v>
                </c:pt>
                <c:pt idx="3065">
                  <c:v>0.26022560606401546</c:v>
                </c:pt>
                <c:pt idx="3066">
                  <c:v>0.29965493296828638</c:v>
                </c:pt>
                <c:pt idx="3067">
                  <c:v>0.38782129752264027</c:v>
                </c:pt>
                <c:pt idx="3068">
                  <c:v>0.39716199981150857</c:v>
                </c:pt>
                <c:pt idx="3069">
                  <c:v>0.33312102780828939</c:v>
                </c:pt>
                <c:pt idx="3070">
                  <c:v>-5.6543102607930856E-2</c:v>
                </c:pt>
                <c:pt idx="3071">
                  <c:v>0.33812994061392887</c:v>
                </c:pt>
                <c:pt idx="3072">
                  <c:v>-5.4535392260226884E-2</c:v>
                </c:pt>
                <c:pt idx="3073">
                  <c:v>0.24784977870450092</c:v>
                </c:pt>
                <c:pt idx="3074">
                  <c:v>-4.74969174757187E-2</c:v>
                </c:pt>
                <c:pt idx="3075">
                  <c:v>0.36485036187041542</c:v>
                </c:pt>
                <c:pt idx="3076">
                  <c:v>0.21937966529323755</c:v>
                </c:pt>
                <c:pt idx="3077">
                  <c:v>0.28313950052410736</c:v>
                </c:pt>
                <c:pt idx="3078">
                  <c:v>0.11182430156020279</c:v>
                </c:pt>
                <c:pt idx="3079">
                  <c:v>0.44592587790312521</c:v>
                </c:pt>
                <c:pt idx="3080">
                  <c:v>0.20373298274578477</c:v>
                </c:pt>
                <c:pt idx="3081">
                  <c:v>0.32460565752894466</c:v>
                </c:pt>
                <c:pt idx="3082">
                  <c:v>1.4082376082192191E-2</c:v>
                </c:pt>
                <c:pt idx="3083">
                  <c:v>0.65390201256184532</c:v>
                </c:pt>
                <c:pt idx="3084">
                  <c:v>0.33099581665860739</c:v>
                </c:pt>
                <c:pt idx="3085">
                  <c:v>0.43614904665714455</c:v>
                </c:pt>
                <c:pt idx="3086">
                  <c:v>0.30151081741525892</c:v>
                </c:pt>
                <c:pt idx="3087">
                  <c:v>0.46206419482815725</c:v>
                </c:pt>
                <c:pt idx="3088">
                  <c:v>0.11970392612634034</c:v>
                </c:pt>
                <c:pt idx="3089">
                  <c:v>0.53378484660832448</c:v>
                </c:pt>
                <c:pt idx="3090">
                  <c:v>8.8995403033769335E-2</c:v>
                </c:pt>
                <c:pt idx="3091">
                  <c:v>0.25996891954472051</c:v>
                </c:pt>
                <c:pt idx="3092">
                  <c:v>-3.1048671423676316E-2</c:v>
                </c:pt>
                <c:pt idx="3093">
                  <c:v>0.28350528059363672</c:v>
                </c:pt>
                <c:pt idx="3094">
                  <c:v>0.36907342318318026</c:v>
                </c:pt>
                <c:pt idx="3095">
                  <c:v>0.1798285274426383</c:v>
                </c:pt>
                <c:pt idx="3096">
                  <c:v>0.30820234975331928</c:v>
                </c:pt>
                <c:pt idx="3097">
                  <c:v>0.2871189849446168</c:v>
                </c:pt>
                <c:pt idx="3098">
                  <c:v>0.42829803320776544</c:v>
                </c:pt>
                <c:pt idx="3099">
                  <c:v>7.145498163750176E-2</c:v>
                </c:pt>
                <c:pt idx="3100">
                  <c:v>0.428125212717544</c:v>
                </c:pt>
                <c:pt idx="3101">
                  <c:v>0.46453349148536444</c:v>
                </c:pt>
                <c:pt idx="3102">
                  <c:v>0.46504214868957794</c:v>
                </c:pt>
                <c:pt idx="3103">
                  <c:v>0.29943845219631188</c:v>
                </c:pt>
                <c:pt idx="3104">
                  <c:v>0.44325931556529419</c:v>
                </c:pt>
                <c:pt idx="3105">
                  <c:v>5.6085774196075959E-2</c:v>
                </c:pt>
                <c:pt idx="3106">
                  <c:v>0.21360878564621733</c:v>
                </c:pt>
                <c:pt idx="3107">
                  <c:v>0.24013822858822212</c:v>
                </c:pt>
                <c:pt idx="3108">
                  <c:v>-7.0015073445956866E-2</c:v>
                </c:pt>
                <c:pt idx="3109">
                  <c:v>1.0874488171390168E-2</c:v>
                </c:pt>
                <c:pt idx="3110">
                  <c:v>0.25614817151403352</c:v>
                </c:pt>
                <c:pt idx="3111">
                  <c:v>9.3771815256078916E-2</c:v>
                </c:pt>
                <c:pt idx="3112">
                  <c:v>0.21549503183275803</c:v>
                </c:pt>
                <c:pt idx="3113">
                  <c:v>-4.1875572232578158E-2</c:v>
                </c:pt>
                <c:pt idx="3114">
                  <c:v>0.12530716452685364</c:v>
                </c:pt>
                <c:pt idx="3115">
                  <c:v>0.40432566987195817</c:v>
                </c:pt>
                <c:pt idx="3116">
                  <c:v>0.55604441357103429</c:v>
                </c:pt>
                <c:pt idx="3117">
                  <c:v>0.27622234252167399</c:v>
                </c:pt>
                <c:pt idx="3118">
                  <c:v>0.19713280125965565</c:v>
                </c:pt>
                <c:pt idx="3119">
                  <c:v>-6.9156925399417535E-2</c:v>
                </c:pt>
                <c:pt idx="3120">
                  <c:v>-6.7295392168043908E-2</c:v>
                </c:pt>
                <c:pt idx="3121">
                  <c:v>0.1574498882827465</c:v>
                </c:pt>
                <c:pt idx="3122">
                  <c:v>9.9324563032044955E-2</c:v>
                </c:pt>
                <c:pt idx="3123">
                  <c:v>0.3269036108989733</c:v>
                </c:pt>
                <c:pt idx="3124">
                  <c:v>0.25429409818128534</c:v>
                </c:pt>
                <c:pt idx="3125">
                  <c:v>0.18657314394675778</c:v>
                </c:pt>
                <c:pt idx="3126">
                  <c:v>0.24778769374033516</c:v>
                </c:pt>
                <c:pt idx="3127">
                  <c:v>0.15917536782959257</c:v>
                </c:pt>
                <c:pt idx="3128">
                  <c:v>0.16067487305153519</c:v>
                </c:pt>
                <c:pt idx="3129">
                  <c:v>-7.5360822382211035E-2</c:v>
                </c:pt>
                <c:pt idx="3130">
                  <c:v>0.26333037555709943</c:v>
                </c:pt>
                <c:pt idx="3131">
                  <c:v>0.34244838127688682</c:v>
                </c:pt>
                <c:pt idx="3132">
                  <c:v>0.15187363802647597</c:v>
                </c:pt>
                <c:pt idx="3133">
                  <c:v>0.54355857693911869</c:v>
                </c:pt>
                <c:pt idx="3134">
                  <c:v>9.9116910211748024E-2</c:v>
                </c:pt>
                <c:pt idx="3135">
                  <c:v>0.29910638946374557</c:v>
                </c:pt>
                <c:pt idx="3136">
                  <c:v>8.3603440246461991E-2</c:v>
                </c:pt>
                <c:pt idx="3137">
                  <c:v>0.24302846495650121</c:v>
                </c:pt>
                <c:pt idx="3138">
                  <c:v>-2.3250606491198755E-2</c:v>
                </c:pt>
                <c:pt idx="3139">
                  <c:v>0.4085908769522959</c:v>
                </c:pt>
                <c:pt idx="3140">
                  <c:v>0.46332522545800342</c:v>
                </c:pt>
                <c:pt idx="3141">
                  <c:v>0.13683023898160934</c:v>
                </c:pt>
                <c:pt idx="3142">
                  <c:v>0.21762837271925797</c:v>
                </c:pt>
                <c:pt idx="3143">
                  <c:v>-1.8776843977365752E-2</c:v>
                </c:pt>
                <c:pt idx="3144">
                  <c:v>0.31656881846016688</c:v>
                </c:pt>
                <c:pt idx="3145">
                  <c:v>1.0548622832842205E-2</c:v>
                </c:pt>
                <c:pt idx="3146">
                  <c:v>0.21905693424709893</c:v>
                </c:pt>
                <c:pt idx="3147">
                  <c:v>-2.9094496510935569E-2</c:v>
                </c:pt>
                <c:pt idx="3148">
                  <c:v>-7.6665090243489359E-2</c:v>
                </c:pt>
                <c:pt idx="3149">
                  <c:v>0.2079780389128969</c:v>
                </c:pt>
                <c:pt idx="3150">
                  <c:v>0.3458131417080359</c:v>
                </c:pt>
                <c:pt idx="3151">
                  <c:v>0.27087807847425499</c:v>
                </c:pt>
                <c:pt idx="3152">
                  <c:v>0.12411620730372042</c:v>
                </c:pt>
                <c:pt idx="3153">
                  <c:v>0.28137189456063272</c:v>
                </c:pt>
                <c:pt idx="3154">
                  <c:v>-3.8944464381988446E-2</c:v>
                </c:pt>
                <c:pt idx="3155">
                  <c:v>7.8960403696590409E-2</c:v>
                </c:pt>
                <c:pt idx="3156">
                  <c:v>0.25955924671097763</c:v>
                </c:pt>
                <c:pt idx="3157">
                  <c:v>-8.2398685063045041E-2</c:v>
                </c:pt>
                <c:pt idx="3158">
                  <c:v>0.42256359308637653</c:v>
                </c:pt>
                <c:pt idx="3159">
                  <c:v>0.18430923820202777</c:v>
                </c:pt>
                <c:pt idx="3160">
                  <c:v>9.8608766859837715E-2</c:v>
                </c:pt>
                <c:pt idx="3161">
                  <c:v>0.38333036502751128</c:v>
                </c:pt>
                <c:pt idx="3162">
                  <c:v>0.27045275466021756</c:v>
                </c:pt>
                <c:pt idx="3163">
                  <c:v>1.7987023333137807E-2</c:v>
                </c:pt>
                <c:pt idx="3164">
                  <c:v>0.18115872912181802</c:v>
                </c:pt>
                <c:pt idx="3165">
                  <c:v>6.9132021817326667E-2</c:v>
                </c:pt>
                <c:pt idx="3166">
                  <c:v>8.7098356703030982E-2</c:v>
                </c:pt>
                <c:pt idx="3167">
                  <c:v>0.41963955292742355</c:v>
                </c:pt>
                <c:pt idx="3168">
                  <c:v>0.79489009447981551</c:v>
                </c:pt>
                <c:pt idx="3169">
                  <c:v>0.25450499255857428</c:v>
                </c:pt>
                <c:pt idx="3170">
                  <c:v>0.13600958140664415</c:v>
                </c:pt>
                <c:pt idx="3171">
                  <c:v>0.16101849636467713</c:v>
                </c:pt>
                <c:pt idx="3172">
                  <c:v>0.76389932799793225</c:v>
                </c:pt>
                <c:pt idx="3173">
                  <c:v>0.19994845455453433</c:v>
                </c:pt>
                <c:pt idx="3174">
                  <c:v>-3.0427979242651032E-2</c:v>
                </c:pt>
                <c:pt idx="3175">
                  <c:v>0.24399401226432099</c:v>
                </c:pt>
                <c:pt idx="3176">
                  <c:v>0.44594915306701821</c:v>
                </c:pt>
                <c:pt idx="3177">
                  <c:v>0.18024897680493879</c:v>
                </c:pt>
                <c:pt idx="3178">
                  <c:v>0.43932707053090042</c:v>
                </c:pt>
                <c:pt idx="3179">
                  <c:v>0.44095309836323049</c:v>
                </c:pt>
                <c:pt idx="3180">
                  <c:v>0.26166139444739939</c:v>
                </c:pt>
                <c:pt idx="3181">
                  <c:v>0.32149387437276594</c:v>
                </c:pt>
                <c:pt idx="3182">
                  <c:v>0.17118718098374486</c:v>
                </c:pt>
                <c:pt idx="3183">
                  <c:v>0.6080720317346896</c:v>
                </c:pt>
                <c:pt idx="3184">
                  <c:v>0.238722471063085</c:v>
                </c:pt>
                <c:pt idx="3185">
                  <c:v>-1.4622274882711533E-2</c:v>
                </c:pt>
                <c:pt idx="3186">
                  <c:v>0.53874123245394057</c:v>
                </c:pt>
                <c:pt idx="3187">
                  <c:v>0.31700762849659808</c:v>
                </c:pt>
                <c:pt idx="3188">
                  <c:v>0.41256391160761291</c:v>
                </c:pt>
                <c:pt idx="3189">
                  <c:v>0.56026280966015063</c:v>
                </c:pt>
                <c:pt idx="3190">
                  <c:v>4.19698378066743E-2</c:v>
                </c:pt>
                <c:pt idx="3191">
                  <c:v>0.25791429874686977</c:v>
                </c:pt>
                <c:pt idx="3192">
                  <c:v>0.16593867656080585</c:v>
                </c:pt>
                <c:pt idx="3193">
                  <c:v>0.14737691089298105</c:v>
                </c:pt>
                <c:pt idx="3194">
                  <c:v>6.7878294675350836E-2</c:v>
                </c:pt>
                <c:pt idx="3195">
                  <c:v>8.6655875821963296E-2</c:v>
                </c:pt>
                <c:pt idx="3196">
                  <c:v>0.35370669149464568</c:v>
                </c:pt>
                <c:pt idx="3197">
                  <c:v>0.34388443538867081</c:v>
                </c:pt>
                <c:pt idx="3198">
                  <c:v>0.36049671668328309</c:v>
                </c:pt>
                <c:pt idx="3199">
                  <c:v>0.25147820152402084</c:v>
                </c:pt>
                <c:pt idx="3200">
                  <c:v>-4.82002583857008E-2</c:v>
                </c:pt>
                <c:pt idx="3201">
                  <c:v>0.73029985268844599</c:v>
                </c:pt>
                <c:pt idx="3202">
                  <c:v>0.21863237493591084</c:v>
                </c:pt>
                <c:pt idx="3203">
                  <c:v>0.17458742472561017</c:v>
                </c:pt>
                <c:pt idx="3204">
                  <c:v>6.5652775578551772E-2</c:v>
                </c:pt>
                <c:pt idx="3205">
                  <c:v>0.26178398555131388</c:v>
                </c:pt>
                <c:pt idx="3206">
                  <c:v>0.35614205819946798</c:v>
                </c:pt>
                <c:pt idx="3207">
                  <c:v>0.7568071425804751</c:v>
                </c:pt>
                <c:pt idx="3208">
                  <c:v>0.51130383859425277</c:v>
                </c:pt>
                <c:pt idx="3209">
                  <c:v>-4.5248916975222875E-2</c:v>
                </c:pt>
                <c:pt idx="3210">
                  <c:v>0.1236354907100891</c:v>
                </c:pt>
                <c:pt idx="3211">
                  <c:v>0.28755753852088795</c:v>
                </c:pt>
                <c:pt idx="3212">
                  <c:v>0.17679018303188632</c:v>
                </c:pt>
                <c:pt idx="3213">
                  <c:v>0.73015745293360235</c:v>
                </c:pt>
                <c:pt idx="3214">
                  <c:v>-1.5944226969366135E-2</c:v>
                </c:pt>
                <c:pt idx="3215">
                  <c:v>4.5687226862404368E-4</c:v>
                </c:pt>
                <c:pt idx="3216">
                  <c:v>0.33895531975914306</c:v>
                </c:pt>
                <c:pt idx="3217">
                  <c:v>0.5014998852942224</c:v>
                </c:pt>
                <c:pt idx="3218">
                  <c:v>0.1410653149269091</c:v>
                </c:pt>
                <c:pt idx="3219">
                  <c:v>0.21866981892166271</c:v>
                </c:pt>
                <c:pt idx="3220">
                  <c:v>0.20285420750715638</c:v>
                </c:pt>
                <c:pt idx="3221">
                  <c:v>0.650721787958634</c:v>
                </c:pt>
                <c:pt idx="3222">
                  <c:v>-2.1412875570250761E-2</c:v>
                </c:pt>
                <c:pt idx="3223">
                  <c:v>0.1682671272605798</c:v>
                </c:pt>
                <c:pt idx="3224">
                  <c:v>0.34267406402653755</c:v>
                </c:pt>
                <c:pt idx="3225">
                  <c:v>4.0479292239791936E-2</c:v>
                </c:pt>
                <c:pt idx="3226">
                  <c:v>3.0107912021776734E-2</c:v>
                </c:pt>
                <c:pt idx="3227">
                  <c:v>0.48914419958376343</c:v>
                </c:pt>
                <c:pt idx="3228">
                  <c:v>0.51141080492769786</c:v>
                </c:pt>
                <c:pt idx="3229">
                  <c:v>0.27578013087991249</c:v>
                </c:pt>
                <c:pt idx="3230">
                  <c:v>0.41195011985627805</c:v>
                </c:pt>
                <c:pt idx="3231">
                  <c:v>0.31815511699300786</c:v>
                </c:pt>
                <c:pt idx="3232">
                  <c:v>0.18832341484535448</c:v>
                </c:pt>
                <c:pt idx="3233">
                  <c:v>0.48910993934320807</c:v>
                </c:pt>
                <c:pt idx="3234">
                  <c:v>0.27945706994614927</c:v>
                </c:pt>
                <c:pt idx="3235">
                  <c:v>0.79584049256739131</c:v>
                </c:pt>
                <c:pt idx="3236">
                  <c:v>0.17376988357948608</c:v>
                </c:pt>
                <c:pt idx="3237">
                  <c:v>0.19277245759909672</c:v>
                </c:pt>
                <c:pt idx="3238">
                  <c:v>0.33308748725498138</c:v>
                </c:pt>
                <c:pt idx="3239">
                  <c:v>0.12365382379234308</c:v>
                </c:pt>
                <c:pt idx="3240">
                  <c:v>0.37180092259931846</c:v>
                </c:pt>
                <c:pt idx="3241">
                  <c:v>0.29053556573982975</c:v>
                </c:pt>
                <c:pt idx="3242">
                  <c:v>0.35428183722266587</c:v>
                </c:pt>
                <c:pt idx="3243">
                  <c:v>0.37163201205777008</c:v>
                </c:pt>
                <c:pt idx="3244">
                  <c:v>0.18544154747294048</c:v>
                </c:pt>
                <c:pt idx="3245">
                  <c:v>8.4010934492619066E-2</c:v>
                </c:pt>
                <c:pt idx="3246">
                  <c:v>-5.8830110568711458E-2</c:v>
                </c:pt>
                <c:pt idx="3247">
                  <c:v>0.13974363228875025</c:v>
                </c:pt>
                <c:pt idx="3248">
                  <c:v>0.31917074300918391</c:v>
                </c:pt>
                <c:pt idx="3249">
                  <c:v>-3.4385468236510182E-2</c:v>
                </c:pt>
                <c:pt idx="3250">
                  <c:v>0.13699693083525724</c:v>
                </c:pt>
                <c:pt idx="3251">
                  <c:v>0.38785491676254003</c:v>
                </c:pt>
                <c:pt idx="3252">
                  <c:v>3.7452051865898013E-2</c:v>
                </c:pt>
                <c:pt idx="3253">
                  <c:v>-1.1435663128866805E-3</c:v>
                </c:pt>
                <c:pt idx="3254">
                  <c:v>0.29591058504056839</c:v>
                </c:pt>
                <c:pt idx="3255">
                  <c:v>0.53371181878802976</c:v>
                </c:pt>
                <c:pt idx="3256">
                  <c:v>7.0801276446964351E-2</c:v>
                </c:pt>
                <c:pt idx="3257">
                  <c:v>-1.9455939804467484E-2</c:v>
                </c:pt>
                <c:pt idx="3258">
                  <c:v>0.26580513247870435</c:v>
                </c:pt>
                <c:pt idx="3259">
                  <c:v>0.39174379744685672</c:v>
                </c:pt>
                <c:pt idx="3260">
                  <c:v>0.21662292482451492</c:v>
                </c:pt>
                <c:pt idx="3261">
                  <c:v>0.195554335654337</c:v>
                </c:pt>
                <c:pt idx="3262">
                  <c:v>0.21097228940236332</c:v>
                </c:pt>
                <c:pt idx="3263">
                  <c:v>0.21606650810531949</c:v>
                </c:pt>
                <c:pt idx="3264">
                  <c:v>0.2512364329406771</c:v>
                </c:pt>
                <c:pt idx="3265">
                  <c:v>0.39016692575929762</c:v>
                </c:pt>
                <c:pt idx="3266">
                  <c:v>0.19783481082612864</c:v>
                </c:pt>
                <c:pt idx="3267">
                  <c:v>2.1991379702483688E-2</c:v>
                </c:pt>
                <c:pt idx="3268">
                  <c:v>0.32101971966927911</c:v>
                </c:pt>
                <c:pt idx="3269">
                  <c:v>0.29985227512832252</c:v>
                </c:pt>
                <c:pt idx="3270">
                  <c:v>0.14616545534143841</c:v>
                </c:pt>
                <c:pt idx="3271">
                  <c:v>9.3981848827972933E-2</c:v>
                </c:pt>
                <c:pt idx="3272">
                  <c:v>0.4198666921959337</c:v>
                </c:pt>
                <c:pt idx="3273">
                  <c:v>0.13687297550237404</c:v>
                </c:pt>
                <c:pt idx="3274">
                  <c:v>0.27339907391584767</c:v>
                </c:pt>
                <c:pt idx="3275">
                  <c:v>0.39498092229499981</c:v>
                </c:pt>
                <c:pt idx="3276">
                  <c:v>0.24435625088759003</c:v>
                </c:pt>
                <c:pt idx="3277">
                  <c:v>0.30004892513106862</c:v>
                </c:pt>
                <c:pt idx="3278">
                  <c:v>0.24159381929609425</c:v>
                </c:pt>
                <c:pt idx="3279">
                  <c:v>2.0491727911733926E-2</c:v>
                </c:pt>
                <c:pt idx="3280">
                  <c:v>0.18164105383264945</c:v>
                </c:pt>
                <c:pt idx="3281">
                  <c:v>-1.0628555186859241E-2</c:v>
                </c:pt>
                <c:pt idx="3282">
                  <c:v>0.2502615678151795</c:v>
                </c:pt>
                <c:pt idx="3283">
                  <c:v>0.11607832114975819</c:v>
                </c:pt>
                <c:pt idx="3284">
                  <c:v>0.43876042086289013</c:v>
                </c:pt>
                <c:pt idx="3285">
                  <c:v>0.3934435910945232</c:v>
                </c:pt>
                <c:pt idx="3286">
                  <c:v>0.18936838208071599</c:v>
                </c:pt>
                <c:pt idx="3287">
                  <c:v>0.58026563347573712</c:v>
                </c:pt>
                <c:pt idx="3288">
                  <c:v>0.42568220520043587</c:v>
                </c:pt>
                <c:pt idx="3289">
                  <c:v>0.23123255709254983</c:v>
                </c:pt>
                <c:pt idx="3290">
                  <c:v>0.5321421041544665</c:v>
                </c:pt>
                <c:pt idx="3291">
                  <c:v>0.31865421120388981</c:v>
                </c:pt>
                <c:pt idx="3292">
                  <c:v>0.2572866454802995</c:v>
                </c:pt>
                <c:pt idx="3293">
                  <c:v>0.27041650029513387</c:v>
                </c:pt>
                <c:pt idx="3294">
                  <c:v>0.1037704738673558</c:v>
                </c:pt>
                <c:pt idx="3295">
                  <c:v>0.3793377176153746</c:v>
                </c:pt>
                <c:pt idx="3296">
                  <c:v>5.0672891102157058E-2</c:v>
                </c:pt>
                <c:pt idx="3297">
                  <c:v>0.25068315159956628</c:v>
                </c:pt>
                <c:pt idx="3298">
                  <c:v>8.0855980163142938E-2</c:v>
                </c:pt>
                <c:pt idx="3299">
                  <c:v>0.14128618983783986</c:v>
                </c:pt>
                <c:pt idx="3300">
                  <c:v>0.30612425470053301</c:v>
                </c:pt>
                <c:pt idx="3301">
                  <c:v>0.27287548247386323</c:v>
                </c:pt>
                <c:pt idx="3302">
                  <c:v>0.29920460509601315</c:v>
                </c:pt>
                <c:pt idx="3303">
                  <c:v>3.6738478843631607E-2</c:v>
                </c:pt>
                <c:pt idx="3304">
                  <c:v>0.57430595145868846</c:v>
                </c:pt>
                <c:pt idx="3305">
                  <c:v>0.2676256078605434</c:v>
                </c:pt>
                <c:pt idx="3306">
                  <c:v>4.5603659640932132E-2</c:v>
                </c:pt>
                <c:pt idx="3307">
                  <c:v>0.16822183292459897</c:v>
                </c:pt>
                <c:pt idx="3308">
                  <c:v>0.41491221759051089</c:v>
                </c:pt>
                <c:pt idx="3309">
                  <c:v>0.18492864489726357</c:v>
                </c:pt>
                <c:pt idx="3310">
                  <c:v>-7.1381737421519154E-2</c:v>
                </c:pt>
                <c:pt idx="3311">
                  <c:v>-4.5728114629760626E-2</c:v>
                </c:pt>
                <c:pt idx="3312">
                  <c:v>0.25958388036006269</c:v>
                </c:pt>
                <c:pt idx="3313">
                  <c:v>0.35270810083672749</c:v>
                </c:pt>
                <c:pt idx="3314">
                  <c:v>9.6461899084066688E-3</c:v>
                </c:pt>
                <c:pt idx="3315">
                  <c:v>3.5884228240025719E-2</c:v>
                </c:pt>
                <c:pt idx="3316">
                  <c:v>7.4119733682219482E-3</c:v>
                </c:pt>
                <c:pt idx="3317">
                  <c:v>8.1555132058381774E-2</c:v>
                </c:pt>
                <c:pt idx="3318">
                  <c:v>0.33445674244440393</c:v>
                </c:pt>
                <c:pt idx="3319">
                  <c:v>0.21600598755359596</c:v>
                </c:pt>
                <c:pt idx="3320">
                  <c:v>0.37116117209449317</c:v>
                </c:pt>
                <c:pt idx="3321">
                  <c:v>2.6057589305825073E-2</c:v>
                </c:pt>
                <c:pt idx="3322">
                  <c:v>0.31134941627669721</c:v>
                </c:pt>
                <c:pt idx="3323">
                  <c:v>0.22024547536523917</c:v>
                </c:pt>
                <c:pt idx="3324">
                  <c:v>0.18714663793423028</c:v>
                </c:pt>
                <c:pt idx="3325">
                  <c:v>0.17432086226031979</c:v>
                </c:pt>
                <c:pt idx="3326">
                  <c:v>0.51129955929608906</c:v>
                </c:pt>
                <c:pt idx="3327">
                  <c:v>0.48249007126528687</c:v>
                </c:pt>
                <c:pt idx="3328">
                  <c:v>0.19604721058137523</c:v>
                </c:pt>
                <c:pt idx="3329">
                  <c:v>0.22034212774038364</c:v>
                </c:pt>
                <c:pt idx="3330">
                  <c:v>0.10270676493053592</c:v>
                </c:pt>
                <c:pt idx="3331">
                  <c:v>0.30474600669402974</c:v>
                </c:pt>
                <c:pt idx="3332">
                  <c:v>0.31533741880923971</c:v>
                </c:pt>
                <c:pt idx="3333">
                  <c:v>0.29451062626305763</c:v>
                </c:pt>
                <c:pt idx="3334">
                  <c:v>0.16504942044396295</c:v>
                </c:pt>
                <c:pt idx="3335">
                  <c:v>0.33688578084630744</c:v>
                </c:pt>
                <c:pt idx="3336">
                  <c:v>0.13972387819691273</c:v>
                </c:pt>
                <c:pt idx="3337">
                  <c:v>0.28126018524646773</c:v>
                </c:pt>
                <c:pt idx="3338">
                  <c:v>0.36782994571291194</c:v>
                </c:pt>
                <c:pt idx="3339">
                  <c:v>3.6470933831188573E-2</c:v>
                </c:pt>
                <c:pt idx="3340">
                  <c:v>-1.9453277123829688E-3</c:v>
                </c:pt>
                <c:pt idx="3341">
                  <c:v>-8.4763932419485655E-2</c:v>
                </c:pt>
                <c:pt idx="3342">
                  <c:v>0.33821120802177451</c:v>
                </c:pt>
                <c:pt idx="3343">
                  <c:v>3.7728208779378852E-3</c:v>
                </c:pt>
                <c:pt idx="3344">
                  <c:v>0.11088158496159595</c:v>
                </c:pt>
                <c:pt idx="3345">
                  <c:v>0.25591597252671661</c:v>
                </c:pt>
                <c:pt idx="3346">
                  <c:v>0.14857373940403321</c:v>
                </c:pt>
                <c:pt idx="3347">
                  <c:v>0.38679355281907657</c:v>
                </c:pt>
                <c:pt idx="3348">
                  <c:v>0.24004078932269829</c:v>
                </c:pt>
                <c:pt idx="3349">
                  <c:v>0.18229031110266741</c:v>
                </c:pt>
                <c:pt idx="3350">
                  <c:v>9.9767297688355835E-2</c:v>
                </c:pt>
                <c:pt idx="3351">
                  <c:v>5.5696270154604009E-2</c:v>
                </c:pt>
                <c:pt idx="3352">
                  <c:v>9.3709859239401089E-2</c:v>
                </c:pt>
                <c:pt idx="3353">
                  <c:v>0.56228630407627178</c:v>
                </c:pt>
                <c:pt idx="3354">
                  <c:v>7.353175100131587E-2</c:v>
                </c:pt>
                <c:pt idx="3355">
                  <c:v>0.37066887187215541</c:v>
                </c:pt>
                <c:pt idx="3356">
                  <c:v>0.25773877756008973</c:v>
                </c:pt>
                <c:pt idx="3357">
                  <c:v>0.73662597071179903</c:v>
                </c:pt>
                <c:pt idx="3358">
                  <c:v>0.19220540515892201</c:v>
                </c:pt>
                <c:pt idx="3359">
                  <c:v>0.2674185342403726</c:v>
                </c:pt>
                <c:pt idx="3360">
                  <c:v>0.41803280269380416</c:v>
                </c:pt>
                <c:pt idx="3361">
                  <c:v>0.33322359657314171</c:v>
                </c:pt>
                <c:pt idx="3362">
                  <c:v>0.473828560484512</c:v>
                </c:pt>
                <c:pt idx="3363">
                  <c:v>0.505763944408961</c:v>
                </c:pt>
                <c:pt idx="3364">
                  <c:v>0.11338780460947484</c:v>
                </c:pt>
                <c:pt idx="3365">
                  <c:v>8.8924762149468484E-4</c:v>
                </c:pt>
                <c:pt idx="3366">
                  <c:v>0.22093534348722871</c:v>
                </c:pt>
                <c:pt idx="3367">
                  <c:v>0.23329537613064494</c:v>
                </c:pt>
                <c:pt idx="3368">
                  <c:v>0.13666324916046202</c:v>
                </c:pt>
                <c:pt idx="3369">
                  <c:v>0.18101150988875686</c:v>
                </c:pt>
                <c:pt idx="3370">
                  <c:v>6.4757639814727513E-2</c:v>
                </c:pt>
                <c:pt idx="3371">
                  <c:v>0.10129561268970806</c:v>
                </c:pt>
                <c:pt idx="3372">
                  <c:v>0.21316163553167411</c:v>
                </c:pt>
                <c:pt idx="3373">
                  <c:v>0.17201324519391253</c:v>
                </c:pt>
                <c:pt idx="3374">
                  <c:v>0.38644886714355353</c:v>
                </c:pt>
                <c:pt idx="3375">
                  <c:v>0.38505387117173517</c:v>
                </c:pt>
                <c:pt idx="3376">
                  <c:v>0.27474774116364375</c:v>
                </c:pt>
                <c:pt idx="3377">
                  <c:v>-4.240337491749651E-2</c:v>
                </c:pt>
                <c:pt idx="3378">
                  <c:v>-7.0706397393096462E-2</c:v>
                </c:pt>
                <c:pt idx="3379">
                  <c:v>0.30723027778449902</c:v>
                </c:pt>
                <c:pt idx="3380">
                  <c:v>8.9687903677432901E-2</c:v>
                </c:pt>
                <c:pt idx="3381">
                  <c:v>2.1244824457108243E-2</c:v>
                </c:pt>
                <c:pt idx="3382">
                  <c:v>2.2394643569297695E-2</c:v>
                </c:pt>
                <c:pt idx="3383">
                  <c:v>0.13723226573927863</c:v>
                </c:pt>
                <c:pt idx="3384">
                  <c:v>0.17135431555582054</c:v>
                </c:pt>
                <c:pt idx="3385">
                  <c:v>0.16921985800548875</c:v>
                </c:pt>
                <c:pt idx="3386">
                  <c:v>0.50838374914563023</c:v>
                </c:pt>
                <c:pt idx="3387">
                  <c:v>-8.747114798339263E-3</c:v>
                </c:pt>
                <c:pt idx="3388">
                  <c:v>8.281944646902531E-2</c:v>
                </c:pt>
                <c:pt idx="3389">
                  <c:v>-1.5768852293893611E-2</c:v>
                </c:pt>
                <c:pt idx="3390">
                  <c:v>0.14216649390735558</c:v>
                </c:pt>
                <c:pt idx="3391">
                  <c:v>0.10692273098761991</c:v>
                </c:pt>
                <c:pt idx="3392">
                  <c:v>9.3868819218566379E-2</c:v>
                </c:pt>
                <c:pt idx="3393">
                  <c:v>0.33623607308346676</c:v>
                </c:pt>
                <c:pt idx="3394">
                  <c:v>0.405030604144277</c:v>
                </c:pt>
                <c:pt idx="3395">
                  <c:v>0.35493378263320424</c:v>
                </c:pt>
                <c:pt idx="3396">
                  <c:v>0.31612910608158995</c:v>
                </c:pt>
                <c:pt idx="3397">
                  <c:v>0.1996061209353531</c:v>
                </c:pt>
                <c:pt idx="3398">
                  <c:v>0.21825426227296674</c:v>
                </c:pt>
                <c:pt idx="3399">
                  <c:v>0.31269775955185292</c:v>
                </c:pt>
                <c:pt idx="3400">
                  <c:v>0.2938867324335479</c:v>
                </c:pt>
                <c:pt idx="3401">
                  <c:v>4.9457660654807209E-2</c:v>
                </c:pt>
                <c:pt idx="3402">
                  <c:v>0.18211696122574139</c:v>
                </c:pt>
                <c:pt idx="3403">
                  <c:v>4.4602691375179235E-2</c:v>
                </c:pt>
                <c:pt idx="3404">
                  <c:v>0.37284376082287329</c:v>
                </c:pt>
                <c:pt idx="3405">
                  <c:v>0.31812039125653546</c:v>
                </c:pt>
                <c:pt idx="3406">
                  <c:v>2.6721558006737388E-2</c:v>
                </c:pt>
                <c:pt idx="3407">
                  <c:v>0.18921700965604255</c:v>
                </c:pt>
                <c:pt idx="3408">
                  <c:v>0.45720342242883688</c:v>
                </c:pt>
                <c:pt idx="3409">
                  <c:v>0.2295069304570192</c:v>
                </c:pt>
                <c:pt idx="3410">
                  <c:v>0.5582988450320665</c:v>
                </c:pt>
                <c:pt idx="3411">
                  <c:v>0.29351180876650784</c:v>
                </c:pt>
                <c:pt idx="3412">
                  <c:v>0.37893201828369433</c:v>
                </c:pt>
                <c:pt idx="3413">
                  <c:v>0.18935749354583947</c:v>
                </c:pt>
                <c:pt idx="3414">
                  <c:v>0.2404977592309748</c:v>
                </c:pt>
                <c:pt idx="3415">
                  <c:v>0.10620068827953583</c:v>
                </c:pt>
                <c:pt idx="3416">
                  <c:v>0.66382543021340967</c:v>
                </c:pt>
                <c:pt idx="3417">
                  <c:v>0.27644807272008709</c:v>
                </c:pt>
                <c:pt idx="3418">
                  <c:v>0.1676663604698812</c:v>
                </c:pt>
                <c:pt idx="3419">
                  <c:v>0.32124013935540274</c:v>
                </c:pt>
                <c:pt idx="3420">
                  <c:v>0.17304806912343826</c:v>
                </c:pt>
                <c:pt idx="3421">
                  <c:v>0.33919563459602775</c:v>
                </c:pt>
                <c:pt idx="3422">
                  <c:v>0.47811545217959561</c:v>
                </c:pt>
                <c:pt idx="3423">
                  <c:v>0.42757962213598916</c:v>
                </c:pt>
                <c:pt idx="3424">
                  <c:v>9.4236218293658053E-2</c:v>
                </c:pt>
                <c:pt idx="3425">
                  <c:v>0.28803526790475886</c:v>
                </c:pt>
                <c:pt idx="3426">
                  <c:v>0.26837848054252017</c:v>
                </c:pt>
                <c:pt idx="3427">
                  <c:v>0.14393309147487626</c:v>
                </c:pt>
                <c:pt idx="3428">
                  <c:v>0.49800500582814139</c:v>
                </c:pt>
                <c:pt idx="3429">
                  <c:v>0.25743794994098579</c:v>
                </c:pt>
                <c:pt idx="3430">
                  <c:v>0.48560515531771731</c:v>
                </c:pt>
                <c:pt idx="3431">
                  <c:v>0.18112138139992023</c:v>
                </c:pt>
                <c:pt idx="3432">
                  <c:v>0.35561058925883182</c:v>
                </c:pt>
                <c:pt idx="3433">
                  <c:v>0.18822144088029594</c:v>
                </c:pt>
                <c:pt idx="3434">
                  <c:v>0.37118259545417759</c:v>
                </c:pt>
                <c:pt idx="3435">
                  <c:v>0.17106517330685655</c:v>
                </c:pt>
                <c:pt idx="3436">
                  <c:v>0.14818267878502861</c:v>
                </c:pt>
                <c:pt idx="3437">
                  <c:v>0.30857757828728583</c:v>
                </c:pt>
                <c:pt idx="3438">
                  <c:v>0.45882754901876538</c:v>
                </c:pt>
                <c:pt idx="3439">
                  <c:v>3.511214613568972E-2</c:v>
                </c:pt>
                <c:pt idx="3440">
                  <c:v>0.17673627477284168</c:v>
                </c:pt>
                <c:pt idx="3441">
                  <c:v>-4.0242134516337257E-2</c:v>
                </c:pt>
                <c:pt idx="3442">
                  <c:v>0.46544033282031677</c:v>
                </c:pt>
                <c:pt idx="3443">
                  <c:v>0.39705681692848493</c:v>
                </c:pt>
                <c:pt idx="3444">
                  <c:v>0.52475303345734625</c:v>
                </c:pt>
                <c:pt idx="3445">
                  <c:v>0.30711380140074318</c:v>
                </c:pt>
                <c:pt idx="3446">
                  <c:v>0.1075357283026056</c:v>
                </c:pt>
                <c:pt idx="3447">
                  <c:v>0.23779959357630501</c:v>
                </c:pt>
                <c:pt idx="3448">
                  <c:v>0.14363149588145474</c:v>
                </c:pt>
                <c:pt idx="3449">
                  <c:v>0.57246557120101893</c:v>
                </c:pt>
                <c:pt idx="3450">
                  <c:v>0.60097436671403259</c:v>
                </c:pt>
                <c:pt idx="3451">
                  <c:v>0.19051969748833858</c:v>
                </c:pt>
                <c:pt idx="3452">
                  <c:v>0.28016105803946256</c:v>
                </c:pt>
                <c:pt idx="3453">
                  <c:v>0.11002104450180088</c:v>
                </c:pt>
                <c:pt idx="3454">
                  <c:v>4.7209676154442715E-2</c:v>
                </c:pt>
                <c:pt idx="3455">
                  <c:v>0.28963347852248122</c:v>
                </c:pt>
                <c:pt idx="3456">
                  <c:v>0.34212730587483547</c:v>
                </c:pt>
                <c:pt idx="3457">
                  <c:v>0.23344812694792746</c:v>
                </c:pt>
                <c:pt idx="3458">
                  <c:v>0.41522229770360902</c:v>
                </c:pt>
                <c:pt idx="3459">
                  <c:v>0.2504929042331967</c:v>
                </c:pt>
                <c:pt idx="3460">
                  <c:v>0.23347219548288251</c:v>
                </c:pt>
                <c:pt idx="3461">
                  <c:v>6.0211517417629361E-2</c:v>
                </c:pt>
                <c:pt idx="3462">
                  <c:v>0.23721716639575982</c:v>
                </c:pt>
                <c:pt idx="3463">
                  <c:v>0.417297456179681</c:v>
                </c:pt>
                <c:pt idx="3464">
                  <c:v>8.6190212262464858E-2</c:v>
                </c:pt>
                <c:pt idx="3465">
                  <c:v>0.36307556697969318</c:v>
                </c:pt>
                <c:pt idx="3466">
                  <c:v>0.27544294352448984</c:v>
                </c:pt>
                <c:pt idx="3467">
                  <c:v>0.17696611851307931</c:v>
                </c:pt>
                <c:pt idx="3468">
                  <c:v>0.27691635550414484</c:v>
                </c:pt>
                <c:pt idx="3469">
                  <c:v>0.28105091952149397</c:v>
                </c:pt>
                <c:pt idx="3470">
                  <c:v>0.17961687364682968</c:v>
                </c:pt>
                <c:pt idx="3471">
                  <c:v>0.19407502311230354</c:v>
                </c:pt>
                <c:pt idx="3472">
                  <c:v>0.24996731647712689</c:v>
                </c:pt>
                <c:pt idx="3473">
                  <c:v>0.28256645462396207</c:v>
                </c:pt>
                <c:pt idx="3474">
                  <c:v>0.30405535661144673</c:v>
                </c:pt>
                <c:pt idx="3475">
                  <c:v>0.17582268251505903</c:v>
                </c:pt>
                <c:pt idx="3476">
                  <c:v>6.8753260393360577E-2</c:v>
                </c:pt>
                <c:pt idx="3477">
                  <c:v>0.47928693673625244</c:v>
                </c:pt>
                <c:pt idx="3478">
                  <c:v>0.51804830045397954</c:v>
                </c:pt>
                <c:pt idx="3479">
                  <c:v>0.17017934390031364</c:v>
                </c:pt>
                <c:pt idx="3480">
                  <c:v>1.6798854038324262E-2</c:v>
                </c:pt>
                <c:pt idx="3481">
                  <c:v>4.7281286187051755E-3</c:v>
                </c:pt>
                <c:pt idx="3482">
                  <c:v>5.1514868189783514E-2</c:v>
                </c:pt>
                <c:pt idx="3483">
                  <c:v>-6.0621657453824536E-2</c:v>
                </c:pt>
                <c:pt idx="3484">
                  <c:v>0.30453496672714508</c:v>
                </c:pt>
                <c:pt idx="3485">
                  <c:v>6.6764421601559196E-2</c:v>
                </c:pt>
                <c:pt idx="3486">
                  <c:v>0.28624873348875696</c:v>
                </c:pt>
                <c:pt idx="3487">
                  <c:v>0.11134928142582551</c:v>
                </c:pt>
                <c:pt idx="3488">
                  <c:v>0.48804806674321211</c:v>
                </c:pt>
                <c:pt idx="3489">
                  <c:v>0.29678368478595668</c:v>
                </c:pt>
                <c:pt idx="3490">
                  <c:v>0.19396637147530382</c:v>
                </c:pt>
                <c:pt idx="3491">
                  <c:v>0.1862496399644411</c:v>
                </c:pt>
                <c:pt idx="3492">
                  <c:v>0.3111717673995345</c:v>
                </c:pt>
                <c:pt idx="3493">
                  <c:v>-7.519240307642977E-2</c:v>
                </c:pt>
                <c:pt idx="3494">
                  <c:v>5.1890963403381472E-2</c:v>
                </c:pt>
                <c:pt idx="3495">
                  <c:v>3.519062898501378E-2</c:v>
                </c:pt>
                <c:pt idx="3496">
                  <c:v>0.14234317360569121</c:v>
                </c:pt>
                <c:pt idx="3497">
                  <c:v>2.6855175434240132E-2</c:v>
                </c:pt>
                <c:pt idx="3498">
                  <c:v>0.33249127891691155</c:v>
                </c:pt>
                <c:pt idx="3499">
                  <c:v>0.37292266177643768</c:v>
                </c:pt>
                <c:pt idx="3500">
                  <c:v>-7.0392891421160592E-2</c:v>
                </c:pt>
                <c:pt idx="3501">
                  <c:v>0.33952199217725998</c:v>
                </c:pt>
                <c:pt idx="3502">
                  <c:v>0.36574364358086636</c:v>
                </c:pt>
                <c:pt idx="3503">
                  <c:v>0.20700377665343975</c:v>
                </c:pt>
                <c:pt idx="3504">
                  <c:v>0.26304029623023856</c:v>
                </c:pt>
                <c:pt idx="3505">
                  <c:v>0.55965023115653056</c:v>
                </c:pt>
                <c:pt idx="3506">
                  <c:v>0.18975699763240961</c:v>
                </c:pt>
                <c:pt idx="3507">
                  <c:v>0.22533739044627263</c:v>
                </c:pt>
                <c:pt idx="3508">
                  <c:v>0.15268130371935754</c:v>
                </c:pt>
                <c:pt idx="3509">
                  <c:v>0.16384899106680084</c:v>
                </c:pt>
                <c:pt idx="3510">
                  <c:v>0.11203963174480372</c:v>
                </c:pt>
                <c:pt idx="3511">
                  <c:v>0.23895770630925015</c:v>
                </c:pt>
                <c:pt idx="3512">
                  <c:v>0.4278011039982822</c:v>
                </c:pt>
                <c:pt idx="3513">
                  <c:v>0.1959220406207455</c:v>
                </c:pt>
                <c:pt idx="3514">
                  <c:v>0.65211008261613246</c:v>
                </c:pt>
                <c:pt idx="3515">
                  <c:v>6.9987648833641031E-2</c:v>
                </c:pt>
                <c:pt idx="3516">
                  <c:v>-3.9756921479438753E-2</c:v>
                </c:pt>
                <c:pt idx="3517">
                  <c:v>0.20261305176500582</c:v>
                </c:pt>
                <c:pt idx="3518">
                  <c:v>-6.8389296589148857E-2</c:v>
                </c:pt>
                <c:pt idx="3519">
                  <c:v>0.35721940700444488</c:v>
                </c:pt>
                <c:pt idx="3520">
                  <c:v>0.38328126534017032</c:v>
                </c:pt>
                <c:pt idx="3521">
                  <c:v>0.30848651570080954</c:v>
                </c:pt>
                <c:pt idx="3522">
                  <c:v>5.0348929864891513E-2</c:v>
                </c:pt>
                <c:pt idx="3523">
                  <c:v>0.75079371242567927</c:v>
                </c:pt>
                <c:pt idx="3524">
                  <c:v>0.68263211644070154</c:v>
                </c:pt>
                <c:pt idx="3525">
                  <c:v>-2.1778830429329959E-3</c:v>
                </c:pt>
                <c:pt idx="3526">
                  <c:v>1.7951713161196148E-3</c:v>
                </c:pt>
                <c:pt idx="3527">
                  <c:v>0.33808801894612955</c:v>
                </c:pt>
                <c:pt idx="3528">
                  <c:v>0.42257326010146301</c:v>
                </c:pt>
                <c:pt idx="3529">
                  <c:v>0.57606625331979489</c:v>
                </c:pt>
                <c:pt idx="3530">
                  <c:v>0.10284391192831829</c:v>
                </c:pt>
                <c:pt idx="3531">
                  <c:v>0.42115620755909355</c:v>
                </c:pt>
                <c:pt idx="3532">
                  <c:v>0.24805028037602744</c:v>
                </c:pt>
                <c:pt idx="3533">
                  <c:v>0.68867928643340159</c:v>
                </c:pt>
                <c:pt idx="3534">
                  <c:v>9.4933348050114802E-2</c:v>
                </c:pt>
                <c:pt idx="3535">
                  <c:v>0.13657047837573738</c:v>
                </c:pt>
                <c:pt idx="3536">
                  <c:v>4.7314746453520837E-2</c:v>
                </c:pt>
                <c:pt idx="3537">
                  <c:v>0.52070700377240653</c:v>
                </c:pt>
                <c:pt idx="3538">
                  <c:v>0.41059301294014333</c:v>
                </c:pt>
                <c:pt idx="3539">
                  <c:v>0.23028013046539542</c:v>
                </c:pt>
                <c:pt idx="3540">
                  <c:v>0.13355590433848363</c:v>
                </c:pt>
                <c:pt idx="3541">
                  <c:v>0.29512817277840031</c:v>
                </c:pt>
                <c:pt idx="3542">
                  <c:v>0.26881024034549938</c:v>
                </c:pt>
                <c:pt idx="3543">
                  <c:v>-3.0770355060248653E-2</c:v>
                </c:pt>
                <c:pt idx="3544">
                  <c:v>0.25021329892180061</c:v>
                </c:pt>
                <c:pt idx="3545">
                  <c:v>0.12578920550049832</c:v>
                </c:pt>
                <c:pt idx="3546">
                  <c:v>9.0661408453292153E-2</c:v>
                </c:pt>
                <c:pt idx="3547">
                  <c:v>1.4357090960701532E-2</c:v>
                </c:pt>
                <c:pt idx="3548">
                  <c:v>0.3788150849674618</c:v>
                </c:pt>
                <c:pt idx="3549">
                  <c:v>0.26714083396901733</c:v>
                </c:pt>
                <c:pt idx="3550">
                  <c:v>0.35072334515996589</c:v>
                </c:pt>
                <c:pt idx="3551">
                  <c:v>-4.0645491321995249E-2</c:v>
                </c:pt>
                <c:pt idx="3552">
                  <c:v>0.45191105342240834</c:v>
                </c:pt>
                <c:pt idx="3553">
                  <c:v>0.24367402640981531</c:v>
                </c:pt>
                <c:pt idx="3554">
                  <c:v>0.16123136079090949</c:v>
                </c:pt>
                <c:pt idx="3555">
                  <c:v>0.65471423864433775</c:v>
                </c:pt>
                <c:pt idx="3556">
                  <c:v>-9.0137700667850415E-2</c:v>
                </c:pt>
                <c:pt idx="3557">
                  <c:v>0.34744577060235415</c:v>
                </c:pt>
                <c:pt idx="3558">
                  <c:v>0.42330987188045249</c:v>
                </c:pt>
                <c:pt idx="3559">
                  <c:v>0.21774631071486236</c:v>
                </c:pt>
                <c:pt idx="3560">
                  <c:v>0.10187890739604386</c:v>
                </c:pt>
                <c:pt idx="3561">
                  <c:v>0.17800135283772203</c:v>
                </c:pt>
                <c:pt idx="3562">
                  <c:v>8.7395728080039092E-2</c:v>
                </c:pt>
                <c:pt idx="3563">
                  <c:v>0.22908135135722291</c:v>
                </c:pt>
                <c:pt idx="3564">
                  <c:v>0.15962289133412894</c:v>
                </c:pt>
                <c:pt idx="3565">
                  <c:v>0.37415679101130478</c:v>
                </c:pt>
                <c:pt idx="3566">
                  <c:v>0.45134403236334925</c:v>
                </c:pt>
                <c:pt idx="3567">
                  <c:v>0.26783491429853162</c:v>
                </c:pt>
                <c:pt idx="3568">
                  <c:v>0.24332900011247879</c:v>
                </c:pt>
                <c:pt idx="3569">
                  <c:v>0.21137365581231238</c:v>
                </c:pt>
                <c:pt idx="3570">
                  <c:v>-7.0648837397124561E-2</c:v>
                </c:pt>
                <c:pt idx="3571">
                  <c:v>0.38644839923105351</c:v>
                </c:pt>
                <c:pt idx="3572">
                  <c:v>0.32840861034526814</c:v>
                </c:pt>
                <c:pt idx="3573">
                  <c:v>-8.7273599853499043E-2</c:v>
                </c:pt>
                <c:pt idx="3574">
                  <c:v>0.36754105639945212</c:v>
                </c:pt>
                <c:pt idx="3575">
                  <c:v>-8.5639278821125209E-3</c:v>
                </c:pt>
                <c:pt idx="3576">
                  <c:v>0.29248896348315417</c:v>
                </c:pt>
                <c:pt idx="3577">
                  <c:v>4.1233092890812513E-2</c:v>
                </c:pt>
                <c:pt idx="3578">
                  <c:v>0.25302054284848646</c:v>
                </c:pt>
                <c:pt idx="3579">
                  <c:v>0.2943074047144778</c:v>
                </c:pt>
                <c:pt idx="3580">
                  <c:v>0.22109453455506603</c:v>
                </c:pt>
                <c:pt idx="3581">
                  <c:v>1.870068141612901E-2</c:v>
                </c:pt>
                <c:pt idx="3582">
                  <c:v>0.20361089835361987</c:v>
                </c:pt>
                <c:pt idx="3583">
                  <c:v>0.16812914364646087</c:v>
                </c:pt>
                <c:pt idx="3584">
                  <c:v>0.30114889122434341</c:v>
                </c:pt>
                <c:pt idx="3585">
                  <c:v>0.57131725873704031</c:v>
                </c:pt>
                <c:pt idx="3586">
                  <c:v>0.23292315368807445</c:v>
                </c:pt>
                <c:pt idx="3587">
                  <c:v>0.20805856818119775</c:v>
                </c:pt>
                <c:pt idx="3588">
                  <c:v>0.52963317368173735</c:v>
                </c:pt>
                <c:pt idx="3589">
                  <c:v>0.26655830417462373</c:v>
                </c:pt>
                <c:pt idx="3590">
                  <c:v>0.27777183417398948</c:v>
                </c:pt>
                <c:pt idx="3591">
                  <c:v>0.23773122116346496</c:v>
                </c:pt>
                <c:pt idx="3592">
                  <c:v>0.29980556710513895</c:v>
                </c:pt>
                <c:pt idx="3593">
                  <c:v>0.2710398712073287</c:v>
                </c:pt>
                <c:pt idx="3594">
                  <c:v>0.22531857581018336</c:v>
                </c:pt>
                <c:pt idx="3595">
                  <c:v>1.0572323635401086E-2</c:v>
                </c:pt>
                <c:pt idx="3596">
                  <c:v>0.41950327127097142</c:v>
                </c:pt>
                <c:pt idx="3597">
                  <c:v>5.9073693511347627E-3</c:v>
                </c:pt>
                <c:pt idx="3598">
                  <c:v>0.33961440399478054</c:v>
                </c:pt>
                <c:pt idx="3599">
                  <c:v>0.28643495845265565</c:v>
                </c:pt>
                <c:pt idx="3600">
                  <c:v>0.44704425977601542</c:v>
                </c:pt>
                <c:pt idx="3601">
                  <c:v>0.29420378797149405</c:v>
                </c:pt>
                <c:pt idx="3602">
                  <c:v>0.13615728664726026</c:v>
                </c:pt>
                <c:pt idx="3603">
                  <c:v>0.10435430080557839</c:v>
                </c:pt>
                <c:pt idx="3604">
                  <c:v>0.19415232998567172</c:v>
                </c:pt>
                <c:pt idx="3605">
                  <c:v>-6.2853442596912307E-2</c:v>
                </c:pt>
                <c:pt idx="3606">
                  <c:v>0.15119781076185471</c:v>
                </c:pt>
                <c:pt idx="3607">
                  <c:v>3.4664557480587117E-2</c:v>
                </c:pt>
                <c:pt idx="3608">
                  <c:v>0.48829949875395645</c:v>
                </c:pt>
                <c:pt idx="3609">
                  <c:v>0.21192298575059168</c:v>
                </c:pt>
                <c:pt idx="3610">
                  <c:v>0.29251930659957981</c:v>
                </c:pt>
                <c:pt idx="3611">
                  <c:v>9.2794965413482991E-2</c:v>
                </c:pt>
                <c:pt idx="3612">
                  <c:v>0.35778130023617183</c:v>
                </c:pt>
                <c:pt idx="3613">
                  <c:v>0.13784798970502182</c:v>
                </c:pt>
                <c:pt idx="3614">
                  <c:v>0.16122471589177026</c:v>
                </c:pt>
                <c:pt idx="3615">
                  <c:v>0.49209943283858781</c:v>
                </c:pt>
                <c:pt idx="3616">
                  <c:v>0.26479802597211854</c:v>
                </c:pt>
                <c:pt idx="3617">
                  <c:v>-2.6367648472660841E-2</c:v>
                </c:pt>
                <c:pt idx="3618">
                  <c:v>4.2888693316236653E-2</c:v>
                </c:pt>
                <c:pt idx="3619">
                  <c:v>0.26015232951386907</c:v>
                </c:pt>
                <c:pt idx="3620">
                  <c:v>0.60643590756690668</c:v>
                </c:pt>
                <c:pt idx="3621">
                  <c:v>0.14452126106327554</c:v>
                </c:pt>
                <c:pt idx="3622">
                  <c:v>0.34922083480974409</c:v>
                </c:pt>
                <c:pt idx="3623">
                  <c:v>0.71413125088324547</c:v>
                </c:pt>
                <c:pt idx="3624">
                  <c:v>0.35786191504162607</c:v>
                </c:pt>
                <c:pt idx="3625">
                  <c:v>0.23609775313353132</c:v>
                </c:pt>
                <c:pt idx="3626">
                  <c:v>5.080733012551835E-2</c:v>
                </c:pt>
                <c:pt idx="3627">
                  <c:v>0.30673534964587656</c:v>
                </c:pt>
                <c:pt idx="3628">
                  <c:v>0.16566929420330803</c:v>
                </c:pt>
                <c:pt idx="3629">
                  <c:v>-3.5957343082020116E-2</c:v>
                </c:pt>
                <c:pt idx="3630">
                  <c:v>-3.1586373407745207E-2</c:v>
                </c:pt>
                <c:pt idx="3631">
                  <c:v>-5.3045917151532396E-3</c:v>
                </c:pt>
                <c:pt idx="3632">
                  <c:v>0.35542049995822877</c:v>
                </c:pt>
                <c:pt idx="3633">
                  <c:v>0.26750583578135079</c:v>
                </c:pt>
                <c:pt idx="3634">
                  <c:v>-4.3433720486967621E-2</c:v>
                </c:pt>
                <c:pt idx="3635">
                  <c:v>0.38733188614933522</c:v>
                </c:pt>
                <c:pt idx="3636">
                  <c:v>0.28641094090679414</c:v>
                </c:pt>
                <c:pt idx="3637">
                  <c:v>0.32000648648182262</c:v>
                </c:pt>
                <c:pt idx="3638">
                  <c:v>0.21161512187731887</c:v>
                </c:pt>
                <c:pt idx="3639">
                  <c:v>0.30807662028744998</c:v>
                </c:pt>
                <c:pt idx="3640">
                  <c:v>5.1366324364408925E-3</c:v>
                </c:pt>
                <c:pt idx="3641">
                  <c:v>5.8037150825815599E-2</c:v>
                </c:pt>
                <c:pt idx="3642">
                  <c:v>0.15844262365414719</c:v>
                </c:pt>
                <c:pt idx="3643">
                  <c:v>0.25522483154055886</c:v>
                </c:pt>
                <c:pt idx="3644">
                  <c:v>0.12777048572179811</c:v>
                </c:pt>
                <c:pt idx="3645">
                  <c:v>0.17329730491635187</c:v>
                </c:pt>
                <c:pt idx="3646">
                  <c:v>8.0060459428417219E-2</c:v>
                </c:pt>
                <c:pt idx="3647">
                  <c:v>0.36094825388790031</c:v>
                </c:pt>
                <c:pt idx="3648">
                  <c:v>0.46675843551844531</c:v>
                </c:pt>
                <c:pt idx="3649">
                  <c:v>0.22806365647738946</c:v>
                </c:pt>
                <c:pt idx="3650">
                  <c:v>-4.8072266007552045E-2</c:v>
                </c:pt>
                <c:pt idx="3651">
                  <c:v>9.549395146634837E-2</c:v>
                </c:pt>
                <c:pt idx="3652">
                  <c:v>-7.9124752348538455E-2</c:v>
                </c:pt>
                <c:pt idx="3653">
                  <c:v>4.8439376073586067E-2</c:v>
                </c:pt>
                <c:pt idx="3654">
                  <c:v>9.0868788171080822E-3</c:v>
                </c:pt>
                <c:pt idx="3655">
                  <c:v>0.18115630388044435</c:v>
                </c:pt>
                <c:pt idx="3656">
                  <c:v>0.17507970981309401</c:v>
                </c:pt>
                <c:pt idx="3657">
                  <c:v>0.28617619560674001</c:v>
                </c:pt>
                <c:pt idx="3658">
                  <c:v>0.37782879397940061</c:v>
                </c:pt>
                <c:pt idx="3659">
                  <c:v>0.41368617446142714</c:v>
                </c:pt>
                <c:pt idx="3660">
                  <c:v>0.21389887300848157</c:v>
                </c:pt>
                <c:pt idx="3661">
                  <c:v>0.19166832268971196</c:v>
                </c:pt>
                <c:pt idx="3662">
                  <c:v>0.25552217314844294</c:v>
                </c:pt>
                <c:pt idx="3663">
                  <c:v>7.2733073303751936E-2</c:v>
                </c:pt>
                <c:pt idx="3664">
                  <c:v>0.1290684189245887</c:v>
                </c:pt>
                <c:pt idx="3665">
                  <c:v>-2.8622031176563874E-2</c:v>
                </c:pt>
                <c:pt idx="3666">
                  <c:v>0.19376815722688523</c:v>
                </c:pt>
                <c:pt idx="3667">
                  <c:v>0.16658941548277709</c:v>
                </c:pt>
                <c:pt idx="3668">
                  <c:v>0.40830270988901241</c:v>
                </c:pt>
                <c:pt idx="3669">
                  <c:v>8.1241743869085781E-2</c:v>
                </c:pt>
                <c:pt idx="3670">
                  <c:v>0.17271454236777622</c:v>
                </c:pt>
                <c:pt idx="3671">
                  <c:v>0.33796888120005286</c:v>
                </c:pt>
                <c:pt idx="3672">
                  <c:v>0.34448725459583696</c:v>
                </c:pt>
                <c:pt idx="3673">
                  <c:v>0.64764949786743797</c:v>
                </c:pt>
                <c:pt idx="3674">
                  <c:v>0.43366478035779338</c:v>
                </c:pt>
                <c:pt idx="3675">
                  <c:v>0.24595361677114355</c:v>
                </c:pt>
                <c:pt idx="3676">
                  <c:v>-3.1742170035441282E-2</c:v>
                </c:pt>
                <c:pt idx="3677">
                  <c:v>0.33352574596044565</c:v>
                </c:pt>
                <c:pt idx="3678">
                  <c:v>0.46599812464690205</c:v>
                </c:pt>
                <c:pt idx="3679">
                  <c:v>-4.3880764223266082E-2</c:v>
                </c:pt>
                <c:pt idx="3680">
                  <c:v>8.3908377137673129E-2</c:v>
                </c:pt>
                <c:pt idx="3681">
                  <c:v>0.2283660099692498</c:v>
                </c:pt>
                <c:pt idx="3682">
                  <c:v>0.24908036132758266</c:v>
                </c:pt>
                <c:pt idx="3683">
                  <c:v>0.472053468721778</c:v>
                </c:pt>
                <c:pt idx="3684">
                  <c:v>0.33876528942834649</c:v>
                </c:pt>
                <c:pt idx="3685">
                  <c:v>0.27864467060227227</c:v>
                </c:pt>
                <c:pt idx="3686">
                  <c:v>0.2249481368236505</c:v>
                </c:pt>
                <c:pt idx="3687">
                  <c:v>0.2729027512658494</c:v>
                </c:pt>
                <c:pt idx="3688">
                  <c:v>0.27489146084034727</c:v>
                </c:pt>
                <c:pt idx="3689">
                  <c:v>3.9150633434005822E-2</c:v>
                </c:pt>
                <c:pt idx="3690">
                  <c:v>0.49058711678036288</c:v>
                </c:pt>
                <c:pt idx="3691">
                  <c:v>0.10923677926969379</c:v>
                </c:pt>
                <c:pt idx="3692">
                  <c:v>0.28055784666280725</c:v>
                </c:pt>
                <c:pt idx="3693">
                  <c:v>0.14033640911542589</c:v>
                </c:pt>
                <c:pt idx="3694">
                  <c:v>0.26831098902088141</c:v>
                </c:pt>
                <c:pt idx="3695">
                  <c:v>0.14172924039439377</c:v>
                </c:pt>
                <c:pt idx="3696">
                  <c:v>0.15489834181485573</c:v>
                </c:pt>
                <c:pt idx="3697">
                  <c:v>9.3570568410088151E-2</c:v>
                </c:pt>
                <c:pt idx="3698">
                  <c:v>0.37317047816831128</c:v>
                </c:pt>
                <c:pt idx="3699">
                  <c:v>0.15897185655904253</c:v>
                </c:pt>
                <c:pt idx="3700">
                  <c:v>0.36869786429752788</c:v>
                </c:pt>
                <c:pt idx="3701">
                  <c:v>0.18379731613253952</c:v>
                </c:pt>
                <c:pt idx="3702">
                  <c:v>0.22027296150305559</c:v>
                </c:pt>
                <c:pt idx="3703">
                  <c:v>9.7398459441355084E-2</c:v>
                </c:pt>
                <c:pt idx="3704">
                  <c:v>0.19173043769151268</c:v>
                </c:pt>
                <c:pt idx="3705">
                  <c:v>5.835625864003096E-2</c:v>
                </c:pt>
                <c:pt idx="3706">
                  <c:v>0.15128872257329257</c:v>
                </c:pt>
                <c:pt idx="3707">
                  <c:v>0.49965353576701294</c:v>
                </c:pt>
                <c:pt idx="3708">
                  <c:v>0.12335906998557603</c:v>
                </c:pt>
                <c:pt idx="3709">
                  <c:v>0.31983449572719364</c:v>
                </c:pt>
                <c:pt idx="3710">
                  <c:v>0.2447157817999642</c:v>
                </c:pt>
                <c:pt idx="3711">
                  <c:v>0.33749815046420828</c:v>
                </c:pt>
                <c:pt idx="3712">
                  <c:v>0.36439235199271353</c:v>
                </c:pt>
                <c:pt idx="3713">
                  <c:v>0.35338219253471048</c:v>
                </c:pt>
                <c:pt idx="3714">
                  <c:v>3.8126221448104541E-2</c:v>
                </c:pt>
                <c:pt idx="3715">
                  <c:v>0.40688171294766712</c:v>
                </c:pt>
                <c:pt idx="3716">
                  <c:v>0.13443803409590391</c:v>
                </c:pt>
                <c:pt idx="3717">
                  <c:v>3.9449445825742432E-2</c:v>
                </c:pt>
                <c:pt idx="3718">
                  <c:v>0.23558014355133289</c:v>
                </c:pt>
                <c:pt idx="3719">
                  <c:v>0.20653079463200327</c:v>
                </c:pt>
                <c:pt idx="3720">
                  <c:v>0.20009008203054141</c:v>
                </c:pt>
                <c:pt idx="3721">
                  <c:v>0.10662622408275489</c:v>
                </c:pt>
                <c:pt idx="3722">
                  <c:v>0.3608257466862263</c:v>
                </c:pt>
                <c:pt idx="3723">
                  <c:v>0.32865094539235201</c:v>
                </c:pt>
                <c:pt idx="3724">
                  <c:v>0.19928977789796098</c:v>
                </c:pt>
                <c:pt idx="3725">
                  <c:v>0.56458721153359304</c:v>
                </c:pt>
                <c:pt idx="3726">
                  <c:v>0.59374147964641966</c:v>
                </c:pt>
                <c:pt idx="3727">
                  <c:v>0.33612156541120286</c:v>
                </c:pt>
                <c:pt idx="3728">
                  <c:v>1.8520611814087998E-2</c:v>
                </c:pt>
                <c:pt idx="3729">
                  <c:v>0.32568005616492668</c:v>
                </c:pt>
                <c:pt idx="3730">
                  <c:v>-7.7053581353096062E-4</c:v>
                </c:pt>
                <c:pt idx="3731">
                  <c:v>0.49380178955779558</c:v>
                </c:pt>
                <c:pt idx="3732">
                  <c:v>0.3595326409983447</c:v>
                </c:pt>
                <c:pt idx="3733">
                  <c:v>0.12244993991520761</c:v>
                </c:pt>
                <c:pt idx="3734">
                  <c:v>0.2663971794704954</c:v>
                </c:pt>
                <c:pt idx="3735">
                  <c:v>0.30251491743064246</c:v>
                </c:pt>
                <c:pt idx="3736">
                  <c:v>0.39239951916201943</c:v>
                </c:pt>
                <c:pt idx="3737">
                  <c:v>0.2189172593924012</c:v>
                </c:pt>
                <c:pt idx="3738">
                  <c:v>8.1469410774571621E-2</c:v>
                </c:pt>
                <c:pt idx="3739">
                  <c:v>0.32212747231652372</c:v>
                </c:pt>
                <c:pt idx="3740">
                  <c:v>0.28114808572812844</c:v>
                </c:pt>
                <c:pt idx="3741">
                  <c:v>0.40296723900560233</c:v>
                </c:pt>
                <c:pt idx="3742">
                  <c:v>0.26292107096498496</c:v>
                </c:pt>
                <c:pt idx="3743">
                  <c:v>5.7145155343459236E-2</c:v>
                </c:pt>
                <c:pt idx="3744">
                  <c:v>5.0245152875087601E-2</c:v>
                </c:pt>
                <c:pt idx="3745">
                  <c:v>0.47503047184435776</c:v>
                </c:pt>
                <c:pt idx="3746">
                  <c:v>-9.8967155507269852E-3</c:v>
                </c:pt>
                <c:pt idx="3747">
                  <c:v>0.25649735763445664</c:v>
                </c:pt>
                <c:pt idx="3748">
                  <c:v>0.30025609077040305</c:v>
                </c:pt>
                <c:pt idx="3749">
                  <c:v>0.22745149537142989</c:v>
                </c:pt>
                <c:pt idx="3750">
                  <c:v>0.40626310291503309</c:v>
                </c:pt>
                <c:pt idx="3751">
                  <c:v>8.6645464782113574E-2</c:v>
                </c:pt>
                <c:pt idx="3752">
                  <c:v>0.21694219752901331</c:v>
                </c:pt>
                <c:pt idx="3753">
                  <c:v>0.13263059997651691</c:v>
                </c:pt>
                <c:pt idx="3754">
                  <c:v>0.39079783448859318</c:v>
                </c:pt>
                <c:pt idx="3755">
                  <c:v>7.691674160491993E-2</c:v>
                </c:pt>
                <c:pt idx="3756">
                  <c:v>0.24642397412092454</c:v>
                </c:pt>
                <c:pt idx="3757">
                  <c:v>0.23271853862477926</c:v>
                </c:pt>
                <c:pt idx="3758">
                  <c:v>0.2112772761744513</c:v>
                </c:pt>
                <c:pt idx="3759">
                  <c:v>-4.5431858908193234E-2</c:v>
                </c:pt>
                <c:pt idx="3760">
                  <c:v>0.2902230678824323</c:v>
                </c:pt>
                <c:pt idx="3761">
                  <c:v>-6.5772949875417319E-2</c:v>
                </c:pt>
                <c:pt idx="3762">
                  <c:v>2.2152165751898545E-2</c:v>
                </c:pt>
                <c:pt idx="3763">
                  <c:v>0.27470938225201375</c:v>
                </c:pt>
                <c:pt idx="3764">
                  <c:v>-1.4458875225284107E-2</c:v>
                </c:pt>
                <c:pt idx="3765">
                  <c:v>0.40530379234234487</c:v>
                </c:pt>
                <c:pt idx="3766">
                  <c:v>0.26450844953776631</c:v>
                </c:pt>
                <c:pt idx="3767">
                  <c:v>0.52577720422343321</c:v>
                </c:pt>
                <c:pt idx="3768">
                  <c:v>0.34644415690904512</c:v>
                </c:pt>
                <c:pt idx="3769">
                  <c:v>0.24281526756950647</c:v>
                </c:pt>
                <c:pt idx="3770">
                  <c:v>0.68688212271294147</c:v>
                </c:pt>
                <c:pt idx="3771">
                  <c:v>0.15878789913044458</c:v>
                </c:pt>
                <c:pt idx="3772">
                  <c:v>0.14344496747790475</c:v>
                </c:pt>
                <c:pt idx="3773">
                  <c:v>0.27562918079038162</c:v>
                </c:pt>
                <c:pt idx="3774">
                  <c:v>0.27562275011822379</c:v>
                </c:pt>
                <c:pt idx="3775">
                  <c:v>-6.1973962627158395E-2</c:v>
                </c:pt>
                <c:pt idx="3776">
                  <c:v>0.12876597263870071</c:v>
                </c:pt>
                <c:pt idx="3777">
                  <c:v>0.53040261588124549</c:v>
                </c:pt>
                <c:pt idx="3778">
                  <c:v>0.43498338894985172</c:v>
                </c:pt>
                <c:pt idx="3779">
                  <c:v>0.2723781878160022</c:v>
                </c:pt>
                <c:pt idx="3780">
                  <c:v>0.51977020773065685</c:v>
                </c:pt>
                <c:pt idx="3781">
                  <c:v>0.3876336341649419</c:v>
                </c:pt>
                <c:pt idx="3782">
                  <c:v>0.12672773122973058</c:v>
                </c:pt>
                <c:pt idx="3783">
                  <c:v>-2.641202557714753E-2</c:v>
                </c:pt>
                <c:pt idx="3784">
                  <c:v>0.3195224467290525</c:v>
                </c:pt>
                <c:pt idx="3785">
                  <c:v>0.22760160268323967</c:v>
                </c:pt>
                <c:pt idx="3786">
                  <c:v>-2.657340581693389E-2</c:v>
                </c:pt>
                <c:pt idx="3787">
                  <c:v>-8.7445613737730687E-2</c:v>
                </c:pt>
                <c:pt idx="3788">
                  <c:v>0.64619901699089977</c:v>
                </c:pt>
                <c:pt idx="3789">
                  <c:v>8.7517758266115936E-2</c:v>
                </c:pt>
                <c:pt idx="3790">
                  <c:v>0.41567027491273956</c:v>
                </c:pt>
                <c:pt idx="3791">
                  <c:v>9.3329801869120405E-2</c:v>
                </c:pt>
                <c:pt idx="3792">
                  <c:v>0.37264193405442686</c:v>
                </c:pt>
                <c:pt idx="3793">
                  <c:v>0.22672240060523288</c:v>
                </c:pt>
                <c:pt idx="3794">
                  <c:v>0.1629942669821135</c:v>
                </c:pt>
                <c:pt idx="3795">
                  <c:v>0.48654513207609179</c:v>
                </c:pt>
                <c:pt idx="3796">
                  <c:v>0.28050194017605701</c:v>
                </c:pt>
                <c:pt idx="3797">
                  <c:v>0.48403824028773312</c:v>
                </c:pt>
                <c:pt idx="3798">
                  <c:v>0.55802995347140749</c:v>
                </c:pt>
                <c:pt idx="3799">
                  <c:v>0.32489268275270211</c:v>
                </c:pt>
                <c:pt idx="3800">
                  <c:v>0.33207839789494087</c:v>
                </c:pt>
                <c:pt idx="3801">
                  <c:v>0.31507430406232717</c:v>
                </c:pt>
                <c:pt idx="3802">
                  <c:v>2.7587401498143246E-2</c:v>
                </c:pt>
                <c:pt idx="3803">
                  <c:v>0.44885850379521441</c:v>
                </c:pt>
                <c:pt idx="3804">
                  <c:v>0.45723575679578971</c:v>
                </c:pt>
                <c:pt idx="3805">
                  <c:v>-2.1121078544906247E-2</c:v>
                </c:pt>
                <c:pt idx="3806">
                  <c:v>0.232817123016237</c:v>
                </c:pt>
                <c:pt idx="3807">
                  <c:v>0.33778467919925509</c:v>
                </c:pt>
                <c:pt idx="3808">
                  <c:v>-6.4101068414078338E-2</c:v>
                </c:pt>
                <c:pt idx="3809">
                  <c:v>0.13269919284715559</c:v>
                </c:pt>
                <c:pt idx="3810">
                  <c:v>0.15699903970822374</c:v>
                </c:pt>
                <c:pt idx="3811">
                  <c:v>0.31199620197941841</c:v>
                </c:pt>
                <c:pt idx="3812">
                  <c:v>0.33237539119422105</c:v>
                </c:pt>
                <c:pt idx="3813">
                  <c:v>0.2702940555846704</c:v>
                </c:pt>
                <c:pt idx="3814">
                  <c:v>0.5433657032165542</c:v>
                </c:pt>
                <c:pt idx="3815">
                  <c:v>0.11297148400340154</c:v>
                </c:pt>
                <c:pt idx="3816">
                  <c:v>0.10104806361189571</c:v>
                </c:pt>
                <c:pt idx="3817">
                  <c:v>0.63744174922389518</c:v>
                </c:pt>
                <c:pt idx="3818">
                  <c:v>0.28873815386367263</c:v>
                </c:pt>
                <c:pt idx="3819">
                  <c:v>0.24930335163338366</c:v>
                </c:pt>
                <c:pt idx="3820">
                  <c:v>0.19826669786684378</c:v>
                </c:pt>
                <c:pt idx="3821">
                  <c:v>0.22149835268403123</c:v>
                </c:pt>
                <c:pt idx="3822">
                  <c:v>0.2961607194589152</c:v>
                </c:pt>
                <c:pt idx="3823">
                  <c:v>8.2350764850456365E-4</c:v>
                </c:pt>
                <c:pt idx="3824">
                  <c:v>0.60233724915330256</c:v>
                </c:pt>
                <c:pt idx="3825">
                  <c:v>0.24791519144851454</c:v>
                </c:pt>
                <c:pt idx="3826">
                  <c:v>0.16416812527579247</c:v>
                </c:pt>
                <c:pt idx="3827">
                  <c:v>-4.7471072375677721E-2</c:v>
                </c:pt>
                <c:pt idx="3828">
                  <c:v>0.58496749928223724</c:v>
                </c:pt>
                <c:pt idx="3829">
                  <c:v>1.0459133073316623E-2</c:v>
                </c:pt>
                <c:pt idx="3830">
                  <c:v>0.13146861554520534</c:v>
                </c:pt>
                <c:pt idx="3831">
                  <c:v>0.33092849414312059</c:v>
                </c:pt>
                <c:pt idx="3832">
                  <c:v>-8.3336426914317308E-2</c:v>
                </c:pt>
                <c:pt idx="3833">
                  <c:v>0.11516709431949486</c:v>
                </c:pt>
                <c:pt idx="3834">
                  <c:v>0.26899797487397409</c:v>
                </c:pt>
                <c:pt idx="3835">
                  <c:v>0.17706816064467393</c:v>
                </c:pt>
                <c:pt idx="3836">
                  <c:v>0.53175350623894402</c:v>
                </c:pt>
                <c:pt idx="3837">
                  <c:v>0.33051558187155056</c:v>
                </c:pt>
                <c:pt idx="3838">
                  <c:v>0.25425533890569202</c:v>
                </c:pt>
                <c:pt idx="3839">
                  <c:v>0.39364918220919481</c:v>
                </c:pt>
                <c:pt idx="3840">
                  <c:v>0.24345369469804432</c:v>
                </c:pt>
                <c:pt idx="3841">
                  <c:v>0.29723567682925761</c:v>
                </c:pt>
                <c:pt idx="3842">
                  <c:v>9.4470862495475344E-2</c:v>
                </c:pt>
                <c:pt idx="3843">
                  <c:v>0.37260048951154096</c:v>
                </c:pt>
                <c:pt idx="3844">
                  <c:v>0.18806172459373757</c:v>
                </c:pt>
                <c:pt idx="3845">
                  <c:v>0.10988634382384596</c:v>
                </c:pt>
                <c:pt idx="3846">
                  <c:v>-7.2780543402529554E-2</c:v>
                </c:pt>
                <c:pt idx="3847">
                  <c:v>0.22168865051277326</c:v>
                </c:pt>
                <c:pt idx="3848">
                  <c:v>0.24302791569887056</c:v>
                </c:pt>
                <c:pt idx="3849">
                  <c:v>0.28577684534533271</c:v>
                </c:pt>
                <c:pt idx="3850">
                  <c:v>0.23198372999611858</c:v>
                </c:pt>
                <c:pt idx="3851">
                  <c:v>0.1768102935365003</c:v>
                </c:pt>
                <c:pt idx="3852">
                  <c:v>0.16301827605477534</c:v>
                </c:pt>
                <c:pt idx="3853">
                  <c:v>5.2104860449414467E-2</c:v>
                </c:pt>
                <c:pt idx="3854">
                  <c:v>-1.6120448333518285E-3</c:v>
                </c:pt>
                <c:pt idx="3855">
                  <c:v>0.50763101560665114</c:v>
                </c:pt>
                <c:pt idx="3856">
                  <c:v>-5.8553471182485245E-2</c:v>
                </c:pt>
                <c:pt idx="3857">
                  <c:v>0.12701964696956403</c:v>
                </c:pt>
                <c:pt idx="3858">
                  <c:v>0.12319539878529662</c:v>
                </c:pt>
                <c:pt idx="3859">
                  <c:v>0.29498313865272535</c:v>
                </c:pt>
                <c:pt idx="3860">
                  <c:v>0.38256099356939899</c:v>
                </c:pt>
                <c:pt idx="3861">
                  <c:v>0.12030795214816511</c:v>
                </c:pt>
                <c:pt idx="3862">
                  <c:v>1.3571383380512293E-2</c:v>
                </c:pt>
                <c:pt idx="3863">
                  <c:v>0.36089100137843794</c:v>
                </c:pt>
                <c:pt idx="3864">
                  <c:v>0.46693919683936913</c:v>
                </c:pt>
                <c:pt idx="3865">
                  <c:v>0.17359240781821739</c:v>
                </c:pt>
                <c:pt idx="3866">
                  <c:v>0.28798735434431694</c:v>
                </c:pt>
                <c:pt idx="3867">
                  <c:v>0.42703680208498851</c:v>
                </c:pt>
                <c:pt idx="3868">
                  <c:v>0.17832947183217346</c:v>
                </c:pt>
                <c:pt idx="3869">
                  <c:v>0.4290686461205272</c:v>
                </c:pt>
                <c:pt idx="3870">
                  <c:v>0.3261055142572209</c:v>
                </c:pt>
                <c:pt idx="3871">
                  <c:v>1.8509865291151964E-2</c:v>
                </c:pt>
                <c:pt idx="3872">
                  <c:v>0.16148634790430866</c:v>
                </c:pt>
                <c:pt idx="3873">
                  <c:v>0.20680606172394822</c:v>
                </c:pt>
                <c:pt idx="3874">
                  <c:v>0.24453654786188611</c:v>
                </c:pt>
                <c:pt idx="3875">
                  <c:v>0.54038403910320787</c:v>
                </c:pt>
                <c:pt idx="3876">
                  <c:v>0.40458333923144435</c:v>
                </c:pt>
                <c:pt idx="3877">
                  <c:v>0.17481027084960113</c:v>
                </c:pt>
                <c:pt idx="3878">
                  <c:v>0.31863485019341631</c:v>
                </c:pt>
                <c:pt idx="3879">
                  <c:v>0.63440566972466539</c:v>
                </c:pt>
                <c:pt idx="3880">
                  <c:v>-7.8822431079038788E-2</c:v>
                </c:pt>
                <c:pt idx="3881">
                  <c:v>0.31913269868934308</c:v>
                </c:pt>
                <c:pt idx="3882">
                  <c:v>6.9833770652748539E-2</c:v>
                </c:pt>
                <c:pt idx="3883">
                  <c:v>0.12275868358882448</c:v>
                </c:pt>
                <c:pt idx="3884">
                  <c:v>0.52789777003731353</c:v>
                </c:pt>
                <c:pt idx="3885">
                  <c:v>0.29239726898175517</c:v>
                </c:pt>
                <c:pt idx="3886">
                  <c:v>0.44290805948427958</c:v>
                </c:pt>
                <c:pt idx="3887">
                  <c:v>0.31422792504026015</c:v>
                </c:pt>
                <c:pt idx="3888">
                  <c:v>-1.8520103105847507E-2</c:v>
                </c:pt>
                <c:pt idx="3889">
                  <c:v>0.22990281888001621</c:v>
                </c:pt>
                <c:pt idx="3890">
                  <c:v>0.1949318214223224</c:v>
                </c:pt>
                <c:pt idx="3891">
                  <c:v>0.10920075667331006</c:v>
                </c:pt>
                <c:pt idx="3892">
                  <c:v>0.24749481693776001</c:v>
                </c:pt>
                <c:pt idx="3893">
                  <c:v>-3.7896651854034472E-2</c:v>
                </c:pt>
                <c:pt idx="3894">
                  <c:v>0.52135884988982006</c:v>
                </c:pt>
                <c:pt idx="3895">
                  <c:v>0.15115650412015041</c:v>
                </c:pt>
                <c:pt idx="3896">
                  <c:v>0.47645432940736304</c:v>
                </c:pt>
                <c:pt idx="3897">
                  <c:v>0.23896245358302343</c:v>
                </c:pt>
                <c:pt idx="3898">
                  <c:v>2.2022009066540706E-2</c:v>
                </c:pt>
                <c:pt idx="3899">
                  <c:v>0.14672674965645105</c:v>
                </c:pt>
                <c:pt idx="3900">
                  <c:v>0.25154318819282151</c:v>
                </c:pt>
                <c:pt idx="3901">
                  <c:v>0.14628402456833295</c:v>
                </c:pt>
                <c:pt idx="3902">
                  <c:v>0.12673938205573318</c:v>
                </c:pt>
                <c:pt idx="3903">
                  <c:v>0.14008513525764443</c:v>
                </c:pt>
                <c:pt idx="3904">
                  <c:v>0.42443339770436556</c:v>
                </c:pt>
                <c:pt idx="3905">
                  <c:v>0.12158659003665973</c:v>
                </c:pt>
                <c:pt idx="3906">
                  <c:v>0.3780037501078316</c:v>
                </c:pt>
                <c:pt idx="3907">
                  <c:v>0.38559676354269706</c:v>
                </c:pt>
                <c:pt idx="3908">
                  <c:v>0.16703832167339144</c:v>
                </c:pt>
                <c:pt idx="3909">
                  <c:v>0.10305484445470262</c:v>
                </c:pt>
                <c:pt idx="3910">
                  <c:v>0.14314115079576872</c:v>
                </c:pt>
                <c:pt idx="3911">
                  <c:v>0.35032093662071562</c:v>
                </c:pt>
                <c:pt idx="3912">
                  <c:v>7.5400025896416825E-2</c:v>
                </c:pt>
                <c:pt idx="3913">
                  <c:v>0.34802544068163582</c:v>
                </c:pt>
                <c:pt idx="3914">
                  <c:v>0.20235970439694004</c:v>
                </c:pt>
                <c:pt idx="3915">
                  <c:v>-9.2009438666785362E-2</c:v>
                </c:pt>
                <c:pt idx="3916">
                  <c:v>-6.3667342838164165E-2</c:v>
                </c:pt>
                <c:pt idx="3917">
                  <c:v>0.29099003554880087</c:v>
                </c:pt>
                <c:pt idx="3918">
                  <c:v>0.38919040719535003</c:v>
                </c:pt>
                <c:pt idx="3919">
                  <c:v>-1.123803670599384E-2</c:v>
                </c:pt>
                <c:pt idx="3920">
                  <c:v>-1.2826449787048486E-2</c:v>
                </c:pt>
                <c:pt idx="3921">
                  <c:v>5.7033593909346474E-3</c:v>
                </c:pt>
                <c:pt idx="3922">
                  <c:v>0.15789309859904191</c:v>
                </c:pt>
                <c:pt idx="3923">
                  <c:v>0.12768394549248091</c:v>
                </c:pt>
                <c:pt idx="3924">
                  <c:v>0.28343690861494691</c:v>
                </c:pt>
                <c:pt idx="3925">
                  <c:v>0.30071804642585098</c:v>
                </c:pt>
                <c:pt idx="3926">
                  <c:v>-6.9951456395570988E-2</c:v>
                </c:pt>
                <c:pt idx="3927">
                  <c:v>0.31283483208939966</c:v>
                </c:pt>
                <c:pt idx="3928">
                  <c:v>0.49387206946776208</c:v>
                </c:pt>
                <c:pt idx="3929">
                  <c:v>-1.0760155498261856E-2</c:v>
                </c:pt>
                <c:pt idx="3930">
                  <c:v>0.34772187097124135</c:v>
                </c:pt>
                <c:pt idx="3931">
                  <c:v>0.34888395217998347</c:v>
                </c:pt>
                <c:pt idx="3932">
                  <c:v>0.33665856928552074</c:v>
                </c:pt>
                <c:pt idx="3933">
                  <c:v>0.17466447127023677</c:v>
                </c:pt>
                <c:pt idx="3934">
                  <c:v>0.2399242351316421</c:v>
                </c:pt>
                <c:pt idx="3935">
                  <c:v>0.10045047868409675</c:v>
                </c:pt>
                <c:pt idx="3936">
                  <c:v>0.21545543911752399</c:v>
                </c:pt>
                <c:pt idx="3937">
                  <c:v>0.29682354672712274</c:v>
                </c:pt>
                <c:pt idx="3938">
                  <c:v>0.10877709661744477</c:v>
                </c:pt>
                <c:pt idx="3939">
                  <c:v>0.2312774311691152</c:v>
                </c:pt>
                <c:pt idx="3940">
                  <c:v>0.21021168013416991</c:v>
                </c:pt>
                <c:pt idx="3941">
                  <c:v>0.18775334880335551</c:v>
                </c:pt>
                <c:pt idx="3942">
                  <c:v>0.10635124839296102</c:v>
                </c:pt>
                <c:pt idx="3943">
                  <c:v>5.4734659908119175E-2</c:v>
                </c:pt>
                <c:pt idx="3944">
                  <c:v>0.50758582279088293</c:v>
                </c:pt>
                <c:pt idx="3945">
                  <c:v>3.1008658942113382E-2</c:v>
                </c:pt>
                <c:pt idx="3946">
                  <c:v>0.21548879386631545</c:v>
                </c:pt>
                <c:pt idx="3947">
                  <c:v>0.28659770297761289</c:v>
                </c:pt>
                <c:pt idx="3948">
                  <c:v>2.7446634101894539E-2</c:v>
                </c:pt>
                <c:pt idx="3949">
                  <c:v>-1.159717081019844E-2</c:v>
                </c:pt>
                <c:pt idx="3950">
                  <c:v>1.2857141594182102E-2</c:v>
                </c:pt>
                <c:pt idx="3951">
                  <c:v>0.34556780935808895</c:v>
                </c:pt>
                <c:pt idx="3952">
                  <c:v>-4.3704874195143295E-2</c:v>
                </c:pt>
                <c:pt idx="3953">
                  <c:v>0.12937558317216061</c:v>
                </c:pt>
                <c:pt idx="3954">
                  <c:v>0.40501237977155069</c:v>
                </c:pt>
                <c:pt idx="3955">
                  <c:v>0.38563811830542538</c:v>
                </c:pt>
                <c:pt idx="3956">
                  <c:v>0.40059029867354612</c:v>
                </c:pt>
                <c:pt idx="3957">
                  <c:v>0.15097913758850526</c:v>
                </c:pt>
                <c:pt idx="3958">
                  <c:v>0.21788352451745419</c:v>
                </c:pt>
                <c:pt idx="3959">
                  <c:v>0.3219798480451822</c:v>
                </c:pt>
                <c:pt idx="3960">
                  <c:v>0.37370549958541127</c:v>
                </c:pt>
                <c:pt idx="3961">
                  <c:v>0.19008083531064346</c:v>
                </c:pt>
                <c:pt idx="3962">
                  <c:v>0.4205524193033795</c:v>
                </c:pt>
                <c:pt idx="3963">
                  <c:v>8.8138034846208399E-2</c:v>
                </c:pt>
                <c:pt idx="3964">
                  <c:v>0.24200591193434445</c:v>
                </c:pt>
                <c:pt idx="3965">
                  <c:v>0.47284954635141491</c:v>
                </c:pt>
                <c:pt idx="3966">
                  <c:v>0.50109722400023327</c:v>
                </c:pt>
                <c:pt idx="3967">
                  <c:v>0.16078321804018686</c:v>
                </c:pt>
                <c:pt idx="3968">
                  <c:v>0.45891427489677666</c:v>
                </c:pt>
                <c:pt idx="3969">
                  <c:v>0.10719099856467094</c:v>
                </c:pt>
                <c:pt idx="3970">
                  <c:v>0.19101765378286459</c:v>
                </c:pt>
                <c:pt idx="3971">
                  <c:v>9.5336469322605644E-2</c:v>
                </c:pt>
                <c:pt idx="3972">
                  <c:v>0.57480343363765651</c:v>
                </c:pt>
                <c:pt idx="3973">
                  <c:v>0.19076453378156011</c:v>
                </c:pt>
                <c:pt idx="3974">
                  <c:v>0.30285671508527684</c:v>
                </c:pt>
                <c:pt idx="3975">
                  <c:v>7.2172727753968866E-2</c:v>
                </c:pt>
                <c:pt idx="3976">
                  <c:v>5.8050936002301837E-2</c:v>
                </c:pt>
                <c:pt idx="3977">
                  <c:v>0.29495689301254013</c:v>
                </c:pt>
                <c:pt idx="3978">
                  <c:v>0.15142333643782349</c:v>
                </c:pt>
                <c:pt idx="3979">
                  <c:v>1.8515352225157267E-2</c:v>
                </c:pt>
                <c:pt idx="3980">
                  <c:v>0.34672881890010709</c:v>
                </c:pt>
                <c:pt idx="3981">
                  <c:v>3.7242750878129088E-3</c:v>
                </c:pt>
                <c:pt idx="3982">
                  <c:v>5.6281829038497669E-2</c:v>
                </c:pt>
                <c:pt idx="3983">
                  <c:v>0.20525310012947443</c:v>
                </c:pt>
                <c:pt idx="3984">
                  <c:v>0.23696548788707728</c:v>
                </c:pt>
                <c:pt idx="3985">
                  <c:v>0.35664431104288813</c:v>
                </c:pt>
                <c:pt idx="3986">
                  <c:v>0.19984104848954368</c:v>
                </c:pt>
                <c:pt idx="3987">
                  <c:v>-9.2372831311771236E-2</c:v>
                </c:pt>
                <c:pt idx="3988">
                  <c:v>0.22285841066110695</c:v>
                </c:pt>
                <c:pt idx="3989">
                  <c:v>0.57441217236078401</c:v>
                </c:pt>
                <c:pt idx="3990">
                  <c:v>0.15025782018361908</c:v>
                </c:pt>
                <c:pt idx="3991">
                  <c:v>0.10519287642644377</c:v>
                </c:pt>
                <c:pt idx="3992">
                  <c:v>0.25437650636842341</c:v>
                </c:pt>
                <c:pt idx="3993">
                  <c:v>0.28340267421265253</c:v>
                </c:pt>
                <c:pt idx="3994">
                  <c:v>0.17034607924365461</c:v>
                </c:pt>
                <c:pt idx="3995">
                  <c:v>0.23723481706783861</c:v>
                </c:pt>
                <c:pt idx="3996">
                  <c:v>0.1562959832156656</c:v>
                </c:pt>
                <c:pt idx="3997">
                  <c:v>-7.3104634010722536E-2</c:v>
                </c:pt>
                <c:pt idx="3998">
                  <c:v>0.11421877425872132</c:v>
                </c:pt>
                <c:pt idx="3999">
                  <c:v>0.28426335669003755</c:v>
                </c:pt>
                <c:pt idx="4000">
                  <c:v>9.491129633405393E-2</c:v>
                </c:pt>
                <c:pt idx="4001">
                  <c:v>0.22289948869192489</c:v>
                </c:pt>
                <c:pt idx="4002">
                  <c:v>4.8789342272928173E-2</c:v>
                </c:pt>
                <c:pt idx="4003">
                  <c:v>0.32471319073844684</c:v>
                </c:pt>
                <c:pt idx="4004">
                  <c:v>-1.8345582941043222E-2</c:v>
                </c:pt>
                <c:pt idx="4005">
                  <c:v>0.36077869818661035</c:v>
                </c:pt>
                <c:pt idx="4006">
                  <c:v>0.5515583489213991</c:v>
                </c:pt>
                <c:pt idx="4007">
                  <c:v>0.38428288859437326</c:v>
                </c:pt>
                <c:pt idx="4008">
                  <c:v>0.17225617883583791</c:v>
                </c:pt>
                <c:pt idx="4009">
                  <c:v>0.28889259645558296</c:v>
                </c:pt>
                <c:pt idx="4010">
                  <c:v>-3.4895376065144784E-3</c:v>
                </c:pt>
                <c:pt idx="4011">
                  <c:v>0.25016493501482573</c:v>
                </c:pt>
                <c:pt idx="4012">
                  <c:v>8.942321299965221E-2</c:v>
                </c:pt>
                <c:pt idx="4013">
                  <c:v>0.22036893611028194</c:v>
                </c:pt>
                <c:pt idx="4014">
                  <c:v>0.13166254494903534</c:v>
                </c:pt>
                <c:pt idx="4015">
                  <c:v>0.477996048279835</c:v>
                </c:pt>
                <c:pt idx="4016">
                  <c:v>0.22264463541795279</c:v>
                </c:pt>
                <c:pt idx="4017">
                  <c:v>-8.3245001288571666E-3</c:v>
                </c:pt>
                <c:pt idx="4018">
                  <c:v>0.41346848451074786</c:v>
                </c:pt>
                <c:pt idx="4019">
                  <c:v>0.12462153699654446</c:v>
                </c:pt>
                <c:pt idx="4020">
                  <c:v>0.1561105123359699</c:v>
                </c:pt>
                <c:pt idx="4021">
                  <c:v>0.36077751474146758</c:v>
                </c:pt>
                <c:pt idx="4022">
                  <c:v>0.31018646440613779</c:v>
                </c:pt>
                <c:pt idx="4023">
                  <c:v>7.3356325277110293E-2</c:v>
                </c:pt>
                <c:pt idx="4024">
                  <c:v>0.30438620613613598</c:v>
                </c:pt>
                <c:pt idx="4025">
                  <c:v>0.59814611886178914</c:v>
                </c:pt>
                <c:pt idx="4026">
                  <c:v>0.24675073822804514</c:v>
                </c:pt>
                <c:pt idx="4027">
                  <c:v>0.29894301578410976</c:v>
                </c:pt>
                <c:pt idx="4028">
                  <c:v>0.13255906398771944</c:v>
                </c:pt>
                <c:pt idx="4029">
                  <c:v>0.50017177186173467</c:v>
                </c:pt>
                <c:pt idx="4030">
                  <c:v>-5.7384559730723567E-2</c:v>
                </c:pt>
                <c:pt idx="4031">
                  <c:v>0.30400335637841253</c:v>
                </c:pt>
                <c:pt idx="4032">
                  <c:v>0.13548615346657594</c:v>
                </c:pt>
                <c:pt idx="4033">
                  <c:v>0.6373007802286107</c:v>
                </c:pt>
                <c:pt idx="4034">
                  <c:v>5.0980687962904128E-2</c:v>
                </c:pt>
                <c:pt idx="4035">
                  <c:v>0.295853163332367</c:v>
                </c:pt>
                <c:pt idx="4036">
                  <c:v>0.19709675858530279</c:v>
                </c:pt>
                <c:pt idx="4037">
                  <c:v>0.22631305045770178</c:v>
                </c:pt>
                <c:pt idx="4038">
                  <c:v>-1.7308561928223817E-2</c:v>
                </c:pt>
                <c:pt idx="4039">
                  <c:v>5.5024859215818817E-2</c:v>
                </c:pt>
                <c:pt idx="4040">
                  <c:v>4.1211290711645698E-2</c:v>
                </c:pt>
                <c:pt idx="4041">
                  <c:v>0.21876852281565634</c:v>
                </c:pt>
                <c:pt idx="4042">
                  <c:v>-3.1264914870919591E-2</c:v>
                </c:pt>
                <c:pt idx="4043">
                  <c:v>0.57430302594857563</c:v>
                </c:pt>
                <c:pt idx="4044">
                  <c:v>8.5678920650380574E-2</c:v>
                </c:pt>
                <c:pt idx="4045">
                  <c:v>6.6805586292582431E-2</c:v>
                </c:pt>
                <c:pt idx="4046">
                  <c:v>0.27936595056225616</c:v>
                </c:pt>
                <c:pt idx="4047">
                  <c:v>4.4983913241598214E-2</c:v>
                </c:pt>
                <c:pt idx="4048">
                  <c:v>0.42419501664157072</c:v>
                </c:pt>
                <c:pt idx="4049">
                  <c:v>-3.6695092090285118E-2</c:v>
                </c:pt>
                <c:pt idx="4050">
                  <c:v>0.36263634269883738</c:v>
                </c:pt>
                <c:pt idx="4051">
                  <c:v>0.25832043065423677</c:v>
                </c:pt>
                <c:pt idx="4052">
                  <c:v>0.29887389721592811</c:v>
                </c:pt>
                <c:pt idx="4053">
                  <c:v>0.5149179694225583</c:v>
                </c:pt>
                <c:pt idx="4054">
                  <c:v>2.4025156399364249E-2</c:v>
                </c:pt>
                <c:pt idx="4055">
                  <c:v>0.13105355824145004</c:v>
                </c:pt>
                <c:pt idx="4056">
                  <c:v>-1.8054881353944265E-2</c:v>
                </c:pt>
                <c:pt idx="4057">
                  <c:v>-3.8239834581317925E-3</c:v>
                </c:pt>
                <c:pt idx="4058">
                  <c:v>0.33795307318600815</c:v>
                </c:pt>
                <c:pt idx="4059">
                  <c:v>0.13499389402585826</c:v>
                </c:pt>
                <c:pt idx="4060">
                  <c:v>0.54410770678368381</c:v>
                </c:pt>
                <c:pt idx="4061">
                  <c:v>0.22340675372904167</c:v>
                </c:pt>
                <c:pt idx="4062">
                  <c:v>0.15749337101656247</c:v>
                </c:pt>
                <c:pt idx="4063">
                  <c:v>-3.5964236116268894E-3</c:v>
                </c:pt>
                <c:pt idx="4064">
                  <c:v>0.53778393658554224</c:v>
                </c:pt>
                <c:pt idx="4065">
                  <c:v>0.14758658489466761</c:v>
                </c:pt>
                <c:pt idx="4066">
                  <c:v>0.56242285290484484</c:v>
                </c:pt>
                <c:pt idx="4067">
                  <c:v>0.18434656503941924</c:v>
                </c:pt>
                <c:pt idx="4068">
                  <c:v>0.17827301768799553</c:v>
                </c:pt>
                <c:pt idx="4069">
                  <c:v>0.28591040555541142</c:v>
                </c:pt>
                <c:pt idx="4070">
                  <c:v>0.16100225745512683</c:v>
                </c:pt>
                <c:pt idx="4071">
                  <c:v>0.28677990527213809</c:v>
                </c:pt>
                <c:pt idx="4072">
                  <c:v>9.4157313678632004E-2</c:v>
                </c:pt>
                <c:pt idx="4073">
                  <c:v>3.9194411634199115E-2</c:v>
                </c:pt>
                <c:pt idx="4074">
                  <c:v>0.24386048770890811</c:v>
                </c:pt>
                <c:pt idx="4075">
                  <c:v>-7.9511104474122171E-2</c:v>
                </c:pt>
                <c:pt idx="4076">
                  <c:v>0.57519766548325646</c:v>
                </c:pt>
                <c:pt idx="4077">
                  <c:v>0.23051831274050963</c:v>
                </c:pt>
                <c:pt idx="4078">
                  <c:v>0.64036780579244557</c:v>
                </c:pt>
                <c:pt idx="4079">
                  <c:v>0.21344172262029962</c:v>
                </c:pt>
                <c:pt idx="4080">
                  <c:v>-1.9262312773235354E-2</c:v>
                </c:pt>
                <c:pt idx="4081">
                  <c:v>0.34283287531297835</c:v>
                </c:pt>
                <c:pt idx="4082">
                  <c:v>0.2397389687983047</c:v>
                </c:pt>
                <c:pt idx="4083">
                  <c:v>0.2404878031125578</c:v>
                </c:pt>
                <c:pt idx="4084">
                  <c:v>0.27744282589504199</c:v>
                </c:pt>
                <c:pt idx="4085">
                  <c:v>0.28914511738276355</c:v>
                </c:pt>
                <c:pt idx="4086">
                  <c:v>0.37561971389089116</c:v>
                </c:pt>
                <c:pt idx="4087">
                  <c:v>0.39626083659105571</c:v>
                </c:pt>
                <c:pt idx="4088">
                  <c:v>0.23825046865958835</c:v>
                </c:pt>
                <c:pt idx="4089">
                  <c:v>0.13497041583758346</c:v>
                </c:pt>
                <c:pt idx="4090">
                  <c:v>0.37492522206622636</c:v>
                </c:pt>
                <c:pt idx="4091">
                  <c:v>0.76511577726001334</c:v>
                </c:pt>
                <c:pt idx="4092">
                  <c:v>-3.0105606543966452E-2</c:v>
                </c:pt>
                <c:pt idx="4093">
                  <c:v>0.12184811287968256</c:v>
                </c:pt>
                <c:pt idx="4094">
                  <c:v>0.60177026820096335</c:v>
                </c:pt>
                <c:pt idx="4095">
                  <c:v>0.45999083430758536</c:v>
                </c:pt>
                <c:pt idx="4096">
                  <c:v>1.9903707557397537E-3</c:v>
                </c:pt>
                <c:pt idx="4097">
                  <c:v>0.22654014482212828</c:v>
                </c:pt>
                <c:pt idx="4098">
                  <c:v>-9.4135733782818282E-2</c:v>
                </c:pt>
                <c:pt idx="4099">
                  <c:v>0.60032875945678355</c:v>
                </c:pt>
                <c:pt idx="4100">
                  <c:v>0.41593100120478421</c:v>
                </c:pt>
                <c:pt idx="4101">
                  <c:v>0.1370543827479867</c:v>
                </c:pt>
                <c:pt idx="4102">
                  <c:v>0.107799340993249</c:v>
                </c:pt>
                <c:pt idx="4103">
                  <c:v>0.17293753275407933</c:v>
                </c:pt>
                <c:pt idx="4104">
                  <c:v>0.314393959452136</c:v>
                </c:pt>
                <c:pt idx="4105">
                  <c:v>0.24181848415469709</c:v>
                </c:pt>
                <c:pt idx="4106">
                  <c:v>0.20262445654094965</c:v>
                </c:pt>
                <c:pt idx="4107">
                  <c:v>5.7757685477038107E-2</c:v>
                </c:pt>
                <c:pt idx="4108">
                  <c:v>0.18049873961636836</c:v>
                </c:pt>
                <c:pt idx="4109">
                  <c:v>0.62426605823647896</c:v>
                </c:pt>
                <c:pt idx="4110">
                  <c:v>0.47350427410307583</c:v>
                </c:pt>
                <c:pt idx="4111">
                  <c:v>0.16315977739657203</c:v>
                </c:pt>
                <c:pt idx="4112">
                  <c:v>0.1288344782139291</c:v>
                </c:pt>
                <c:pt idx="4113">
                  <c:v>-1.1570042041435547E-2</c:v>
                </c:pt>
                <c:pt idx="4114">
                  <c:v>0.32401994308744714</c:v>
                </c:pt>
                <c:pt idx="4115">
                  <c:v>0.3113941692900733</c:v>
                </c:pt>
                <c:pt idx="4116">
                  <c:v>0.57656352008185441</c:v>
                </c:pt>
                <c:pt idx="4117">
                  <c:v>0.22909650788756575</c:v>
                </c:pt>
                <c:pt idx="4118">
                  <c:v>6.333491156647747E-4</c:v>
                </c:pt>
                <c:pt idx="4119">
                  <c:v>0.20647281369800263</c:v>
                </c:pt>
                <c:pt idx="4120">
                  <c:v>0.17050890121576079</c:v>
                </c:pt>
                <c:pt idx="4121">
                  <c:v>-2.3841580720214077E-2</c:v>
                </c:pt>
                <c:pt idx="4122">
                  <c:v>0.17444776293517317</c:v>
                </c:pt>
                <c:pt idx="4123">
                  <c:v>0.40425118543727573</c:v>
                </c:pt>
                <c:pt idx="4124">
                  <c:v>0.33755741973041153</c:v>
                </c:pt>
                <c:pt idx="4125">
                  <c:v>0.16080039125959658</c:v>
                </c:pt>
                <c:pt idx="4126">
                  <c:v>0.34186262678754048</c:v>
                </c:pt>
                <c:pt idx="4127">
                  <c:v>0.60538318307928485</c:v>
                </c:pt>
                <c:pt idx="4128">
                  <c:v>0.12531864961846081</c:v>
                </c:pt>
                <c:pt idx="4129">
                  <c:v>0.15419010920895643</c:v>
                </c:pt>
                <c:pt idx="4130">
                  <c:v>0.26439507755181207</c:v>
                </c:pt>
                <c:pt idx="4131">
                  <c:v>0.12584929164892719</c:v>
                </c:pt>
                <c:pt idx="4132">
                  <c:v>0.33765775394439351</c:v>
                </c:pt>
                <c:pt idx="4133">
                  <c:v>0.21833879791167346</c:v>
                </c:pt>
                <c:pt idx="4134">
                  <c:v>0.30409887319754486</c:v>
                </c:pt>
                <c:pt idx="4135">
                  <c:v>0.31367847040295121</c:v>
                </c:pt>
                <c:pt idx="4136">
                  <c:v>0.30492424250325689</c:v>
                </c:pt>
                <c:pt idx="4137">
                  <c:v>0.3315693841058493</c:v>
                </c:pt>
                <c:pt idx="4138">
                  <c:v>0.19551051602190633</c:v>
                </c:pt>
                <c:pt idx="4139">
                  <c:v>7.5052567854541535E-2</c:v>
                </c:pt>
                <c:pt idx="4140">
                  <c:v>0.22024407341414387</c:v>
                </c:pt>
                <c:pt idx="4141">
                  <c:v>0.4021034782070686</c:v>
                </c:pt>
                <c:pt idx="4142">
                  <c:v>7.2136225894794612E-3</c:v>
                </c:pt>
                <c:pt idx="4143">
                  <c:v>0.36200923081085123</c:v>
                </c:pt>
                <c:pt idx="4144">
                  <c:v>0.49380835291684966</c:v>
                </c:pt>
                <c:pt idx="4145">
                  <c:v>0.27465534100808492</c:v>
                </c:pt>
                <c:pt idx="4146">
                  <c:v>0.2753565268845955</c:v>
                </c:pt>
                <c:pt idx="4147">
                  <c:v>0.42685307316763549</c:v>
                </c:pt>
                <c:pt idx="4148">
                  <c:v>0.21212081851560877</c:v>
                </c:pt>
                <c:pt idx="4149">
                  <c:v>0.34642827557575323</c:v>
                </c:pt>
                <c:pt idx="4150">
                  <c:v>3.2034096551213281E-2</c:v>
                </c:pt>
                <c:pt idx="4151">
                  <c:v>0.23326675768892996</c:v>
                </c:pt>
                <c:pt idx="4152">
                  <c:v>0.368303237744107</c:v>
                </c:pt>
                <c:pt idx="4153">
                  <c:v>9.1738151274119772E-2</c:v>
                </c:pt>
                <c:pt idx="4154">
                  <c:v>3.1190401894930227E-2</c:v>
                </c:pt>
                <c:pt idx="4155">
                  <c:v>8.834265344807761E-2</c:v>
                </c:pt>
                <c:pt idx="4156">
                  <c:v>0.64312341837077769</c:v>
                </c:pt>
                <c:pt idx="4157">
                  <c:v>0.68448621222816364</c:v>
                </c:pt>
                <c:pt idx="4158">
                  <c:v>-9.5515760114086801E-2</c:v>
                </c:pt>
                <c:pt idx="4159">
                  <c:v>0.19101546577995512</c:v>
                </c:pt>
                <c:pt idx="4160">
                  <c:v>0.25526867962369926</c:v>
                </c:pt>
                <c:pt idx="4161">
                  <c:v>0.1866981796631689</c:v>
                </c:pt>
                <c:pt idx="4162">
                  <c:v>0.48253462697544158</c:v>
                </c:pt>
                <c:pt idx="4163">
                  <c:v>0.33497222515131619</c:v>
                </c:pt>
                <c:pt idx="4164">
                  <c:v>0.47012945163033454</c:v>
                </c:pt>
                <c:pt idx="4165">
                  <c:v>0.22487855015856784</c:v>
                </c:pt>
                <c:pt idx="4166">
                  <c:v>0.29656783986623736</c:v>
                </c:pt>
                <c:pt idx="4167">
                  <c:v>8.7214180986737694E-2</c:v>
                </c:pt>
                <c:pt idx="4168">
                  <c:v>0.20068054940739027</c:v>
                </c:pt>
                <c:pt idx="4169">
                  <c:v>9.8652896149453329E-2</c:v>
                </c:pt>
                <c:pt idx="4170">
                  <c:v>2.060889350015143E-2</c:v>
                </c:pt>
                <c:pt idx="4171">
                  <c:v>0.32557507872183072</c:v>
                </c:pt>
                <c:pt idx="4172">
                  <c:v>0.32740910602342282</c:v>
                </c:pt>
                <c:pt idx="4173">
                  <c:v>2.9107002228423287E-2</c:v>
                </c:pt>
                <c:pt idx="4174">
                  <c:v>0.20020512716780273</c:v>
                </c:pt>
                <c:pt idx="4175">
                  <c:v>0.13917507911196864</c:v>
                </c:pt>
                <c:pt idx="4176">
                  <c:v>0.33762565274862488</c:v>
                </c:pt>
                <c:pt idx="4177">
                  <c:v>0.21671690083699327</c:v>
                </c:pt>
                <c:pt idx="4178">
                  <c:v>0.3276959524277846</c:v>
                </c:pt>
                <c:pt idx="4179">
                  <c:v>0.12123410803432028</c:v>
                </c:pt>
                <c:pt idx="4180">
                  <c:v>-6.6654142344093836E-2</c:v>
                </c:pt>
                <c:pt idx="4181">
                  <c:v>0.16986736528188773</c:v>
                </c:pt>
                <c:pt idx="4182">
                  <c:v>0.10621892391389533</c:v>
                </c:pt>
                <c:pt idx="4183">
                  <c:v>8.0608756420422617E-2</c:v>
                </c:pt>
                <c:pt idx="4184">
                  <c:v>0.34061273613782245</c:v>
                </c:pt>
                <c:pt idx="4185">
                  <c:v>0.45738282596872964</c:v>
                </c:pt>
                <c:pt idx="4186">
                  <c:v>0.49197051549787513</c:v>
                </c:pt>
                <c:pt idx="4187">
                  <c:v>0.38460590825908941</c:v>
                </c:pt>
                <c:pt idx="4188">
                  <c:v>0.23809463991238231</c:v>
                </c:pt>
                <c:pt idx="4189">
                  <c:v>0.30621344375859572</c:v>
                </c:pt>
                <c:pt idx="4190">
                  <c:v>0.38124124694343936</c:v>
                </c:pt>
                <c:pt idx="4191">
                  <c:v>-7.7313571254916322E-2</c:v>
                </c:pt>
                <c:pt idx="4192">
                  <c:v>-7.1467869719846297E-2</c:v>
                </c:pt>
                <c:pt idx="4193">
                  <c:v>0.13574218853410033</c:v>
                </c:pt>
                <c:pt idx="4194">
                  <c:v>0.13941394960261053</c:v>
                </c:pt>
                <c:pt idx="4195">
                  <c:v>0.5983299612326598</c:v>
                </c:pt>
                <c:pt idx="4196">
                  <c:v>-1.7285492380770262E-3</c:v>
                </c:pt>
                <c:pt idx="4197">
                  <c:v>0.42114399661672808</c:v>
                </c:pt>
                <c:pt idx="4198">
                  <c:v>0.30604451312010794</c:v>
                </c:pt>
                <c:pt idx="4199">
                  <c:v>0.49175669337977268</c:v>
                </c:pt>
                <c:pt idx="4200">
                  <c:v>0.17947547381612108</c:v>
                </c:pt>
                <c:pt idx="4201">
                  <c:v>0.18834344015120685</c:v>
                </c:pt>
                <c:pt idx="4202">
                  <c:v>-7.1773968117180842E-2</c:v>
                </c:pt>
                <c:pt idx="4203">
                  <c:v>-1.4929934135621659E-2</c:v>
                </c:pt>
                <c:pt idx="4204">
                  <c:v>0.21789797508240502</c:v>
                </c:pt>
                <c:pt idx="4205">
                  <c:v>-9.1592710928973961E-2</c:v>
                </c:pt>
                <c:pt idx="4206">
                  <c:v>0.13168058589853701</c:v>
                </c:pt>
                <c:pt idx="4207">
                  <c:v>1.1835216138551222E-2</c:v>
                </c:pt>
                <c:pt idx="4208">
                  <c:v>0.37096346765078925</c:v>
                </c:pt>
                <c:pt idx="4209">
                  <c:v>0.257597890943492</c:v>
                </c:pt>
                <c:pt idx="4210">
                  <c:v>-5.8774339872845749E-2</c:v>
                </c:pt>
                <c:pt idx="4211">
                  <c:v>0.40127865890162173</c:v>
                </c:pt>
                <c:pt idx="4212">
                  <c:v>6.3671913146468209E-2</c:v>
                </c:pt>
                <c:pt idx="4213">
                  <c:v>0.4114525200305576</c:v>
                </c:pt>
                <c:pt idx="4214">
                  <c:v>9.5885424441076311E-2</c:v>
                </c:pt>
                <c:pt idx="4215">
                  <c:v>0.34539849640507281</c:v>
                </c:pt>
                <c:pt idx="4216">
                  <c:v>7.153053313111446E-3</c:v>
                </c:pt>
                <c:pt idx="4217">
                  <c:v>2.2725505534498938E-2</c:v>
                </c:pt>
                <c:pt idx="4218">
                  <c:v>4.6811561604797471E-2</c:v>
                </c:pt>
                <c:pt idx="4219">
                  <c:v>0.45910249887818666</c:v>
                </c:pt>
                <c:pt idx="4220">
                  <c:v>-5.5629735951347008E-2</c:v>
                </c:pt>
                <c:pt idx="4221">
                  <c:v>0.6417793120119607</c:v>
                </c:pt>
                <c:pt idx="4222">
                  <c:v>0.33449758967037058</c:v>
                </c:pt>
                <c:pt idx="4223">
                  <c:v>3.6868214368871173E-2</c:v>
                </c:pt>
                <c:pt idx="4224">
                  <c:v>0.42798842693621642</c:v>
                </c:pt>
                <c:pt idx="4225">
                  <c:v>0.1597525513311028</c:v>
                </c:pt>
                <c:pt idx="4226">
                  <c:v>0.35137315882953879</c:v>
                </c:pt>
                <c:pt idx="4227">
                  <c:v>0.13605206585842539</c:v>
                </c:pt>
                <c:pt idx="4228">
                  <c:v>-3.2001598685642917E-2</c:v>
                </c:pt>
                <c:pt idx="4229">
                  <c:v>0.27191709075051312</c:v>
                </c:pt>
                <c:pt idx="4230">
                  <c:v>0.17741142105085025</c:v>
                </c:pt>
                <c:pt idx="4231">
                  <c:v>0.46162311130146499</c:v>
                </c:pt>
                <c:pt idx="4232">
                  <c:v>0.7175611919952285</c:v>
                </c:pt>
                <c:pt idx="4233">
                  <c:v>0.41865088441714382</c:v>
                </c:pt>
                <c:pt idx="4234">
                  <c:v>-1.0831708132662002E-2</c:v>
                </c:pt>
                <c:pt idx="4235">
                  <c:v>0.4795476733178875</c:v>
                </c:pt>
                <c:pt idx="4236">
                  <c:v>0.19924833618328963</c:v>
                </c:pt>
                <c:pt idx="4237">
                  <c:v>0.14697117041841851</c:v>
                </c:pt>
                <c:pt idx="4238">
                  <c:v>0.59819670207284215</c:v>
                </c:pt>
                <c:pt idx="4239">
                  <c:v>0.47670248231158707</c:v>
                </c:pt>
                <c:pt idx="4240">
                  <c:v>-8.1571256841750359E-2</c:v>
                </c:pt>
                <c:pt idx="4241">
                  <c:v>2.3946877126626513E-2</c:v>
                </c:pt>
                <c:pt idx="4242">
                  <c:v>-4.817405126205529E-2</c:v>
                </c:pt>
                <c:pt idx="4243">
                  <c:v>0.65485655218036143</c:v>
                </c:pt>
                <c:pt idx="4244">
                  <c:v>0.43577035299194394</c:v>
                </c:pt>
                <c:pt idx="4245">
                  <c:v>0.6793137519439747</c:v>
                </c:pt>
                <c:pt idx="4246">
                  <c:v>0.12774048250860284</c:v>
                </c:pt>
                <c:pt idx="4247">
                  <c:v>0.22946226243108855</c:v>
                </c:pt>
                <c:pt idx="4248">
                  <c:v>7.0634043475716723E-2</c:v>
                </c:pt>
                <c:pt idx="4249">
                  <c:v>0.39412165865151644</c:v>
                </c:pt>
                <c:pt idx="4250">
                  <c:v>0.79863433181242249</c:v>
                </c:pt>
                <c:pt idx="4251">
                  <c:v>0.36615165532253857</c:v>
                </c:pt>
                <c:pt idx="4252">
                  <c:v>0.71317901622143909</c:v>
                </c:pt>
                <c:pt idx="4253">
                  <c:v>0.14963565506745569</c:v>
                </c:pt>
                <c:pt idx="4254">
                  <c:v>0.29743155999200116</c:v>
                </c:pt>
                <c:pt idx="4255">
                  <c:v>0.47431371726283317</c:v>
                </c:pt>
                <c:pt idx="4256">
                  <c:v>0.54667437537114227</c:v>
                </c:pt>
                <c:pt idx="4257">
                  <c:v>1.378890022296117E-2</c:v>
                </c:pt>
                <c:pt idx="4258">
                  <c:v>1.0047615592054832E-2</c:v>
                </c:pt>
                <c:pt idx="4259">
                  <c:v>-5.6981470705912078E-2</c:v>
                </c:pt>
                <c:pt idx="4260">
                  <c:v>0.25878244061223865</c:v>
                </c:pt>
                <c:pt idx="4261">
                  <c:v>-3.6340033903865879E-3</c:v>
                </c:pt>
                <c:pt idx="4262">
                  <c:v>0.13846304641149593</c:v>
                </c:pt>
                <c:pt idx="4263">
                  <c:v>0.34011489393954086</c:v>
                </c:pt>
                <c:pt idx="4264">
                  <c:v>0.26629444854870504</c:v>
                </c:pt>
                <c:pt idx="4265">
                  <c:v>0.23826944940358169</c:v>
                </c:pt>
                <c:pt idx="4266">
                  <c:v>5.2303420069156129E-2</c:v>
                </c:pt>
                <c:pt idx="4267">
                  <c:v>9.5633252448454331E-4</c:v>
                </c:pt>
                <c:pt idx="4268">
                  <c:v>-9.385506670214265E-2</c:v>
                </c:pt>
                <c:pt idx="4269">
                  <c:v>0.10445913032056686</c:v>
                </c:pt>
                <c:pt idx="4270">
                  <c:v>-2.135683389239882E-2</c:v>
                </c:pt>
                <c:pt idx="4271">
                  <c:v>0.20056134894812022</c:v>
                </c:pt>
                <c:pt idx="4272">
                  <c:v>-2.8131106338145976E-2</c:v>
                </c:pt>
                <c:pt idx="4273">
                  <c:v>0.25058960716585665</c:v>
                </c:pt>
                <c:pt idx="4274">
                  <c:v>0.32365587447705296</c:v>
                </c:pt>
                <c:pt idx="4275">
                  <c:v>0.11037361869343706</c:v>
                </c:pt>
                <c:pt idx="4276">
                  <c:v>0.58377480226822942</c:v>
                </c:pt>
                <c:pt idx="4277">
                  <c:v>0.52668526825343631</c:v>
                </c:pt>
                <c:pt idx="4278">
                  <c:v>0.53346410349663065</c:v>
                </c:pt>
                <c:pt idx="4279">
                  <c:v>0.40918486128085224</c:v>
                </c:pt>
                <c:pt idx="4280">
                  <c:v>0.26625402095544326</c:v>
                </c:pt>
                <c:pt idx="4281">
                  <c:v>0.46661359936821445</c:v>
                </c:pt>
                <c:pt idx="4282">
                  <c:v>0.49150129727978131</c:v>
                </c:pt>
                <c:pt idx="4283">
                  <c:v>0.32690861397734294</c:v>
                </c:pt>
                <c:pt idx="4284">
                  <c:v>0.4055967465154372</c:v>
                </c:pt>
                <c:pt idx="4285">
                  <c:v>-8.7732618655159453E-2</c:v>
                </c:pt>
                <c:pt idx="4286">
                  <c:v>0.74992625993288609</c:v>
                </c:pt>
                <c:pt idx="4287">
                  <c:v>-3.7740834489152983E-3</c:v>
                </c:pt>
                <c:pt idx="4288">
                  <c:v>5.1932619553331852E-2</c:v>
                </c:pt>
                <c:pt idx="4289">
                  <c:v>-6.9675527089249095E-2</c:v>
                </c:pt>
                <c:pt idx="4290">
                  <c:v>0.38801556343926191</c:v>
                </c:pt>
                <c:pt idx="4291">
                  <c:v>0.40996657978762518</c:v>
                </c:pt>
                <c:pt idx="4292">
                  <c:v>0.27700703411663447</c:v>
                </c:pt>
                <c:pt idx="4293">
                  <c:v>0.1202391445610973</c:v>
                </c:pt>
                <c:pt idx="4294">
                  <c:v>0.14442326808881945</c:v>
                </c:pt>
                <c:pt idx="4295">
                  <c:v>0.38371205442325351</c:v>
                </c:pt>
                <c:pt idx="4296">
                  <c:v>0.1977639128960797</c:v>
                </c:pt>
                <c:pt idx="4297">
                  <c:v>0.24422268319510332</c:v>
                </c:pt>
                <c:pt idx="4298">
                  <c:v>0.26955095966072234</c:v>
                </c:pt>
                <c:pt idx="4299">
                  <c:v>9.1427644364157748E-2</c:v>
                </c:pt>
                <c:pt idx="4300">
                  <c:v>3.813495646198882E-2</c:v>
                </c:pt>
                <c:pt idx="4301">
                  <c:v>0.28556948481583982</c:v>
                </c:pt>
                <c:pt idx="4302">
                  <c:v>-1.2798947982110731E-2</c:v>
                </c:pt>
                <c:pt idx="4303">
                  <c:v>0.23904076462121449</c:v>
                </c:pt>
                <c:pt idx="4304">
                  <c:v>7.6198376384103816E-2</c:v>
                </c:pt>
                <c:pt idx="4305">
                  <c:v>0.20840673332256648</c:v>
                </c:pt>
                <c:pt idx="4306">
                  <c:v>0.31140293404016733</c:v>
                </c:pt>
                <c:pt idx="4307">
                  <c:v>0.17425024727292357</c:v>
                </c:pt>
                <c:pt idx="4308">
                  <c:v>0.16330320150956873</c:v>
                </c:pt>
                <c:pt idx="4309">
                  <c:v>0.36313825026394098</c:v>
                </c:pt>
                <c:pt idx="4310">
                  <c:v>0.16054320557090521</c:v>
                </c:pt>
                <c:pt idx="4311">
                  <c:v>-6.7664267698307176E-2</c:v>
                </c:pt>
                <c:pt idx="4312">
                  <c:v>0.48670367209660931</c:v>
                </c:pt>
                <c:pt idx="4313">
                  <c:v>0.31776153777391586</c:v>
                </c:pt>
                <c:pt idx="4314">
                  <c:v>0.17410369087677893</c:v>
                </c:pt>
                <c:pt idx="4315">
                  <c:v>0.26966667270895261</c:v>
                </c:pt>
                <c:pt idx="4316">
                  <c:v>9.3632743998301043E-3</c:v>
                </c:pt>
                <c:pt idx="4317">
                  <c:v>0.28330180615360312</c:v>
                </c:pt>
                <c:pt idx="4318">
                  <c:v>0.16750033278318241</c:v>
                </c:pt>
                <c:pt idx="4319">
                  <c:v>-8.3274803698725017E-2</c:v>
                </c:pt>
                <c:pt idx="4320">
                  <c:v>0.20091857689592577</c:v>
                </c:pt>
                <c:pt idx="4321">
                  <c:v>0.51776820165081849</c:v>
                </c:pt>
                <c:pt idx="4322">
                  <c:v>0.16141718328895785</c:v>
                </c:pt>
                <c:pt idx="4323">
                  <c:v>0.28567897728459918</c:v>
                </c:pt>
                <c:pt idx="4324">
                  <c:v>0.10622987290453323</c:v>
                </c:pt>
                <c:pt idx="4325">
                  <c:v>0.35843692140010819</c:v>
                </c:pt>
                <c:pt idx="4326">
                  <c:v>0.34647909032945678</c:v>
                </c:pt>
                <c:pt idx="4327">
                  <c:v>0.51507146933289905</c:v>
                </c:pt>
                <c:pt idx="4328">
                  <c:v>0.33437240305833904</c:v>
                </c:pt>
                <c:pt idx="4329">
                  <c:v>0.31275130434630793</c:v>
                </c:pt>
                <c:pt idx="4330">
                  <c:v>0.19700793957152299</c:v>
                </c:pt>
                <c:pt idx="4331">
                  <c:v>1.240291924109628E-2</c:v>
                </c:pt>
                <c:pt idx="4332">
                  <c:v>8.1906091617959809E-2</c:v>
                </c:pt>
                <c:pt idx="4333">
                  <c:v>0.21041000418407113</c:v>
                </c:pt>
                <c:pt idx="4334">
                  <c:v>0.29656364585953654</c:v>
                </c:pt>
                <c:pt idx="4335">
                  <c:v>0.33014106533081922</c:v>
                </c:pt>
                <c:pt idx="4336">
                  <c:v>0.77929966314014443</c:v>
                </c:pt>
                <c:pt idx="4337">
                  <c:v>0.50183879867428505</c:v>
                </c:pt>
                <c:pt idx="4338">
                  <c:v>0.50748284197004767</c:v>
                </c:pt>
                <c:pt idx="4339">
                  <c:v>0.32911095404364676</c:v>
                </c:pt>
                <c:pt idx="4340">
                  <c:v>-2.355516511703052E-2</c:v>
                </c:pt>
                <c:pt idx="4341">
                  <c:v>0.2360884647463086</c:v>
                </c:pt>
                <c:pt idx="4342">
                  <c:v>0.14008831489456555</c:v>
                </c:pt>
                <c:pt idx="4343">
                  <c:v>0.33854308069695804</c:v>
                </c:pt>
                <c:pt idx="4344">
                  <c:v>0.63504611889854323</c:v>
                </c:pt>
                <c:pt idx="4345">
                  <c:v>0.37475278270561468</c:v>
                </c:pt>
                <c:pt idx="4346">
                  <c:v>0.23718151797425899</c:v>
                </c:pt>
                <c:pt idx="4347">
                  <c:v>0.24605462157690894</c:v>
                </c:pt>
                <c:pt idx="4348">
                  <c:v>0.13574291821843532</c:v>
                </c:pt>
                <c:pt idx="4349">
                  <c:v>0.33688458871505589</c:v>
                </c:pt>
                <c:pt idx="4350">
                  <c:v>0.48776584571460208</c:v>
                </c:pt>
                <c:pt idx="4351">
                  <c:v>0.58838978545339993</c:v>
                </c:pt>
                <c:pt idx="4352">
                  <c:v>0.18862555540073253</c:v>
                </c:pt>
                <c:pt idx="4353">
                  <c:v>-8.0854741044644907E-2</c:v>
                </c:pt>
                <c:pt idx="4354">
                  <c:v>0.28310326624171867</c:v>
                </c:pt>
                <c:pt idx="4355">
                  <c:v>0.43443211472237009</c:v>
                </c:pt>
                <c:pt idx="4356">
                  <c:v>0.14442368381060303</c:v>
                </c:pt>
                <c:pt idx="4357">
                  <c:v>0.19116094939386366</c:v>
                </c:pt>
                <c:pt idx="4358">
                  <c:v>0.48927103195154176</c:v>
                </c:pt>
                <c:pt idx="4359">
                  <c:v>0.17280724105907805</c:v>
                </c:pt>
                <c:pt idx="4360">
                  <c:v>0.30473337510767079</c:v>
                </c:pt>
                <c:pt idx="4361">
                  <c:v>0.25590242197899432</c:v>
                </c:pt>
                <c:pt idx="4362">
                  <c:v>0.24724358900749072</c:v>
                </c:pt>
                <c:pt idx="4363">
                  <c:v>0.29450883472148043</c:v>
                </c:pt>
                <c:pt idx="4364">
                  <c:v>0.25556356132592695</c:v>
                </c:pt>
                <c:pt idx="4365">
                  <c:v>0.55424889728512061</c:v>
                </c:pt>
                <c:pt idx="4366">
                  <c:v>0.3502928591734652</c:v>
                </c:pt>
                <c:pt idx="4367">
                  <c:v>-1.2299029969468571E-2</c:v>
                </c:pt>
                <c:pt idx="4368">
                  <c:v>0.39467140628897457</c:v>
                </c:pt>
                <c:pt idx="4369">
                  <c:v>1.4559501837858195E-2</c:v>
                </c:pt>
                <c:pt idx="4370">
                  <c:v>0.16385148411994971</c:v>
                </c:pt>
                <c:pt idx="4371">
                  <c:v>0.2579706837186746</c:v>
                </c:pt>
                <c:pt idx="4372">
                  <c:v>3.6975921952993193E-2</c:v>
                </c:pt>
                <c:pt idx="4373">
                  <c:v>0.64379380584778978</c:v>
                </c:pt>
                <c:pt idx="4374">
                  <c:v>0.46825672602057766</c:v>
                </c:pt>
                <c:pt idx="4375">
                  <c:v>0.23966231521237591</c:v>
                </c:pt>
                <c:pt idx="4376">
                  <c:v>0.26833934235648305</c:v>
                </c:pt>
                <c:pt idx="4377">
                  <c:v>0.27533208090962902</c:v>
                </c:pt>
                <c:pt idx="4378">
                  <c:v>7.3820342915586409E-2</c:v>
                </c:pt>
                <c:pt idx="4379">
                  <c:v>0.37964311635919257</c:v>
                </c:pt>
                <c:pt idx="4380">
                  <c:v>0.2359987044857387</c:v>
                </c:pt>
                <c:pt idx="4381">
                  <c:v>0.29813674111712524</c:v>
                </c:pt>
                <c:pt idx="4382">
                  <c:v>0.45909849838215727</c:v>
                </c:pt>
                <c:pt idx="4383">
                  <c:v>0.24040306681313381</c:v>
                </c:pt>
                <c:pt idx="4384">
                  <c:v>0.29443784495990921</c:v>
                </c:pt>
                <c:pt idx="4385">
                  <c:v>0.29122546999217352</c:v>
                </c:pt>
                <c:pt idx="4386">
                  <c:v>0.37918203748592699</c:v>
                </c:pt>
                <c:pt idx="4387">
                  <c:v>5.7352712225143071E-2</c:v>
                </c:pt>
                <c:pt idx="4388">
                  <c:v>0.30849417826454634</c:v>
                </c:pt>
                <c:pt idx="4389">
                  <c:v>0.50382315370869757</c:v>
                </c:pt>
                <c:pt idx="4390">
                  <c:v>0.39373445618749064</c:v>
                </c:pt>
                <c:pt idx="4391">
                  <c:v>0.2915412678911028</c:v>
                </c:pt>
                <c:pt idx="4392">
                  <c:v>0.18584216109808993</c:v>
                </c:pt>
                <c:pt idx="4393">
                  <c:v>0.41029766281041097</c:v>
                </c:pt>
                <c:pt idx="4394">
                  <c:v>0.30664110509193343</c:v>
                </c:pt>
                <c:pt idx="4395">
                  <c:v>0.40025659988630963</c:v>
                </c:pt>
                <c:pt idx="4396">
                  <c:v>0.14196120240123428</c:v>
                </c:pt>
                <c:pt idx="4397">
                  <c:v>0.2288507833869417</c:v>
                </c:pt>
                <c:pt idx="4398">
                  <c:v>0.24286665534458052</c:v>
                </c:pt>
                <c:pt idx="4399">
                  <c:v>0.36717964696751682</c:v>
                </c:pt>
                <c:pt idx="4400">
                  <c:v>0.16994806696462922</c:v>
                </c:pt>
                <c:pt idx="4401">
                  <c:v>-1.8562064507429386E-2</c:v>
                </c:pt>
                <c:pt idx="4402">
                  <c:v>0.31253420166967372</c:v>
                </c:pt>
                <c:pt idx="4403">
                  <c:v>0.22921211596639135</c:v>
                </c:pt>
                <c:pt idx="4404">
                  <c:v>-4.4382152295446661E-2</c:v>
                </c:pt>
                <c:pt idx="4405">
                  <c:v>0.31712598790467361</c:v>
                </c:pt>
                <c:pt idx="4406">
                  <c:v>-6.0706525010882383E-2</c:v>
                </c:pt>
                <c:pt idx="4407">
                  <c:v>0.23607958380198241</c:v>
                </c:pt>
                <c:pt idx="4408">
                  <c:v>-4.1490816112526203E-2</c:v>
                </c:pt>
                <c:pt idx="4409">
                  <c:v>0.35386027019897481</c:v>
                </c:pt>
                <c:pt idx="4410">
                  <c:v>0.18129341097187859</c:v>
                </c:pt>
                <c:pt idx="4411">
                  <c:v>0.21451163328774864</c:v>
                </c:pt>
                <c:pt idx="4412">
                  <c:v>0.41138944594776383</c:v>
                </c:pt>
                <c:pt idx="4413">
                  <c:v>0.35594222286503979</c:v>
                </c:pt>
                <c:pt idx="4414">
                  <c:v>-3.3184964132479677E-3</c:v>
                </c:pt>
                <c:pt idx="4415">
                  <c:v>0.44344965671311781</c:v>
                </c:pt>
                <c:pt idx="4416">
                  <c:v>0.22087800499349169</c:v>
                </c:pt>
                <c:pt idx="4417">
                  <c:v>0.37587250790922644</c:v>
                </c:pt>
                <c:pt idx="4418">
                  <c:v>0.12522218409460567</c:v>
                </c:pt>
                <c:pt idx="4419">
                  <c:v>0.42148671784340153</c:v>
                </c:pt>
                <c:pt idx="4420">
                  <c:v>0.27827642504096062</c:v>
                </c:pt>
                <c:pt idx="4421">
                  <c:v>0.21817277018353878</c:v>
                </c:pt>
                <c:pt idx="4422">
                  <c:v>0.47384439384156746</c:v>
                </c:pt>
                <c:pt idx="4423">
                  <c:v>0.42847593954696245</c:v>
                </c:pt>
                <c:pt idx="4424">
                  <c:v>0.7759256054464484</c:v>
                </c:pt>
                <c:pt idx="4425">
                  <c:v>0.7070283547007653</c:v>
                </c:pt>
                <c:pt idx="4426">
                  <c:v>0.32982772853283032</c:v>
                </c:pt>
                <c:pt idx="4427">
                  <c:v>0.26618737820322591</c:v>
                </c:pt>
                <c:pt idx="4428">
                  <c:v>0.32010202091709611</c:v>
                </c:pt>
                <c:pt idx="4429">
                  <c:v>0.27135537942691645</c:v>
                </c:pt>
                <c:pt idx="4430">
                  <c:v>5.0722774936363957E-3</c:v>
                </c:pt>
                <c:pt idx="4431">
                  <c:v>0.14542466522042924</c:v>
                </c:pt>
                <c:pt idx="4432">
                  <c:v>0.30688978223986013</c:v>
                </c:pt>
                <c:pt idx="4433">
                  <c:v>6.6177724063504834E-2</c:v>
                </c:pt>
                <c:pt idx="4434">
                  <c:v>0.45339786979435687</c:v>
                </c:pt>
                <c:pt idx="4435">
                  <c:v>0.39228980326091611</c:v>
                </c:pt>
                <c:pt idx="4436">
                  <c:v>0.12703232097177486</c:v>
                </c:pt>
                <c:pt idx="4437">
                  <c:v>0.36553482762008399</c:v>
                </c:pt>
                <c:pt idx="4438">
                  <c:v>-2.9214010786145148E-2</c:v>
                </c:pt>
                <c:pt idx="4439">
                  <c:v>4.5805903836830947E-3</c:v>
                </c:pt>
                <c:pt idx="4440">
                  <c:v>0.21037452398996054</c:v>
                </c:pt>
                <c:pt idx="4441">
                  <c:v>0.18507586893083652</c:v>
                </c:pt>
                <c:pt idx="4442">
                  <c:v>0.45436136193443827</c:v>
                </c:pt>
                <c:pt idx="4443">
                  <c:v>0.25543775341397068</c:v>
                </c:pt>
                <c:pt idx="4444">
                  <c:v>0.46712583194267132</c:v>
                </c:pt>
                <c:pt idx="4445">
                  <c:v>0.14858496114301639</c:v>
                </c:pt>
                <c:pt idx="4446">
                  <c:v>0.16814802551078445</c:v>
                </c:pt>
                <c:pt idx="4447">
                  <c:v>0.54597879979514174</c:v>
                </c:pt>
                <c:pt idx="4448">
                  <c:v>0.27238708518298832</c:v>
                </c:pt>
                <c:pt idx="4449">
                  <c:v>0.12110509982727084</c:v>
                </c:pt>
                <c:pt idx="4450">
                  <c:v>0.26065684224901131</c:v>
                </c:pt>
                <c:pt idx="4451">
                  <c:v>0.10215352122461192</c:v>
                </c:pt>
                <c:pt idx="4452">
                  <c:v>0.52463059248085397</c:v>
                </c:pt>
                <c:pt idx="4453">
                  <c:v>0.16581647627896243</c:v>
                </c:pt>
                <c:pt idx="4454">
                  <c:v>0.39153095807699445</c:v>
                </c:pt>
                <c:pt idx="4455">
                  <c:v>0.18177961921607852</c:v>
                </c:pt>
                <c:pt idx="4456">
                  <c:v>0.48951554829245925</c:v>
                </c:pt>
                <c:pt idx="4457">
                  <c:v>6.5441297519837793E-2</c:v>
                </c:pt>
                <c:pt idx="4458">
                  <c:v>9.9735303145363025E-2</c:v>
                </c:pt>
                <c:pt idx="4459">
                  <c:v>0.42728564277577896</c:v>
                </c:pt>
                <c:pt idx="4460">
                  <c:v>0.1888912037789941</c:v>
                </c:pt>
                <c:pt idx="4461">
                  <c:v>0.19214785466849102</c:v>
                </c:pt>
                <c:pt idx="4462">
                  <c:v>0.24771848670991248</c:v>
                </c:pt>
                <c:pt idx="4463">
                  <c:v>0.4689103360523233</c:v>
                </c:pt>
                <c:pt idx="4464">
                  <c:v>0.40748960464806461</c:v>
                </c:pt>
                <c:pt idx="4465">
                  <c:v>0.2274383214152558</c:v>
                </c:pt>
                <c:pt idx="4466">
                  <c:v>0.28047687277090572</c:v>
                </c:pt>
                <c:pt idx="4467">
                  <c:v>7.0587466084201245E-3</c:v>
                </c:pt>
                <c:pt idx="4468">
                  <c:v>-2.7730873115797861E-2</c:v>
                </c:pt>
                <c:pt idx="4469">
                  <c:v>0.25921350349528821</c:v>
                </c:pt>
                <c:pt idx="4470">
                  <c:v>0.43491558874307723</c:v>
                </c:pt>
                <c:pt idx="4471">
                  <c:v>8.2868953030184114E-2</c:v>
                </c:pt>
                <c:pt idx="4472">
                  <c:v>-2.316335355759408E-2</c:v>
                </c:pt>
                <c:pt idx="4473">
                  <c:v>2.8529366790566273E-2</c:v>
                </c:pt>
                <c:pt idx="4474">
                  <c:v>0.22871424454810405</c:v>
                </c:pt>
                <c:pt idx="4475">
                  <c:v>0.75727715432530951</c:v>
                </c:pt>
                <c:pt idx="4476">
                  <c:v>0.33268837587010203</c:v>
                </c:pt>
                <c:pt idx="4477">
                  <c:v>0.40588939288189191</c:v>
                </c:pt>
                <c:pt idx="4478">
                  <c:v>0.45396554984047</c:v>
                </c:pt>
                <c:pt idx="4479">
                  <c:v>0.49198023103294253</c:v>
                </c:pt>
                <c:pt idx="4480">
                  <c:v>-5.4780842200348519E-2</c:v>
                </c:pt>
                <c:pt idx="4481">
                  <c:v>-8.193485493140305E-3</c:v>
                </c:pt>
                <c:pt idx="4482">
                  <c:v>0.27415059897362104</c:v>
                </c:pt>
                <c:pt idx="4483">
                  <c:v>-7.5225525923977771E-2</c:v>
                </c:pt>
                <c:pt idx="4484">
                  <c:v>0.33406085584842954</c:v>
                </c:pt>
                <c:pt idx="4485">
                  <c:v>0.20526340919667696</c:v>
                </c:pt>
                <c:pt idx="4486">
                  <c:v>0.29768351645149138</c:v>
                </c:pt>
                <c:pt idx="4487">
                  <c:v>0.52360369478400626</c:v>
                </c:pt>
                <c:pt idx="4488">
                  <c:v>0.15047375069645025</c:v>
                </c:pt>
                <c:pt idx="4489">
                  <c:v>1.6442574020145713E-2</c:v>
                </c:pt>
                <c:pt idx="4490">
                  <c:v>0.27077010700909343</c:v>
                </c:pt>
                <c:pt idx="4491">
                  <c:v>0.32304365050357214</c:v>
                </c:pt>
                <c:pt idx="4492">
                  <c:v>0.23679846100589608</c:v>
                </c:pt>
                <c:pt idx="4493">
                  <c:v>0.40247999524399192</c:v>
                </c:pt>
                <c:pt idx="4494">
                  <c:v>0.48474204714692626</c:v>
                </c:pt>
                <c:pt idx="4495">
                  <c:v>9.9298669573015808E-3</c:v>
                </c:pt>
                <c:pt idx="4496">
                  <c:v>0.2589878732169732</c:v>
                </c:pt>
                <c:pt idx="4497">
                  <c:v>0.13588775174790296</c:v>
                </c:pt>
                <c:pt idx="4498">
                  <c:v>0.56822297610098105</c:v>
                </c:pt>
                <c:pt idx="4499">
                  <c:v>0.45328193371954367</c:v>
                </c:pt>
                <c:pt idx="4500">
                  <c:v>-8.2139551481082484E-2</c:v>
                </c:pt>
                <c:pt idx="4501">
                  <c:v>0.17737553547442902</c:v>
                </c:pt>
                <c:pt idx="4502">
                  <c:v>0.25707469876680478</c:v>
                </c:pt>
                <c:pt idx="4503">
                  <c:v>0.39486489813847636</c:v>
                </c:pt>
                <c:pt idx="4504">
                  <c:v>0.49816388246018506</c:v>
                </c:pt>
                <c:pt idx="4505">
                  <c:v>0.23634874161234967</c:v>
                </c:pt>
                <c:pt idx="4506">
                  <c:v>0.27017732361303265</c:v>
                </c:pt>
                <c:pt idx="4507">
                  <c:v>0.1411237499580919</c:v>
                </c:pt>
                <c:pt idx="4508">
                  <c:v>0.13475285402411646</c:v>
                </c:pt>
                <c:pt idx="4509">
                  <c:v>5.7270724655985726E-2</c:v>
                </c:pt>
                <c:pt idx="4510">
                  <c:v>-5.8561657303804623E-2</c:v>
                </c:pt>
                <c:pt idx="4511">
                  <c:v>-9.2953804195270509E-3</c:v>
                </c:pt>
                <c:pt idx="4512">
                  <c:v>0.43040582087527063</c:v>
                </c:pt>
                <c:pt idx="4513">
                  <c:v>0.25332529592067049</c:v>
                </c:pt>
                <c:pt idx="4514">
                  <c:v>0.11504763920548972</c:v>
                </c:pt>
                <c:pt idx="4515">
                  <c:v>-3.6496213324217056E-2</c:v>
                </c:pt>
                <c:pt idx="4516">
                  <c:v>0.40598466021215385</c:v>
                </c:pt>
                <c:pt idx="4517">
                  <c:v>-5.9866142407249828E-3</c:v>
                </c:pt>
                <c:pt idx="4518">
                  <c:v>-7.4094709831325212E-3</c:v>
                </c:pt>
                <c:pt idx="4519">
                  <c:v>0.44783556695147331</c:v>
                </c:pt>
                <c:pt idx="4520">
                  <c:v>0.3916203855945446</c:v>
                </c:pt>
                <c:pt idx="4521">
                  <c:v>2.5249065511051754E-2</c:v>
                </c:pt>
                <c:pt idx="4522">
                  <c:v>1.3586022602822097E-2</c:v>
                </c:pt>
                <c:pt idx="4523">
                  <c:v>0.2679305740832984</c:v>
                </c:pt>
                <c:pt idx="4524">
                  <c:v>-2.3265055336306992E-2</c:v>
                </c:pt>
                <c:pt idx="4525">
                  <c:v>3.0922828530431646E-2</c:v>
                </c:pt>
                <c:pt idx="4526">
                  <c:v>0.28204273401165159</c:v>
                </c:pt>
                <c:pt idx="4527">
                  <c:v>0.35436394710203467</c:v>
                </c:pt>
                <c:pt idx="4528">
                  <c:v>0.71568167777637659</c:v>
                </c:pt>
                <c:pt idx="4529">
                  <c:v>0.39365398020833148</c:v>
                </c:pt>
                <c:pt idx="4530">
                  <c:v>-8.924845954996799E-2</c:v>
                </c:pt>
                <c:pt idx="4531">
                  <c:v>0.33133629515964319</c:v>
                </c:pt>
                <c:pt idx="4532">
                  <c:v>0.37735681069041882</c:v>
                </c:pt>
                <c:pt idx="4533">
                  <c:v>0.56483511127380126</c:v>
                </c:pt>
                <c:pt idx="4534">
                  <c:v>0.29960336822567607</c:v>
                </c:pt>
                <c:pt idx="4535">
                  <c:v>0.54634499334250486</c:v>
                </c:pt>
                <c:pt idx="4536">
                  <c:v>0.10710135267856652</c:v>
                </c:pt>
                <c:pt idx="4537">
                  <c:v>2.9448393121492319E-2</c:v>
                </c:pt>
                <c:pt idx="4538">
                  <c:v>-9.3300078383303772E-2</c:v>
                </c:pt>
                <c:pt idx="4539">
                  <c:v>0.23755273280954378</c:v>
                </c:pt>
                <c:pt idx="4540">
                  <c:v>0.28336523449040685</c:v>
                </c:pt>
                <c:pt idx="4541">
                  <c:v>0.14881235352009461</c:v>
                </c:pt>
                <c:pt idx="4542">
                  <c:v>0.26798881404961045</c:v>
                </c:pt>
                <c:pt idx="4543">
                  <c:v>0.41861378845828229</c:v>
                </c:pt>
                <c:pt idx="4544">
                  <c:v>0.69402090089528479</c:v>
                </c:pt>
                <c:pt idx="4545">
                  <c:v>0.39117863653869023</c:v>
                </c:pt>
                <c:pt idx="4546">
                  <c:v>0.35060551038985044</c:v>
                </c:pt>
                <c:pt idx="4547">
                  <c:v>0.55956330879846128</c:v>
                </c:pt>
                <c:pt idx="4548">
                  <c:v>0.2233244487781868</c:v>
                </c:pt>
                <c:pt idx="4549">
                  <c:v>-4.3098151491501438E-2</c:v>
                </c:pt>
                <c:pt idx="4550">
                  <c:v>0.16800911632928556</c:v>
                </c:pt>
                <c:pt idx="4551">
                  <c:v>0.1140528288420623</c:v>
                </c:pt>
                <c:pt idx="4552">
                  <c:v>0.44123493167903155</c:v>
                </c:pt>
                <c:pt idx="4553">
                  <c:v>0.45154298686820754</c:v>
                </c:pt>
                <c:pt idx="4554">
                  <c:v>7.0415250521670386E-2</c:v>
                </c:pt>
                <c:pt idx="4555">
                  <c:v>0.23720140747035007</c:v>
                </c:pt>
                <c:pt idx="4556">
                  <c:v>6.5977032738297303E-2</c:v>
                </c:pt>
                <c:pt idx="4557">
                  <c:v>0.71928465817040266</c:v>
                </c:pt>
                <c:pt idx="4558">
                  <c:v>0.16861628063325423</c:v>
                </c:pt>
                <c:pt idx="4559">
                  <c:v>0.30404943688314556</c:v>
                </c:pt>
                <c:pt idx="4560">
                  <c:v>0.12123915958255405</c:v>
                </c:pt>
                <c:pt idx="4561">
                  <c:v>-3.7343618161049849E-2</c:v>
                </c:pt>
                <c:pt idx="4562">
                  <c:v>0.18027631403570568</c:v>
                </c:pt>
                <c:pt idx="4563">
                  <c:v>0.22063136542313189</c:v>
                </c:pt>
                <c:pt idx="4564">
                  <c:v>0.15657500023958168</c:v>
                </c:pt>
                <c:pt idx="4565">
                  <c:v>0.1536044136797777</c:v>
                </c:pt>
                <c:pt idx="4566">
                  <c:v>0.37257578726531215</c:v>
                </c:pt>
                <c:pt idx="4567">
                  <c:v>-2.488256322723556E-2</c:v>
                </c:pt>
                <c:pt idx="4568">
                  <c:v>0.171655688750735</c:v>
                </c:pt>
                <c:pt idx="4569">
                  <c:v>0.60429334354829134</c:v>
                </c:pt>
                <c:pt idx="4570">
                  <c:v>-1.0636111410761442E-2</c:v>
                </c:pt>
                <c:pt idx="4571">
                  <c:v>0.61132446233875559</c:v>
                </c:pt>
                <c:pt idx="4572">
                  <c:v>2.6998292781041416E-2</c:v>
                </c:pt>
                <c:pt idx="4573">
                  <c:v>0.25022709599770615</c:v>
                </c:pt>
                <c:pt idx="4574">
                  <c:v>0.42776954678613299</c:v>
                </c:pt>
                <c:pt idx="4575">
                  <c:v>7.3954067806246693E-3</c:v>
                </c:pt>
                <c:pt idx="4576">
                  <c:v>0.59219794817263505</c:v>
                </c:pt>
                <c:pt idx="4577">
                  <c:v>0.21412673682835465</c:v>
                </c:pt>
                <c:pt idx="4578">
                  <c:v>0.394316859877274</c:v>
                </c:pt>
                <c:pt idx="4579">
                  <c:v>0.3214271897860117</c:v>
                </c:pt>
                <c:pt idx="4580">
                  <c:v>0.15446230174409878</c:v>
                </c:pt>
                <c:pt idx="4581">
                  <c:v>0.42598727057379687</c:v>
                </c:pt>
                <c:pt idx="4582">
                  <c:v>0.41144677926597073</c:v>
                </c:pt>
                <c:pt idx="4583">
                  <c:v>0.20798041893987532</c:v>
                </c:pt>
                <c:pt idx="4584">
                  <c:v>-1.5225376570618052E-3</c:v>
                </c:pt>
                <c:pt idx="4585">
                  <c:v>8.703926182645863E-2</c:v>
                </c:pt>
                <c:pt idx="4586">
                  <c:v>0.41906855450241887</c:v>
                </c:pt>
                <c:pt idx="4587">
                  <c:v>0.35772820095542834</c:v>
                </c:pt>
                <c:pt idx="4588">
                  <c:v>-9.3894381958745499E-2</c:v>
                </c:pt>
                <c:pt idx="4589">
                  <c:v>0.57597762278980358</c:v>
                </c:pt>
                <c:pt idx="4590">
                  <c:v>-6.7968242362970499E-2</c:v>
                </c:pt>
                <c:pt idx="4591">
                  <c:v>0.28802954435743922</c:v>
                </c:pt>
                <c:pt idx="4592">
                  <c:v>0.20153055085708052</c:v>
                </c:pt>
                <c:pt idx="4593">
                  <c:v>0.25662992674270491</c:v>
                </c:pt>
                <c:pt idx="4594">
                  <c:v>8.5208118139331601E-2</c:v>
                </c:pt>
                <c:pt idx="4595">
                  <c:v>0.10579631835848446</c:v>
                </c:pt>
                <c:pt idx="4596">
                  <c:v>-6.2075707851715345E-3</c:v>
                </c:pt>
                <c:pt idx="4597">
                  <c:v>0.32921900064794551</c:v>
                </c:pt>
                <c:pt idx="4598">
                  <c:v>0.21500591512168166</c:v>
                </c:pt>
                <c:pt idx="4599">
                  <c:v>0.17479714908679023</c:v>
                </c:pt>
                <c:pt idx="4600">
                  <c:v>8.1434188537395785E-2</c:v>
                </c:pt>
                <c:pt idx="4601">
                  <c:v>0.20907619100618169</c:v>
                </c:pt>
                <c:pt idx="4602">
                  <c:v>0.31185190470370194</c:v>
                </c:pt>
                <c:pt idx="4603">
                  <c:v>0.39437929836814062</c:v>
                </c:pt>
                <c:pt idx="4604">
                  <c:v>-5.3997922586876419E-2</c:v>
                </c:pt>
                <c:pt idx="4605">
                  <c:v>0.21956378017180928</c:v>
                </c:pt>
                <c:pt idx="4606">
                  <c:v>0.45256341343181872</c:v>
                </c:pt>
                <c:pt idx="4607">
                  <c:v>0.38430816813847996</c:v>
                </c:pt>
                <c:pt idx="4608">
                  <c:v>0.40105882201550708</c:v>
                </c:pt>
                <c:pt idx="4609">
                  <c:v>0.22810751315331532</c:v>
                </c:pt>
                <c:pt idx="4610">
                  <c:v>0.50134586163124295</c:v>
                </c:pt>
                <c:pt idx="4611">
                  <c:v>0.24198139932210821</c:v>
                </c:pt>
                <c:pt idx="4612">
                  <c:v>0.37021560528524255</c:v>
                </c:pt>
                <c:pt idx="4613">
                  <c:v>0.1995322396998136</c:v>
                </c:pt>
                <c:pt idx="4614">
                  <c:v>0.18555924388355519</c:v>
                </c:pt>
                <c:pt idx="4615">
                  <c:v>0.1045269830997092</c:v>
                </c:pt>
                <c:pt idx="4616">
                  <c:v>0.23573960640607317</c:v>
                </c:pt>
                <c:pt idx="4617">
                  <c:v>0.32937527285831542</c:v>
                </c:pt>
                <c:pt idx="4618">
                  <c:v>0.20632657866216456</c:v>
                </c:pt>
                <c:pt idx="4619">
                  <c:v>-9.1442788862128505E-2</c:v>
                </c:pt>
                <c:pt idx="4620">
                  <c:v>4.2304851035518183E-2</c:v>
                </c:pt>
                <c:pt idx="4621">
                  <c:v>0.40673157120590703</c:v>
                </c:pt>
                <c:pt idx="4622">
                  <c:v>0.39606498205992402</c:v>
                </c:pt>
                <c:pt idx="4623">
                  <c:v>0.15163242064063653</c:v>
                </c:pt>
                <c:pt idx="4624">
                  <c:v>0.19154867979158824</c:v>
                </c:pt>
                <c:pt idx="4625">
                  <c:v>2.2798789299410503E-2</c:v>
                </c:pt>
                <c:pt idx="4626">
                  <c:v>0.43145384846644558</c:v>
                </c:pt>
                <c:pt idx="4627">
                  <c:v>0.25688621442678017</c:v>
                </c:pt>
                <c:pt idx="4628">
                  <c:v>0.31011401418320894</c:v>
                </c:pt>
                <c:pt idx="4629">
                  <c:v>0.10679318926250352</c:v>
                </c:pt>
                <c:pt idx="4630">
                  <c:v>0.17574302519322083</c:v>
                </c:pt>
                <c:pt idx="4631">
                  <c:v>-4.5240955444652918E-2</c:v>
                </c:pt>
                <c:pt idx="4632">
                  <c:v>6.3659094208245379E-3</c:v>
                </c:pt>
                <c:pt idx="4633">
                  <c:v>0.2321417788715692</c:v>
                </c:pt>
                <c:pt idx="4634">
                  <c:v>0.38736753646693461</c:v>
                </c:pt>
                <c:pt idx="4635">
                  <c:v>0.33152036064072193</c:v>
                </c:pt>
                <c:pt idx="4636">
                  <c:v>0.41483879043374483</c:v>
                </c:pt>
                <c:pt idx="4637">
                  <c:v>0.45012269838364172</c:v>
                </c:pt>
                <c:pt idx="4638">
                  <c:v>0.29399648264196204</c:v>
                </c:pt>
                <c:pt idx="4639">
                  <c:v>0.33125202751923416</c:v>
                </c:pt>
                <c:pt idx="4640">
                  <c:v>0.24857394047699849</c:v>
                </c:pt>
                <c:pt idx="4641">
                  <c:v>9.8675790852571887E-2</c:v>
                </c:pt>
                <c:pt idx="4642">
                  <c:v>0.1468762205179257</c:v>
                </c:pt>
                <c:pt idx="4643">
                  <c:v>0.52380889125407493</c:v>
                </c:pt>
                <c:pt idx="4644">
                  <c:v>0.74321290788341532</c:v>
                </c:pt>
                <c:pt idx="4645">
                  <c:v>0.20273482831579706</c:v>
                </c:pt>
                <c:pt idx="4646">
                  <c:v>0.11613561950659519</c:v>
                </c:pt>
                <c:pt idx="4647">
                  <c:v>0.44081862304838093</c:v>
                </c:pt>
                <c:pt idx="4648">
                  <c:v>-4.823459366860066E-2</c:v>
                </c:pt>
                <c:pt idx="4649">
                  <c:v>0.22144558084021726</c:v>
                </c:pt>
                <c:pt idx="4650">
                  <c:v>0.30269398779654133</c:v>
                </c:pt>
                <c:pt idx="4651">
                  <c:v>2.4984485503197471E-2</c:v>
                </c:pt>
                <c:pt idx="4652">
                  <c:v>-5.1175724257333272E-2</c:v>
                </c:pt>
                <c:pt idx="4653">
                  <c:v>0.74354339008409398</c:v>
                </c:pt>
                <c:pt idx="4654">
                  <c:v>-9.226430697309336E-3</c:v>
                </c:pt>
                <c:pt idx="4655">
                  <c:v>5.7422328179208171E-2</c:v>
                </c:pt>
                <c:pt idx="4656">
                  <c:v>0.25546057898260555</c:v>
                </c:pt>
                <c:pt idx="4657">
                  <c:v>0.51780472914414311</c:v>
                </c:pt>
                <c:pt idx="4658">
                  <c:v>0.22747374568427539</c:v>
                </c:pt>
                <c:pt idx="4659">
                  <c:v>0.25076754779448551</c:v>
                </c:pt>
                <c:pt idx="4660">
                  <c:v>0.19523106618873926</c:v>
                </c:pt>
                <c:pt idx="4661">
                  <c:v>0.30983611952459433</c:v>
                </c:pt>
                <c:pt idx="4662">
                  <c:v>0.3120295085800413</c:v>
                </c:pt>
                <c:pt idx="4663">
                  <c:v>-7.1105886538951307E-2</c:v>
                </c:pt>
                <c:pt idx="4664">
                  <c:v>-4.7982099602029218E-3</c:v>
                </c:pt>
                <c:pt idx="4665">
                  <c:v>0.39598113676023106</c:v>
                </c:pt>
                <c:pt idx="4666">
                  <c:v>0.64228181644060622</c:v>
                </c:pt>
                <c:pt idx="4667">
                  <c:v>0.3477310426642547</c:v>
                </c:pt>
                <c:pt idx="4668">
                  <c:v>0.18620758440625859</c:v>
                </c:pt>
                <c:pt idx="4669">
                  <c:v>0.27460584987317016</c:v>
                </c:pt>
                <c:pt idx="4670">
                  <c:v>0.18082050973833078</c:v>
                </c:pt>
                <c:pt idx="4671">
                  <c:v>0.21183214857506127</c:v>
                </c:pt>
                <c:pt idx="4672">
                  <c:v>0.15949717553350226</c:v>
                </c:pt>
                <c:pt idx="4673">
                  <c:v>0.58221235738479848</c:v>
                </c:pt>
                <c:pt idx="4674">
                  <c:v>3.1630111832426692E-2</c:v>
                </c:pt>
                <c:pt idx="4675">
                  <c:v>0.52478115778551349</c:v>
                </c:pt>
                <c:pt idx="4676">
                  <c:v>6.0977937662689191E-2</c:v>
                </c:pt>
                <c:pt idx="4677">
                  <c:v>0.58368709874227687</c:v>
                </c:pt>
                <c:pt idx="4678">
                  <c:v>1.6800694219198588E-2</c:v>
                </c:pt>
                <c:pt idx="4679">
                  <c:v>0.84806820569277097</c:v>
                </c:pt>
                <c:pt idx="4680">
                  <c:v>0.47057105062745125</c:v>
                </c:pt>
                <c:pt idx="4681">
                  <c:v>0.36200407201926832</c:v>
                </c:pt>
                <c:pt idx="4682">
                  <c:v>0.38989633840327886</c:v>
                </c:pt>
                <c:pt idx="4683">
                  <c:v>0.28161003214567798</c:v>
                </c:pt>
                <c:pt idx="4684">
                  <c:v>-5.2841534049330813E-2</c:v>
                </c:pt>
                <c:pt idx="4685">
                  <c:v>0.33197461382220461</c:v>
                </c:pt>
                <c:pt idx="4686">
                  <c:v>0.19456607760075548</c:v>
                </c:pt>
                <c:pt idx="4687">
                  <c:v>0.48672798839751591</c:v>
                </c:pt>
                <c:pt idx="4688">
                  <c:v>0.40143630916197742</c:v>
                </c:pt>
                <c:pt idx="4689">
                  <c:v>0.22239186254599044</c:v>
                </c:pt>
                <c:pt idx="4690">
                  <c:v>0.29510803942314046</c:v>
                </c:pt>
                <c:pt idx="4691">
                  <c:v>0.4831280016608181</c:v>
                </c:pt>
                <c:pt idx="4692">
                  <c:v>2.7135670507740697E-2</c:v>
                </c:pt>
                <c:pt idx="4693">
                  <c:v>0.15863965853825113</c:v>
                </c:pt>
                <c:pt idx="4694">
                  <c:v>0.55112462424459863</c:v>
                </c:pt>
                <c:pt idx="4695">
                  <c:v>0.37255017121767975</c:v>
                </c:pt>
                <c:pt idx="4696">
                  <c:v>0.1944320865732786</c:v>
                </c:pt>
                <c:pt idx="4697">
                  <c:v>0.5816423375855696</c:v>
                </c:pt>
                <c:pt idx="4698">
                  <c:v>0.64073239233910362</c:v>
                </c:pt>
                <c:pt idx="4699">
                  <c:v>0.12138936666321654</c:v>
                </c:pt>
                <c:pt idx="4700">
                  <c:v>0.20307188092312214</c:v>
                </c:pt>
                <c:pt idx="4701">
                  <c:v>0.28704228854565811</c:v>
                </c:pt>
                <c:pt idx="4702">
                  <c:v>0.1819723144020805</c:v>
                </c:pt>
                <c:pt idx="4703">
                  <c:v>0.31182532312573569</c:v>
                </c:pt>
                <c:pt idx="4704">
                  <c:v>0.3250758834963966</c:v>
                </c:pt>
                <c:pt idx="4705">
                  <c:v>6.8164478230119077E-2</c:v>
                </c:pt>
                <c:pt idx="4706">
                  <c:v>-8.4649593665293288E-3</c:v>
                </c:pt>
                <c:pt idx="4707">
                  <c:v>7.0794084758507972E-2</c:v>
                </c:pt>
                <c:pt idx="4708">
                  <c:v>1.7281855118549072E-2</c:v>
                </c:pt>
                <c:pt idx="4709">
                  <c:v>0.26924350151929122</c:v>
                </c:pt>
                <c:pt idx="4710">
                  <c:v>0.54246478278410404</c:v>
                </c:pt>
                <c:pt idx="4711">
                  <c:v>-7.5345051430563956E-2</c:v>
                </c:pt>
                <c:pt idx="4712">
                  <c:v>4.7677085718639253E-2</c:v>
                </c:pt>
                <c:pt idx="4713">
                  <c:v>0.12461555317670833</c:v>
                </c:pt>
                <c:pt idx="4714">
                  <c:v>0.12533210095804725</c:v>
                </c:pt>
                <c:pt idx="4715">
                  <c:v>0.24985305652083009</c:v>
                </c:pt>
                <c:pt idx="4716">
                  <c:v>-6.5616316978055061E-3</c:v>
                </c:pt>
                <c:pt idx="4717">
                  <c:v>0.25764409363692026</c:v>
                </c:pt>
                <c:pt idx="4718">
                  <c:v>9.6125909536886128E-2</c:v>
                </c:pt>
                <c:pt idx="4719">
                  <c:v>4.8920853256193275E-2</c:v>
                </c:pt>
                <c:pt idx="4720">
                  <c:v>-7.2226722454571846E-2</c:v>
                </c:pt>
                <c:pt idx="4721">
                  <c:v>-6.086897773206499E-2</c:v>
                </c:pt>
                <c:pt idx="4722">
                  <c:v>0.56805314620531866</c:v>
                </c:pt>
                <c:pt idx="4723">
                  <c:v>0.25254655010761412</c:v>
                </c:pt>
                <c:pt idx="4724">
                  <c:v>0.10704762017697818</c:v>
                </c:pt>
                <c:pt idx="4725">
                  <c:v>0.34820958658150014</c:v>
                </c:pt>
                <c:pt idx="4726">
                  <c:v>0.24624172504546415</c:v>
                </c:pt>
                <c:pt idx="4727">
                  <c:v>0.38619905828422557</c:v>
                </c:pt>
                <c:pt idx="4728">
                  <c:v>0.11240580762414835</c:v>
                </c:pt>
                <c:pt idx="4729">
                  <c:v>0.21294193965932687</c:v>
                </c:pt>
                <c:pt idx="4730">
                  <c:v>0.29709345003658616</c:v>
                </c:pt>
                <c:pt idx="4731">
                  <c:v>0.43587447987740285</c:v>
                </c:pt>
                <c:pt idx="4732">
                  <c:v>0.5200565976797773</c:v>
                </c:pt>
                <c:pt idx="4733">
                  <c:v>5.4687081203046432E-2</c:v>
                </c:pt>
                <c:pt idx="4734">
                  <c:v>0.31398672777577641</c:v>
                </c:pt>
                <c:pt idx="4735">
                  <c:v>0.20648748217750404</c:v>
                </c:pt>
                <c:pt idx="4736">
                  <c:v>0.25854313297685771</c:v>
                </c:pt>
                <c:pt idx="4737">
                  <c:v>0.24219755237456952</c:v>
                </c:pt>
                <c:pt idx="4738">
                  <c:v>0.81531158303915574</c:v>
                </c:pt>
                <c:pt idx="4739">
                  <c:v>0.44250322614099996</c:v>
                </c:pt>
                <c:pt idx="4740">
                  <c:v>0.14133256531621852</c:v>
                </c:pt>
                <c:pt idx="4741">
                  <c:v>0.27709849129860148</c:v>
                </c:pt>
                <c:pt idx="4742">
                  <c:v>0.24958597868440144</c:v>
                </c:pt>
                <c:pt idx="4743">
                  <c:v>0.46421749926637729</c:v>
                </c:pt>
                <c:pt idx="4744">
                  <c:v>-3.4471850633134779E-2</c:v>
                </c:pt>
                <c:pt idx="4745">
                  <c:v>0.18695005059850245</c:v>
                </c:pt>
                <c:pt idx="4746">
                  <c:v>0.27333461040149332</c:v>
                </c:pt>
                <c:pt idx="4747">
                  <c:v>0.65722546992292719</c:v>
                </c:pt>
                <c:pt idx="4748">
                  <c:v>0.51257418414434219</c:v>
                </c:pt>
                <c:pt idx="4749">
                  <c:v>0.33865210074751523</c:v>
                </c:pt>
                <c:pt idx="4750">
                  <c:v>0.20676332970547645</c:v>
                </c:pt>
                <c:pt idx="4751">
                  <c:v>-5.3643416748053958E-2</c:v>
                </c:pt>
                <c:pt idx="4752">
                  <c:v>0.41288557987996893</c:v>
                </c:pt>
                <c:pt idx="4753">
                  <c:v>0.39239482070152604</c:v>
                </c:pt>
                <c:pt idx="4754">
                  <c:v>0.20963855976961895</c:v>
                </c:pt>
                <c:pt idx="4755">
                  <c:v>0.19708986538099815</c:v>
                </c:pt>
                <c:pt idx="4756">
                  <c:v>0.69460981229617547</c:v>
                </c:pt>
                <c:pt idx="4757">
                  <c:v>0.37826305122253923</c:v>
                </c:pt>
                <c:pt idx="4758">
                  <c:v>0.23166111245294455</c:v>
                </c:pt>
                <c:pt idx="4759">
                  <c:v>0.12407439711115348</c:v>
                </c:pt>
                <c:pt idx="4760">
                  <c:v>0.29952309842375208</c:v>
                </c:pt>
                <c:pt idx="4761">
                  <c:v>9.9882108795460972E-2</c:v>
                </c:pt>
                <c:pt idx="4762">
                  <c:v>0.44449664541821876</c:v>
                </c:pt>
                <c:pt idx="4763">
                  <c:v>0.24044854700533846</c:v>
                </c:pt>
                <c:pt idx="4764">
                  <c:v>0.38586475651762231</c:v>
                </c:pt>
                <c:pt idx="4765">
                  <c:v>0.25391273879899268</c:v>
                </c:pt>
                <c:pt idx="4766">
                  <c:v>0.29902387224253496</c:v>
                </c:pt>
                <c:pt idx="4767">
                  <c:v>0.13263828515147807</c:v>
                </c:pt>
                <c:pt idx="4768">
                  <c:v>0.62734186304316752</c:v>
                </c:pt>
                <c:pt idx="4769">
                  <c:v>0.24701896002127219</c:v>
                </c:pt>
                <c:pt idx="4770">
                  <c:v>0.27937823888164531</c:v>
                </c:pt>
                <c:pt idx="4771">
                  <c:v>0.31174098943691986</c:v>
                </c:pt>
                <c:pt idx="4772">
                  <c:v>7.3258823540182996E-2</c:v>
                </c:pt>
                <c:pt idx="4773">
                  <c:v>0.46567752420582997</c:v>
                </c:pt>
                <c:pt idx="4774">
                  <c:v>0.48570290172247671</c:v>
                </c:pt>
                <c:pt idx="4775">
                  <c:v>-4.670319493445596E-2</c:v>
                </c:pt>
                <c:pt idx="4776">
                  <c:v>-2.4970457710962082E-2</c:v>
                </c:pt>
                <c:pt idx="4777">
                  <c:v>0.25836004524785439</c:v>
                </c:pt>
                <c:pt idx="4778">
                  <c:v>0.35573920172655343</c:v>
                </c:pt>
                <c:pt idx="4779">
                  <c:v>0.15267220442191451</c:v>
                </c:pt>
                <c:pt idx="4780">
                  <c:v>0.3606431388462738</c:v>
                </c:pt>
                <c:pt idx="4781">
                  <c:v>4.7019376735613919E-2</c:v>
                </c:pt>
                <c:pt idx="4782">
                  <c:v>0.17878713638728144</c:v>
                </c:pt>
                <c:pt idx="4783">
                  <c:v>0.22828021163759227</c:v>
                </c:pt>
                <c:pt idx="4784">
                  <c:v>0.15114749489015517</c:v>
                </c:pt>
                <c:pt idx="4785">
                  <c:v>-4.0070171257804918E-3</c:v>
                </c:pt>
                <c:pt idx="4786">
                  <c:v>0.37401887451145172</c:v>
                </c:pt>
                <c:pt idx="4787">
                  <c:v>0.19273264834966602</c:v>
                </c:pt>
                <c:pt idx="4788">
                  <c:v>-1.8725030629205962E-2</c:v>
                </c:pt>
                <c:pt idx="4789">
                  <c:v>0.2224266473491584</c:v>
                </c:pt>
                <c:pt idx="4790">
                  <c:v>0.31205569705967917</c:v>
                </c:pt>
                <c:pt idx="4791">
                  <c:v>0.18088622475794941</c:v>
                </c:pt>
                <c:pt idx="4792">
                  <c:v>0.32161145263360041</c:v>
                </c:pt>
                <c:pt idx="4793">
                  <c:v>8.424187107761081E-3</c:v>
                </c:pt>
                <c:pt idx="4794">
                  <c:v>0.13408119317334369</c:v>
                </c:pt>
                <c:pt idx="4795">
                  <c:v>0.13905631279239949</c:v>
                </c:pt>
                <c:pt idx="4796">
                  <c:v>0.25787463209237638</c:v>
                </c:pt>
                <c:pt idx="4797">
                  <c:v>0.53950500143444946</c:v>
                </c:pt>
                <c:pt idx="4798">
                  <c:v>0.55171523826713864</c:v>
                </c:pt>
                <c:pt idx="4799">
                  <c:v>0.47771636993126187</c:v>
                </c:pt>
                <c:pt idx="4800">
                  <c:v>0.12300872476673011</c:v>
                </c:pt>
                <c:pt idx="4801">
                  <c:v>0.31539444457194343</c:v>
                </c:pt>
                <c:pt idx="4802">
                  <c:v>0.14168294475338997</c:v>
                </c:pt>
                <c:pt idx="4803">
                  <c:v>0.29463713519994589</c:v>
                </c:pt>
                <c:pt idx="4804">
                  <c:v>0.38708539417845333</c:v>
                </c:pt>
                <c:pt idx="4805">
                  <c:v>0.40043903661242536</c:v>
                </c:pt>
                <c:pt idx="4806">
                  <c:v>0.41058380859449795</c:v>
                </c:pt>
                <c:pt idx="4807">
                  <c:v>0.11653306718368252</c:v>
                </c:pt>
                <c:pt idx="4808">
                  <c:v>0.25252799495377726</c:v>
                </c:pt>
                <c:pt idx="4809">
                  <c:v>4.6746807102734787E-2</c:v>
                </c:pt>
                <c:pt idx="4810">
                  <c:v>0.27755396427931273</c:v>
                </c:pt>
                <c:pt idx="4811">
                  <c:v>0.52948936200294616</c:v>
                </c:pt>
                <c:pt idx="4812">
                  <c:v>0.42898600184918961</c:v>
                </c:pt>
                <c:pt idx="4813">
                  <c:v>0.21266611156897497</c:v>
                </c:pt>
                <c:pt idx="4814">
                  <c:v>0.23374215489889738</c:v>
                </c:pt>
                <c:pt idx="4815">
                  <c:v>0.25948946696046282</c:v>
                </c:pt>
                <c:pt idx="4816">
                  <c:v>0.16435779944524523</c:v>
                </c:pt>
                <c:pt idx="4817">
                  <c:v>0.29383626563841775</c:v>
                </c:pt>
                <c:pt idx="4818">
                  <c:v>1.6631510872818757E-2</c:v>
                </c:pt>
                <c:pt idx="4819">
                  <c:v>0.21559017261268598</c:v>
                </c:pt>
                <c:pt idx="4820">
                  <c:v>0.23920076571350796</c:v>
                </c:pt>
                <c:pt idx="4821">
                  <c:v>0.17350536560132515</c:v>
                </c:pt>
                <c:pt idx="4822">
                  <c:v>0.42935556460311669</c:v>
                </c:pt>
                <c:pt idx="4823">
                  <c:v>0.42503720143036217</c:v>
                </c:pt>
                <c:pt idx="4824">
                  <c:v>0.39279220968125489</c:v>
                </c:pt>
                <c:pt idx="4825">
                  <c:v>0.45297853006689126</c:v>
                </c:pt>
                <c:pt idx="4826">
                  <c:v>0.36833864658312754</c:v>
                </c:pt>
                <c:pt idx="4827">
                  <c:v>6.3413592602151542E-2</c:v>
                </c:pt>
                <c:pt idx="4828">
                  <c:v>0.32340014727224592</c:v>
                </c:pt>
                <c:pt idx="4829">
                  <c:v>0.46774641053467464</c:v>
                </c:pt>
                <c:pt idx="4830">
                  <c:v>0.31959473424673351</c:v>
                </c:pt>
                <c:pt idx="4831">
                  <c:v>0.13892746915372253</c:v>
                </c:pt>
                <c:pt idx="4832">
                  <c:v>0.21563559068064672</c:v>
                </c:pt>
                <c:pt idx="4833">
                  <c:v>7.8017445579370293E-4</c:v>
                </c:pt>
                <c:pt idx="4834">
                  <c:v>0.19077812435451361</c:v>
                </c:pt>
                <c:pt idx="4835">
                  <c:v>0.16099850206898964</c:v>
                </c:pt>
                <c:pt idx="4836">
                  <c:v>0.11412477973520307</c:v>
                </c:pt>
                <c:pt idx="4837">
                  <c:v>1.9311074531642866E-2</c:v>
                </c:pt>
                <c:pt idx="4838">
                  <c:v>0.25659038411573087</c:v>
                </c:pt>
                <c:pt idx="4839">
                  <c:v>0.41544175977925296</c:v>
                </c:pt>
                <c:pt idx="4840">
                  <c:v>0.13180818613574169</c:v>
                </c:pt>
                <c:pt idx="4841">
                  <c:v>0.17364961380746849</c:v>
                </c:pt>
                <c:pt idx="4842">
                  <c:v>0.19909701826226767</c:v>
                </c:pt>
                <c:pt idx="4843">
                  <c:v>6.3222322432246778E-2</c:v>
                </c:pt>
                <c:pt idx="4844">
                  <c:v>0.18003864508076506</c:v>
                </c:pt>
                <c:pt idx="4845">
                  <c:v>0.60045997355360159</c:v>
                </c:pt>
                <c:pt idx="4846">
                  <c:v>0.22623917738341015</c:v>
                </c:pt>
                <c:pt idx="4847">
                  <c:v>0.3044873696584916</c:v>
                </c:pt>
                <c:pt idx="4848">
                  <c:v>0.35203467546316619</c:v>
                </c:pt>
                <c:pt idx="4849">
                  <c:v>0.13613683810722121</c:v>
                </c:pt>
                <c:pt idx="4850">
                  <c:v>0.36771036491858278</c:v>
                </c:pt>
                <c:pt idx="4851">
                  <c:v>0.40779265981620871</c:v>
                </c:pt>
                <c:pt idx="4852">
                  <c:v>0.26404415432013184</c:v>
                </c:pt>
                <c:pt idx="4853">
                  <c:v>8.0310005307498017E-2</c:v>
                </c:pt>
                <c:pt idx="4854">
                  <c:v>0.42479791653276466</c:v>
                </c:pt>
                <c:pt idx="4855">
                  <c:v>0.11879752430778505</c:v>
                </c:pt>
                <c:pt idx="4856">
                  <c:v>0.44163692931122778</c:v>
                </c:pt>
                <c:pt idx="4857">
                  <c:v>0.16914273963193965</c:v>
                </c:pt>
                <c:pt idx="4858">
                  <c:v>-5.4911618523036568E-2</c:v>
                </c:pt>
                <c:pt idx="4859">
                  <c:v>0.21359386252009535</c:v>
                </c:pt>
                <c:pt idx="4860">
                  <c:v>0.45125156678004114</c:v>
                </c:pt>
                <c:pt idx="4861">
                  <c:v>0.21817725011125566</c:v>
                </c:pt>
                <c:pt idx="4862">
                  <c:v>1.5321567154858301E-3</c:v>
                </c:pt>
                <c:pt idx="4863">
                  <c:v>1.4257725788623186E-2</c:v>
                </c:pt>
                <c:pt idx="4864">
                  <c:v>0.2294452663646368</c:v>
                </c:pt>
                <c:pt idx="4865">
                  <c:v>0.24549121979618277</c:v>
                </c:pt>
                <c:pt idx="4866">
                  <c:v>0.1665225987837412</c:v>
                </c:pt>
                <c:pt idx="4867">
                  <c:v>0.24861069833074853</c:v>
                </c:pt>
                <c:pt idx="4868">
                  <c:v>0.16740922499443189</c:v>
                </c:pt>
                <c:pt idx="4869">
                  <c:v>0.28935529328641285</c:v>
                </c:pt>
                <c:pt idx="4870">
                  <c:v>0.20737735252923015</c:v>
                </c:pt>
                <c:pt idx="4871">
                  <c:v>0.46248354105235995</c:v>
                </c:pt>
                <c:pt idx="4872">
                  <c:v>0.25675315155822481</c:v>
                </c:pt>
                <c:pt idx="4873">
                  <c:v>0.18517411203344467</c:v>
                </c:pt>
                <c:pt idx="4874">
                  <c:v>0.64383894655914997</c:v>
                </c:pt>
                <c:pt idx="4875">
                  <c:v>0.63998469987454798</c:v>
                </c:pt>
                <c:pt idx="4876">
                  <c:v>0.28108242574016395</c:v>
                </c:pt>
                <c:pt idx="4877">
                  <c:v>-6.7144987767784478E-2</c:v>
                </c:pt>
                <c:pt idx="4878">
                  <c:v>6.6584484736299243E-2</c:v>
                </c:pt>
                <c:pt idx="4879">
                  <c:v>-7.0017123646156199E-2</c:v>
                </c:pt>
                <c:pt idx="4880">
                  <c:v>0.15263743389428808</c:v>
                </c:pt>
                <c:pt idx="4881">
                  <c:v>0.24314166327490222</c:v>
                </c:pt>
                <c:pt idx="4882">
                  <c:v>0.24422419316895647</c:v>
                </c:pt>
                <c:pt idx="4883">
                  <c:v>0.17259424710830887</c:v>
                </c:pt>
                <c:pt idx="4884">
                  <c:v>0.17916486433322712</c:v>
                </c:pt>
                <c:pt idx="4885">
                  <c:v>-5.8269564669550335E-2</c:v>
                </c:pt>
                <c:pt idx="4886">
                  <c:v>-4.9025181575404655E-2</c:v>
                </c:pt>
                <c:pt idx="4887">
                  <c:v>0.34554546166967709</c:v>
                </c:pt>
                <c:pt idx="4888">
                  <c:v>0.48387145605786025</c:v>
                </c:pt>
                <c:pt idx="4889">
                  <c:v>-3.946621111742344E-2</c:v>
                </c:pt>
                <c:pt idx="4890">
                  <c:v>0.32531407744189589</c:v>
                </c:pt>
                <c:pt idx="4891">
                  <c:v>0.1981627233547012</c:v>
                </c:pt>
                <c:pt idx="4892">
                  <c:v>0.26013429495945745</c:v>
                </c:pt>
                <c:pt idx="4893">
                  <c:v>-8.5390837717380666E-2</c:v>
                </c:pt>
                <c:pt idx="4894">
                  <c:v>-3.6327072134424848E-3</c:v>
                </c:pt>
                <c:pt idx="4895">
                  <c:v>0.44665617635163402</c:v>
                </c:pt>
                <c:pt idx="4896">
                  <c:v>0.39658178809219741</c:v>
                </c:pt>
                <c:pt idx="4897">
                  <c:v>0.14396615381297459</c:v>
                </c:pt>
                <c:pt idx="4898">
                  <c:v>0.11477122614308236</c:v>
                </c:pt>
                <c:pt idx="4899">
                  <c:v>0.24258547173656417</c:v>
                </c:pt>
                <c:pt idx="4900">
                  <c:v>0.28206729860744512</c:v>
                </c:pt>
                <c:pt idx="4901">
                  <c:v>7.80614009326836E-2</c:v>
                </c:pt>
                <c:pt idx="4902">
                  <c:v>0.1094624670819646</c:v>
                </c:pt>
                <c:pt idx="4903">
                  <c:v>0.12830045927526043</c:v>
                </c:pt>
                <c:pt idx="4904">
                  <c:v>0.12666495107190093</c:v>
                </c:pt>
                <c:pt idx="4905">
                  <c:v>0.50462606169053126</c:v>
                </c:pt>
                <c:pt idx="4906">
                  <c:v>0.29310358439771006</c:v>
                </c:pt>
                <c:pt idx="4907">
                  <c:v>4.5160349447933498E-2</c:v>
                </c:pt>
                <c:pt idx="4908">
                  <c:v>0.16847773893506762</c:v>
                </c:pt>
                <c:pt idx="4909">
                  <c:v>0.26114653799121917</c:v>
                </c:pt>
                <c:pt idx="4910">
                  <c:v>0.17482568262520096</c:v>
                </c:pt>
                <c:pt idx="4911">
                  <c:v>0.23044668236609464</c:v>
                </c:pt>
                <c:pt idx="4912">
                  <c:v>0.44683797700023709</c:v>
                </c:pt>
                <c:pt idx="4913">
                  <c:v>0.11527608249335984</c:v>
                </c:pt>
                <c:pt idx="4914">
                  <c:v>0.22409863028261787</c:v>
                </c:pt>
                <c:pt idx="4915">
                  <c:v>0.1780724305484368</c:v>
                </c:pt>
                <c:pt idx="4916">
                  <c:v>-5.358726778590487E-2</c:v>
                </c:pt>
                <c:pt idx="4917">
                  <c:v>0.22644058841203027</c:v>
                </c:pt>
                <c:pt idx="4918">
                  <c:v>0.21527432627496051</c:v>
                </c:pt>
                <c:pt idx="4919">
                  <c:v>0.24597657379282004</c:v>
                </c:pt>
                <c:pt idx="4920">
                  <c:v>-3.3875168344771389E-2</c:v>
                </c:pt>
                <c:pt idx="4921">
                  <c:v>0.27125838661540064</c:v>
                </c:pt>
                <c:pt idx="4922">
                  <c:v>3.811847910238602E-2</c:v>
                </c:pt>
                <c:pt idx="4923">
                  <c:v>0.47566731219838559</c:v>
                </c:pt>
                <c:pt idx="4924">
                  <c:v>0.3766234248528707</c:v>
                </c:pt>
                <c:pt idx="4925">
                  <c:v>0.30577736875964961</c:v>
                </c:pt>
                <c:pt idx="4926">
                  <c:v>0.36898676325002383</c:v>
                </c:pt>
                <c:pt idx="4927">
                  <c:v>0.22747423309976181</c:v>
                </c:pt>
                <c:pt idx="4928">
                  <c:v>0.24986224690838824</c:v>
                </c:pt>
                <c:pt idx="4929">
                  <c:v>6.1591156083434448E-3</c:v>
                </c:pt>
                <c:pt idx="4930">
                  <c:v>0.46122538503632377</c:v>
                </c:pt>
                <c:pt idx="4931">
                  <c:v>0.34384574028523968</c:v>
                </c:pt>
                <c:pt idx="4932">
                  <c:v>0.34487933338796106</c:v>
                </c:pt>
                <c:pt idx="4933">
                  <c:v>-8.961490296225634E-2</c:v>
                </c:pt>
                <c:pt idx="4934">
                  <c:v>0.28781024183937592</c:v>
                </c:pt>
                <c:pt idx="4935">
                  <c:v>0.39234990958644689</c:v>
                </c:pt>
                <c:pt idx="4936">
                  <c:v>-8.9515514345212405E-2</c:v>
                </c:pt>
                <c:pt idx="4937">
                  <c:v>0.24375797465398533</c:v>
                </c:pt>
                <c:pt idx="4938">
                  <c:v>-3.008079239795089E-2</c:v>
                </c:pt>
                <c:pt idx="4939">
                  <c:v>0.46480908108337016</c:v>
                </c:pt>
                <c:pt idx="4940">
                  <c:v>-8.509391310685499E-2</c:v>
                </c:pt>
                <c:pt idx="4941">
                  <c:v>0.18812569773754093</c:v>
                </c:pt>
                <c:pt idx="4942">
                  <c:v>-3.5261882921336189E-2</c:v>
                </c:pt>
                <c:pt idx="4943">
                  <c:v>-5.663347604243546E-2</c:v>
                </c:pt>
                <c:pt idx="4944">
                  <c:v>0.3508798501245361</c:v>
                </c:pt>
                <c:pt idx="4945">
                  <c:v>5.1406832787821009E-2</c:v>
                </c:pt>
                <c:pt idx="4946">
                  <c:v>0.38954904366880838</c:v>
                </c:pt>
                <c:pt idx="4947">
                  <c:v>0.18924839485452311</c:v>
                </c:pt>
                <c:pt idx="4948">
                  <c:v>0.12832949187322185</c:v>
                </c:pt>
                <c:pt idx="4949">
                  <c:v>0.22284905129880395</c:v>
                </c:pt>
                <c:pt idx="4950">
                  <c:v>0.24000269265003679</c:v>
                </c:pt>
                <c:pt idx="4951">
                  <c:v>0.82991154309268211</c:v>
                </c:pt>
                <c:pt idx="4952">
                  <c:v>0.37458258903563157</c:v>
                </c:pt>
                <c:pt idx="4953">
                  <c:v>-8.6763668603057204E-2</c:v>
                </c:pt>
                <c:pt idx="4954">
                  <c:v>7.9283264407824627E-2</c:v>
                </c:pt>
                <c:pt idx="4955">
                  <c:v>0.52404978025841631</c:v>
                </c:pt>
                <c:pt idx="4956">
                  <c:v>0.12958364174060216</c:v>
                </c:pt>
                <c:pt idx="4957">
                  <c:v>0.40005115596311669</c:v>
                </c:pt>
                <c:pt idx="4958">
                  <c:v>3.6451259307019715E-2</c:v>
                </c:pt>
                <c:pt idx="4959">
                  <c:v>0.22427733020381593</c:v>
                </c:pt>
                <c:pt idx="4960">
                  <c:v>0.15690311309828889</c:v>
                </c:pt>
                <c:pt idx="4961">
                  <c:v>0.23483027824695468</c:v>
                </c:pt>
                <c:pt idx="4962">
                  <c:v>0.46707117561471989</c:v>
                </c:pt>
                <c:pt idx="4963">
                  <c:v>0.28276978009821124</c:v>
                </c:pt>
                <c:pt idx="4964">
                  <c:v>0.3734150652416503</c:v>
                </c:pt>
                <c:pt idx="4965">
                  <c:v>1.596160743367735E-2</c:v>
                </c:pt>
                <c:pt idx="4966">
                  <c:v>0.2853995647735158</c:v>
                </c:pt>
                <c:pt idx="4967">
                  <c:v>7.0860448399128279E-2</c:v>
                </c:pt>
                <c:pt idx="4968">
                  <c:v>0.22558922535202247</c:v>
                </c:pt>
                <c:pt idx="4969">
                  <c:v>6.7818183239237745E-2</c:v>
                </c:pt>
                <c:pt idx="4970">
                  <c:v>0.14074259333268541</c:v>
                </c:pt>
                <c:pt idx="4971">
                  <c:v>0.26993947641306754</c:v>
                </c:pt>
                <c:pt idx="4972">
                  <c:v>0.42251367613549129</c:v>
                </c:pt>
                <c:pt idx="4973">
                  <c:v>4.5095800483210872E-2</c:v>
                </c:pt>
                <c:pt idx="4974">
                  <c:v>5.8464968448407317E-2</c:v>
                </c:pt>
                <c:pt idx="4975">
                  <c:v>7.9521631931932277E-2</c:v>
                </c:pt>
                <c:pt idx="4976">
                  <c:v>0.27872789379160623</c:v>
                </c:pt>
                <c:pt idx="4977">
                  <c:v>0.24750853919299304</c:v>
                </c:pt>
                <c:pt idx="4978">
                  <c:v>0.294658031523505</c:v>
                </c:pt>
                <c:pt idx="4979">
                  <c:v>8.7589713499468591E-2</c:v>
                </c:pt>
                <c:pt idx="4980">
                  <c:v>0.2947294803490107</c:v>
                </c:pt>
                <c:pt idx="4981">
                  <c:v>0.19451002150211455</c:v>
                </c:pt>
                <c:pt idx="4982">
                  <c:v>0.27002908292635786</c:v>
                </c:pt>
                <c:pt idx="4983">
                  <c:v>0.18581903121280555</c:v>
                </c:pt>
                <c:pt idx="4984">
                  <c:v>0.21993801475876382</c:v>
                </c:pt>
                <c:pt idx="4985">
                  <c:v>0.14011414575814835</c:v>
                </c:pt>
                <c:pt idx="4986">
                  <c:v>3.2729472949254289E-2</c:v>
                </c:pt>
                <c:pt idx="4987">
                  <c:v>0.14151803234070043</c:v>
                </c:pt>
                <c:pt idx="4988">
                  <c:v>0.21312536246081476</c:v>
                </c:pt>
                <c:pt idx="4989">
                  <c:v>0.40114356041994126</c:v>
                </c:pt>
                <c:pt idx="4990">
                  <c:v>0.61246451672400726</c:v>
                </c:pt>
                <c:pt idx="4991">
                  <c:v>-3.7552546661734597E-3</c:v>
                </c:pt>
                <c:pt idx="4992">
                  <c:v>5.0872373202256446E-2</c:v>
                </c:pt>
                <c:pt idx="4993">
                  <c:v>-2.2181271740644277E-2</c:v>
                </c:pt>
                <c:pt idx="4994">
                  <c:v>0.27563715271114142</c:v>
                </c:pt>
                <c:pt idx="4995">
                  <c:v>0.68921240376300963</c:v>
                </c:pt>
                <c:pt idx="4996">
                  <c:v>0.32433270371384393</c:v>
                </c:pt>
                <c:pt idx="4997">
                  <c:v>0.29883314101340669</c:v>
                </c:pt>
                <c:pt idx="4998">
                  <c:v>0.38588818653207485</c:v>
                </c:pt>
                <c:pt idx="4999">
                  <c:v>3.8569358030273726E-2</c:v>
                </c:pt>
                <c:pt idx="5000">
                  <c:v>0.30722773191029124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F-49C1-B4C8-76C9876C63A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stock optimal portfolio'!$K$12</c:f>
              <c:numCache>
                <c:formatCode>0.00%</c:formatCode>
                <c:ptCount val="1"/>
                <c:pt idx="0">
                  <c:v>0.2967892388025809</c:v>
                </c:pt>
              </c:numCache>
            </c:numRef>
          </c:xVal>
          <c:yVal>
            <c:numRef>
              <c:f>'3 stock optimal portfolio'!$K$11</c:f>
              <c:numCache>
                <c:formatCode>0.00%</c:formatCode>
                <c:ptCount val="1"/>
                <c:pt idx="0">
                  <c:v>0.89572606956284695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3F-49C1-B4C8-76C9876C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020912"/>
        <c:axId val="1756019248"/>
      </c:scatterChart>
      <c:valAx>
        <c:axId val="175602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6019248"/>
        <c:crosses val="autoZero"/>
        <c:crossBetween val="midCat"/>
      </c:valAx>
      <c:valAx>
        <c:axId val="175601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602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Portfolio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stock optimal portfolio'!$O$3:$O$19</c:f>
              <c:numCache>
                <c:formatCode>General</c:formatCode>
                <c:ptCount val="17"/>
                <c:pt idx="0">
                  <c:v>2.5968079291409586E-2</c:v>
                </c:pt>
                <c:pt idx="1">
                  <c:v>2.3513082313239834E-2</c:v>
                </c:pt>
                <c:pt idx="2">
                  <c:v>2.121156671066211E-2</c:v>
                </c:pt>
                <c:pt idx="3">
                  <c:v>1.9119040494752E-2</c:v>
                </c:pt>
                <c:pt idx="4">
                  <c:v>1.7311455202451496E-2</c:v>
                </c:pt>
                <c:pt idx="5">
                  <c:v>1.588637396262671E-2</c:v>
                </c:pt>
                <c:pt idx="6">
                  <c:v>1.4953558064948396E-2</c:v>
                </c:pt>
                <c:pt idx="7">
                  <c:v>1.460761940189308E-2</c:v>
                </c:pt>
                <c:pt idx="8">
                  <c:v>1.4889520309491623E-2</c:v>
                </c:pt>
                <c:pt idx="9">
                  <c:v>1.5765617976165238E-2</c:v>
                </c:pt>
                <c:pt idx="10">
                  <c:v>1.7145064303216422E-2</c:v>
                </c:pt>
                <c:pt idx="11">
                  <c:v>1.8918070050084074E-2</c:v>
                </c:pt>
                <c:pt idx="12">
                  <c:v>2.0985117191613931E-2</c:v>
                </c:pt>
                <c:pt idx="13">
                  <c:v>2.3267972351261587E-2</c:v>
                </c:pt>
                <c:pt idx="14">
                  <c:v>2.570921149704513E-2</c:v>
                </c:pt>
                <c:pt idx="15">
                  <c:v>2.8267829752705489E-2</c:v>
                </c:pt>
                <c:pt idx="16">
                  <c:v>3.0914696613803389E-2</c:v>
                </c:pt>
              </c:numCache>
            </c:numRef>
          </c:xVal>
          <c:yVal>
            <c:numRef>
              <c:f>'2 stock optimal portfolio'!$N$3:$N$19</c:f>
              <c:numCache>
                <c:formatCode>General</c:formatCode>
                <c:ptCount val="17"/>
                <c:pt idx="0">
                  <c:v>3.6760127630672333E-3</c:v>
                </c:pt>
                <c:pt idx="1">
                  <c:v>3.3822342986307517E-3</c:v>
                </c:pt>
                <c:pt idx="2">
                  <c:v>3.0884558341942696E-3</c:v>
                </c:pt>
                <c:pt idx="3">
                  <c:v>2.7946773697577879E-3</c:v>
                </c:pt>
                <c:pt idx="4">
                  <c:v>2.5008989053213063E-3</c:v>
                </c:pt>
                <c:pt idx="5">
                  <c:v>2.2071204408848251E-3</c:v>
                </c:pt>
                <c:pt idx="6">
                  <c:v>1.9133419764483437E-3</c:v>
                </c:pt>
                <c:pt idx="7">
                  <c:v>1.619563512011862E-3</c:v>
                </c:pt>
                <c:pt idx="8">
                  <c:v>1.3257850475753804E-3</c:v>
                </c:pt>
                <c:pt idx="9">
                  <c:v>1.032006583138899E-3</c:v>
                </c:pt>
                <c:pt idx="10">
                  <c:v>7.3822811870241731E-4</c:v>
                </c:pt>
                <c:pt idx="11">
                  <c:v>4.4444965426593578E-4</c:v>
                </c:pt>
                <c:pt idx="12">
                  <c:v>1.5067118982945419E-4</c:v>
                </c:pt>
                <c:pt idx="13">
                  <c:v>-1.4310727460702748E-4</c:v>
                </c:pt>
                <c:pt idx="14">
                  <c:v>-4.3688573904350904E-4</c:v>
                </c:pt>
                <c:pt idx="15">
                  <c:v>-7.3066420347999068E-4</c:v>
                </c:pt>
                <c:pt idx="16">
                  <c:v>-1.0244426679164723E-3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1-4520-AA9D-FF3091BA5345}"/>
            </c:ext>
          </c:extLst>
        </c:ser>
        <c:ser>
          <c:idx val="1"/>
          <c:order val="1"/>
          <c:tx>
            <c:v>Capital Allocation Line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stock optimal portfolio'!$T$3:$T$5</c:f>
              <c:numCache>
                <c:formatCode>0.000000</c:formatCode>
                <c:ptCount val="3"/>
                <c:pt idx="0">
                  <c:v>0</c:v>
                </c:pt>
                <c:pt idx="1">
                  <c:v>2.3513082313239834E-2</c:v>
                </c:pt>
                <c:pt idx="2">
                  <c:v>4.7026164626479669E-2</c:v>
                </c:pt>
              </c:numCache>
            </c:numRef>
          </c:xVal>
          <c:yVal>
            <c:numRef>
              <c:f>'2 stock optimal portfolio'!$S$3:$S$5</c:f>
              <c:numCache>
                <c:formatCode>General</c:formatCode>
                <c:ptCount val="3"/>
                <c:pt idx="0">
                  <c:v>5.6040816326530609E-4</c:v>
                </c:pt>
                <c:pt idx="1">
                  <c:v>3.3822342986307517E-3</c:v>
                </c:pt>
                <c:pt idx="2">
                  <c:v>6.2040604339961974E-3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11-4520-AA9D-FF3091BA5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416784"/>
        <c:axId val="1935403472"/>
      </c:scatterChart>
      <c:valAx>
        <c:axId val="19354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35403472"/>
        <c:crosses val="autoZero"/>
        <c:crossBetween val="midCat"/>
      </c:valAx>
      <c:valAx>
        <c:axId val="193540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3541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26</xdr:col>
      <xdr:colOff>342900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F455D9-589F-4B1A-ABDF-FB005F9BB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285750</xdr:colOff>
      <xdr:row>6</xdr:row>
      <xdr:rowOff>100012</xdr:rowOff>
    </xdr:from>
    <xdr:to>
      <xdr:col>24</xdr:col>
      <xdr:colOff>523875</xdr:colOff>
      <xdr:row>20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4123F7-6C9F-44CC-916E-329610104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166320</xdr:colOff>
      <xdr:row>7</xdr:row>
      <xdr:rowOff>92535</xdr:rowOff>
    </xdr:from>
    <xdr:to>
      <xdr:col>12</xdr:col>
      <xdr:colOff>168480</xdr:colOff>
      <xdr:row>7</xdr:row>
      <xdr:rowOff>96135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B2D1679-C343-4133-B093-9A57D92967FB}"/>
                </a:ext>
              </a:extLst>
            </xdr14:cNvPr>
            <xdr14:cNvContentPartPr/>
          </xdr14:nvContentPartPr>
          <xdr14:nvPr macro=""/>
          <xdr14:xfrm>
            <a:off x="7710120" y="1359360"/>
            <a:ext cx="2160" cy="36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9A7A2CC-7D94-FF80-2FC4-CCFC5890F3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692120" y="1341720"/>
              <a:ext cx="37800" cy="39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24T14:43:55.99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10 4594,'5'0'3874,"-5"-3"-3042,0 0-207,0 0-49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F96D-9EC6-47A1-9C8C-0555A1A79C5C}">
  <dimension ref="A1:N5023"/>
  <sheetViews>
    <sheetView topLeftCell="A76" workbookViewId="0">
      <selection activeCell="R1" sqref="R1"/>
    </sheetView>
  </sheetViews>
  <sheetFormatPr defaultRowHeight="14.4" x14ac:dyDescent="0.3"/>
  <cols>
    <col min="1" max="1" width="8.44140625" bestFit="1" customWidth="1"/>
    <col min="2" max="2" width="11" bestFit="1" customWidth="1"/>
    <col min="3" max="3" width="7.5546875" bestFit="1" customWidth="1"/>
    <col min="4" max="4" width="7.88671875" bestFit="1" customWidth="1"/>
    <col min="10" max="10" width="20.6640625" bestFit="1" customWidth="1"/>
    <col min="11" max="11" width="20.21875" bestFit="1" customWidth="1"/>
  </cols>
  <sheetData>
    <row r="1" spans="1:14" x14ac:dyDescent="0.3">
      <c r="A1" s="4" t="s">
        <v>1</v>
      </c>
      <c r="B1" s="4" t="s">
        <v>8</v>
      </c>
      <c r="C1" s="4" t="s">
        <v>25</v>
      </c>
      <c r="D1" s="4" t="s">
        <v>26</v>
      </c>
      <c r="F1" s="14" t="s">
        <v>33</v>
      </c>
      <c r="G1" s="15"/>
      <c r="H1" s="15"/>
      <c r="J1" s="16" t="s">
        <v>51</v>
      </c>
      <c r="K1" s="15"/>
      <c r="L1" s="15"/>
      <c r="M1" s="15"/>
    </row>
    <row r="2" spans="1:14" x14ac:dyDescent="0.3">
      <c r="A2" s="6">
        <v>40178</v>
      </c>
      <c r="B2" s="5">
        <v>2300</v>
      </c>
      <c r="C2" s="5">
        <v>137.93</v>
      </c>
      <c r="D2" s="5">
        <v>121.22</v>
      </c>
      <c r="F2" s="4" t="s">
        <v>8</v>
      </c>
      <c r="G2" s="4" t="s">
        <v>25</v>
      </c>
      <c r="H2" s="4" t="s">
        <v>26</v>
      </c>
      <c r="K2" s="4" t="s">
        <v>8</v>
      </c>
      <c r="L2" s="4" t="s">
        <v>25</v>
      </c>
      <c r="M2" s="4" t="s">
        <v>26</v>
      </c>
    </row>
    <row r="3" spans="1:14" x14ac:dyDescent="0.3">
      <c r="A3" s="6">
        <v>40182</v>
      </c>
      <c r="B3" s="5">
        <v>2325</v>
      </c>
      <c r="C3" s="5">
        <v>138.79</v>
      </c>
      <c r="D3" s="5">
        <v>118.08</v>
      </c>
      <c r="F3">
        <f>LN(B3/B2)</f>
        <v>1.0810916104215676E-2</v>
      </c>
      <c r="G3">
        <f t="shared" ref="G3:H3" si="0">LN(C3/C2)</f>
        <v>6.2156892803199E-3</v>
      </c>
      <c r="H3">
        <f t="shared" si="0"/>
        <v>-2.624471567097663E-2</v>
      </c>
      <c r="J3" s="1" t="s">
        <v>52</v>
      </c>
      <c r="K3" s="10">
        <f>(EXP(AVERAGE(F3:F247)*245))-1</f>
        <v>0.89572604347825924</v>
      </c>
      <c r="L3" s="10">
        <f t="shared" ref="L3:M3" si="1">(EXP(AVERAGE(G3:G247)*245))-1</f>
        <v>-9.6063220474153055E-2</v>
      </c>
      <c r="M3" s="10">
        <f t="shared" si="1"/>
        <v>-9.470384425012246E-2</v>
      </c>
    </row>
    <row r="4" spans="1:14" x14ac:dyDescent="0.3">
      <c r="A4" s="6">
        <v>40183</v>
      </c>
      <c r="B4" s="5">
        <v>2360</v>
      </c>
      <c r="C4" s="5">
        <v>138.9</v>
      </c>
      <c r="D4" s="5">
        <v>118</v>
      </c>
      <c r="F4">
        <f t="shared" ref="F4:F67" si="2">LN(B4/B3)</f>
        <v>1.4941579998199141E-2</v>
      </c>
      <c r="G4">
        <f t="shared" ref="G4:G67" si="3">LN(C4/C3)</f>
        <v>7.9225039254971212E-4</v>
      </c>
      <c r="H4">
        <f t="shared" ref="H4:H67" si="4">LN(D4/D3)</f>
        <v>-6.7773638649758162E-4</v>
      </c>
      <c r="J4" s="1" t="s">
        <v>53</v>
      </c>
      <c r="K4" s="13">
        <f>_xlfn.STDEV.S(F3:F247)*SQRT(245)</f>
        <v>0.29739678295557631</v>
      </c>
      <c r="L4" s="13">
        <f t="shared" ref="L4:M4" si="5">_xlfn.STDEV.S(G3:G247)*SQRT(245)</f>
        <v>0.36370994575619298</v>
      </c>
      <c r="M4" s="13">
        <f t="shared" si="5"/>
        <v>0.26722616510390862</v>
      </c>
    </row>
    <row r="5" spans="1:14" x14ac:dyDescent="0.3">
      <c r="A5" s="6">
        <v>40184</v>
      </c>
      <c r="B5" s="5">
        <v>2352.3101000000001</v>
      </c>
      <c r="C5" s="5">
        <v>140.54</v>
      </c>
      <c r="D5" s="5">
        <v>112.6</v>
      </c>
      <c r="F5">
        <f t="shared" si="2"/>
        <v>-3.2637524538623895E-3</v>
      </c>
      <c r="G5">
        <f t="shared" si="3"/>
        <v>1.173789600375357E-2</v>
      </c>
      <c r="H5">
        <f t="shared" si="4"/>
        <v>-4.6842908760074811E-2</v>
      </c>
      <c r="J5" s="1" t="s">
        <v>53</v>
      </c>
      <c r="K5" s="10">
        <f>SQRT(_xlfn.VAR.S(F3:F247)*245)</f>
        <v>0.29739678295557631</v>
      </c>
      <c r="L5" s="10">
        <f t="shared" ref="L5:M5" si="6">SQRT(_xlfn.VAR.S(G3:G247)*245)</f>
        <v>0.36370994575619292</v>
      </c>
      <c r="M5" s="10">
        <f t="shared" si="6"/>
        <v>0.26722616510390862</v>
      </c>
    </row>
    <row r="6" spans="1:14" x14ac:dyDescent="0.3">
      <c r="A6" s="6">
        <v>40185</v>
      </c>
      <c r="B6" s="5">
        <v>2401.6698999999999</v>
      </c>
      <c r="C6" s="5">
        <v>138.94</v>
      </c>
      <c r="D6" s="5">
        <v>109.54</v>
      </c>
      <c r="F6">
        <f t="shared" si="2"/>
        <v>2.0766420486113549E-2</v>
      </c>
      <c r="G6">
        <f t="shared" si="3"/>
        <v>-1.1449960499316767E-2</v>
      </c>
      <c r="H6">
        <f t="shared" si="4"/>
        <v>-2.7551936350014617E-2</v>
      </c>
      <c r="J6" s="1" t="s">
        <v>54</v>
      </c>
      <c r="K6" s="12">
        <v>1.000000029121167</v>
      </c>
      <c r="L6" s="12">
        <v>0</v>
      </c>
      <c r="M6" s="12">
        <v>0</v>
      </c>
      <c r="N6" s="12">
        <f>SUM(K6:M6)</f>
        <v>1.000000029121167</v>
      </c>
    </row>
    <row r="7" spans="1:14" x14ac:dyDescent="0.3">
      <c r="A7" s="6">
        <v>40186</v>
      </c>
      <c r="B7" s="5">
        <v>2428.5500000000002</v>
      </c>
      <c r="C7" s="5">
        <v>138.58000000000001</v>
      </c>
      <c r="D7" s="5">
        <v>109.11</v>
      </c>
      <c r="F7">
        <f t="shared" si="2"/>
        <v>1.1130084362793518E-2</v>
      </c>
      <c r="G7">
        <f t="shared" si="3"/>
        <v>-2.5944090654994797E-3</v>
      </c>
      <c r="H7">
        <f t="shared" si="4"/>
        <v>-3.9332316885679662E-3</v>
      </c>
      <c r="J7" s="1" t="s">
        <v>55</v>
      </c>
      <c r="K7">
        <f ca="1">RAND()</f>
        <v>0.1982578001960299</v>
      </c>
      <c r="L7">
        <f ca="1">RAND()</f>
        <v>0.68154145046243431</v>
      </c>
      <c r="M7">
        <f t="shared" ref="M7" ca="1" si="7">RAND()</f>
        <v>0.10021714804590598</v>
      </c>
      <c r="N7">
        <f ca="1">SUM(K7:M7)</f>
        <v>0.98001639870437018</v>
      </c>
    </row>
    <row r="8" spans="1:14" x14ac:dyDescent="0.3">
      <c r="A8" s="6">
        <v>40189</v>
      </c>
      <c r="B8" s="5">
        <v>2439.9899999999998</v>
      </c>
      <c r="C8" s="5">
        <v>143.15</v>
      </c>
      <c r="D8" s="5">
        <v>107.33</v>
      </c>
      <c r="F8">
        <f t="shared" si="2"/>
        <v>4.6995695034929364E-3</v>
      </c>
      <c r="G8">
        <f t="shared" si="3"/>
        <v>3.2445255344888707E-2</v>
      </c>
      <c r="H8">
        <f t="shared" si="4"/>
        <v>-1.6448347173574282E-2</v>
      </c>
    </row>
    <row r="9" spans="1:14" x14ac:dyDescent="0.3">
      <c r="A9" s="6">
        <v>40190</v>
      </c>
      <c r="B9" s="5">
        <v>2435</v>
      </c>
      <c r="C9" s="5">
        <v>140.38</v>
      </c>
      <c r="D9" s="5">
        <v>107.02</v>
      </c>
      <c r="F9">
        <f t="shared" si="2"/>
        <v>-2.0471844015032014E-3</v>
      </c>
      <c r="G9">
        <f t="shared" si="3"/>
        <v>-1.9540000241848692E-2</v>
      </c>
      <c r="H9">
        <f t="shared" si="4"/>
        <v>-2.8924676102745212E-3</v>
      </c>
      <c r="J9" s="16" t="s">
        <v>56</v>
      </c>
      <c r="K9" s="15"/>
    </row>
    <row r="10" spans="1:14" x14ac:dyDescent="0.3">
      <c r="A10" s="6">
        <v>40191</v>
      </c>
      <c r="B10" s="5">
        <v>2442</v>
      </c>
      <c r="C10" s="5">
        <v>139.12</v>
      </c>
      <c r="D10" s="5">
        <v>106.5</v>
      </c>
      <c r="F10">
        <f t="shared" si="2"/>
        <v>2.8706191539597447E-3</v>
      </c>
      <c r="G10">
        <f t="shared" si="3"/>
        <v>-9.0161612562477868E-3</v>
      </c>
      <c r="H10">
        <f t="shared" si="4"/>
        <v>-4.8707477336786716E-3</v>
      </c>
    </row>
    <row r="11" spans="1:14" x14ac:dyDescent="0.3">
      <c r="A11" s="6">
        <v>40192</v>
      </c>
      <c r="B11" s="5">
        <v>2500</v>
      </c>
      <c r="C11" s="5">
        <v>138.29</v>
      </c>
      <c r="D11" s="5">
        <v>108.92</v>
      </c>
      <c r="F11">
        <f t="shared" si="2"/>
        <v>2.3473356185642048E-2</v>
      </c>
      <c r="G11">
        <f t="shared" si="3"/>
        <v>-5.9839405694606818E-3</v>
      </c>
      <c r="H11">
        <f t="shared" si="4"/>
        <v>2.2468682656079045E-2</v>
      </c>
      <c r="J11" s="1" t="s">
        <v>57</v>
      </c>
      <c r="K11" s="10">
        <f>SUMPRODUCT(K6:M6,K3:M3)</f>
        <v>0.89572606956284695</v>
      </c>
    </row>
    <row r="12" spans="1:14" x14ac:dyDescent="0.3">
      <c r="A12" s="6">
        <v>40193</v>
      </c>
      <c r="B12" s="5">
        <v>2549.5601000000001</v>
      </c>
      <c r="C12" s="5">
        <v>137.78</v>
      </c>
      <c r="D12" s="5">
        <v>108.53</v>
      </c>
      <c r="F12">
        <f t="shared" si="2"/>
        <v>1.9630102610730463E-2</v>
      </c>
      <c r="G12">
        <f t="shared" si="3"/>
        <v>-3.6947193115171415E-3</v>
      </c>
      <c r="H12">
        <f t="shared" si="4"/>
        <v>-3.5870353476353217E-3</v>
      </c>
      <c r="J12" s="1" t="s">
        <v>50</v>
      </c>
      <c r="K12" s="10" cm="1">
        <f t="array" ref="K12">SQRT(MMULT(MMULT(K6:M6,K18:M20),TRANSPOSE(K6:M6)*245))</f>
        <v>0.2967892388025809</v>
      </c>
    </row>
    <row r="13" spans="1:14" x14ac:dyDescent="0.3">
      <c r="A13" s="6">
        <v>40196</v>
      </c>
      <c r="B13" s="5">
        <v>2500.1698999999999</v>
      </c>
      <c r="C13" s="5">
        <v>137.57</v>
      </c>
      <c r="D13" s="5">
        <v>107.3</v>
      </c>
      <c r="F13">
        <f t="shared" si="2"/>
        <v>-1.9562144919906706E-2</v>
      </c>
      <c r="G13">
        <f t="shared" si="3"/>
        <v>-1.5253316921456064E-3</v>
      </c>
      <c r="H13">
        <f t="shared" si="4"/>
        <v>-1.1397982821270797E-2</v>
      </c>
      <c r="J13" s="1" t="s">
        <v>58</v>
      </c>
      <c r="K13" s="10">
        <v>0.13730000000000001</v>
      </c>
    </row>
    <row r="14" spans="1:14" x14ac:dyDescent="0.3">
      <c r="A14" s="6">
        <v>40197</v>
      </c>
      <c r="B14" s="5">
        <v>2510.0100000000002</v>
      </c>
      <c r="C14" s="5">
        <v>137.53</v>
      </c>
      <c r="D14" s="5">
        <v>107.8</v>
      </c>
      <c r="F14">
        <f t="shared" si="2"/>
        <v>3.9280476345224889E-3</v>
      </c>
      <c r="G14">
        <f t="shared" si="3"/>
        <v>-2.9080334628772242E-4</v>
      </c>
      <c r="H14">
        <f t="shared" si="4"/>
        <v>4.6490088382440137E-3</v>
      </c>
      <c r="J14" s="1" t="s">
        <v>46</v>
      </c>
      <c r="K14" s="23">
        <f>(K11-K13)/K12</f>
        <v>2.5554365536391264</v>
      </c>
    </row>
    <row r="15" spans="1:14" x14ac:dyDescent="0.3">
      <c r="A15" s="6">
        <v>40198</v>
      </c>
      <c r="B15" s="5">
        <v>2609.8301000000001</v>
      </c>
      <c r="C15" s="5">
        <v>130.81</v>
      </c>
      <c r="D15" s="5">
        <v>106.09</v>
      </c>
      <c r="F15">
        <f t="shared" si="2"/>
        <v>3.8998386230837519E-2</v>
      </c>
      <c r="G15">
        <f t="shared" si="3"/>
        <v>-5.0096186426480761E-2</v>
      </c>
      <c r="H15">
        <f t="shared" si="4"/>
        <v>-1.5989868003716542E-2</v>
      </c>
    </row>
    <row r="16" spans="1:14" ht="15" thickBot="1" x14ac:dyDescent="0.35">
      <c r="A16" s="6">
        <v>40199</v>
      </c>
      <c r="B16" s="5">
        <v>2600.0100000000002</v>
      </c>
      <c r="C16" s="5">
        <v>124.32</v>
      </c>
      <c r="D16" s="5">
        <v>110.12</v>
      </c>
      <c r="F16">
        <f t="shared" si="2"/>
        <v>-3.7698322564527036E-3</v>
      </c>
      <c r="G16">
        <f t="shared" si="3"/>
        <v>-5.0887002080798466E-2</v>
      </c>
      <c r="H16">
        <f t="shared" si="4"/>
        <v>3.7282889803226409E-2</v>
      </c>
      <c r="J16" s="16" t="s">
        <v>59</v>
      </c>
      <c r="K16" s="15"/>
      <c r="L16" s="15"/>
      <c r="M16" s="15"/>
    </row>
    <row r="17" spans="1:13" x14ac:dyDescent="0.3">
      <c r="A17" s="6">
        <v>40200</v>
      </c>
      <c r="B17" s="5">
        <v>2650</v>
      </c>
      <c r="C17" s="5">
        <v>125.65</v>
      </c>
      <c r="D17" s="5">
        <v>108</v>
      </c>
      <c r="F17">
        <f t="shared" si="2"/>
        <v>1.9044348824244568E-2</v>
      </c>
      <c r="G17">
        <f t="shared" si="3"/>
        <v>1.0641377370264068E-2</v>
      </c>
      <c r="H17">
        <f t="shared" si="4"/>
        <v>-1.9439453150186907E-2</v>
      </c>
      <c r="J17" s="18"/>
      <c r="K17" s="21" t="s">
        <v>8</v>
      </c>
      <c r="L17" s="21" t="s">
        <v>25</v>
      </c>
      <c r="M17" s="21" t="s">
        <v>26</v>
      </c>
    </row>
    <row r="18" spans="1:13" x14ac:dyDescent="0.3">
      <c r="A18" s="6">
        <v>40203</v>
      </c>
      <c r="B18" s="5">
        <v>2625</v>
      </c>
      <c r="C18" s="5">
        <v>125.18</v>
      </c>
      <c r="D18" s="5">
        <v>108.38</v>
      </c>
      <c r="F18">
        <f t="shared" si="2"/>
        <v>-9.47874395454377E-3</v>
      </c>
      <c r="G18">
        <f t="shared" si="3"/>
        <v>-3.7475624930457915E-3</v>
      </c>
      <c r="H18">
        <f t="shared" si="4"/>
        <v>3.5123430137484141E-3</v>
      </c>
      <c r="J18" s="19" t="s">
        <v>8</v>
      </c>
      <c r="K18" s="19">
        <f>VARP('3 stock optimal portfolio'!$F$3:$F$247)</f>
        <v>3.5952590668900602E-4</v>
      </c>
      <c r="L18" s="17">
        <v>-8.9420443076253094E-6</v>
      </c>
      <c r="M18" s="17">
        <v>2.1443404152156611E-6</v>
      </c>
    </row>
    <row r="19" spans="1:13" x14ac:dyDescent="0.3">
      <c r="A19" s="6">
        <v>40204</v>
      </c>
      <c r="B19" s="5">
        <v>2650</v>
      </c>
      <c r="C19" s="5">
        <v>124.07</v>
      </c>
      <c r="D19" s="5">
        <v>107.76</v>
      </c>
      <c r="F19">
        <f t="shared" si="2"/>
        <v>9.4787439545437387E-3</v>
      </c>
      <c r="G19">
        <f t="shared" si="3"/>
        <v>-8.9067790417753159E-3</v>
      </c>
      <c r="H19">
        <f t="shared" si="4"/>
        <v>-5.7370380358595244E-3</v>
      </c>
      <c r="J19" s="19" t="s">
        <v>25</v>
      </c>
      <c r="K19" s="19">
        <v>-8.9420443076253094E-6</v>
      </c>
      <c r="L19" s="19">
        <f>VARP('3 stock optimal portfolio'!$G$3:$G$247)</f>
        <v>5.3773463744508727E-4</v>
      </c>
      <c r="M19" s="17">
        <v>1.3067502396225451E-4</v>
      </c>
    </row>
    <row r="20" spans="1:13" ht="15" thickBot="1" x14ac:dyDescent="0.35">
      <c r="A20" s="6">
        <v>40205</v>
      </c>
      <c r="B20" s="5">
        <v>2736.6698999999999</v>
      </c>
      <c r="C20" s="5">
        <v>117.87</v>
      </c>
      <c r="D20" s="5">
        <v>105.09</v>
      </c>
      <c r="F20">
        <f t="shared" si="2"/>
        <v>3.2182176283391074E-2</v>
      </c>
      <c r="G20">
        <f t="shared" si="3"/>
        <v>-5.1263600216301969E-2</v>
      </c>
      <c r="H20">
        <f t="shared" si="4"/>
        <v>-2.508940622460341E-2</v>
      </c>
      <c r="J20" s="20" t="s">
        <v>26</v>
      </c>
      <c r="K20" s="20">
        <v>2.1443404152156611E-6</v>
      </c>
      <c r="L20" s="20">
        <v>1.3067502396225451E-4</v>
      </c>
      <c r="M20" s="20">
        <f>VARP('3 stock optimal portfolio'!$H$3:$H$247)</f>
        <v>2.9027899856957109E-4</v>
      </c>
    </row>
    <row r="21" spans="1:13" x14ac:dyDescent="0.3">
      <c r="A21" s="6">
        <v>40206</v>
      </c>
      <c r="B21" s="5">
        <v>2845.6298999999999</v>
      </c>
      <c r="C21" s="5">
        <v>116.95</v>
      </c>
      <c r="D21" s="5">
        <v>100.17</v>
      </c>
      <c r="F21">
        <f t="shared" si="2"/>
        <v>3.9042632765482109E-2</v>
      </c>
      <c r="G21">
        <f t="shared" si="3"/>
        <v>-7.8358292082900283E-3</v>
      </c>
      <c r="H21">
        <f t="shared" si="4"/>
        <v>-4.794838325383232E-2</v>
      </c>
    </row>
    <row r="22" spans="1:13" x14ac:dyDescent="0.3">
      <c r="A22" s="6">
        <v>40210</v>
      </c>
      <c r="B22" s="5">
        <v>2755.01</v>
      </c>
      <c r="C22" s="5">
        <v>117.06</v>
      </c>
      <c r="D22" s="5">
        <v>98.21</v>
      </c>
      <c r="F22">
        <f t="shared" si="2"/>
        <v>-3.2363376684648192E-2</v>
      </c>
      <c r="G22">
        <f t="shared" si="3"/>
        <v>9.4013083288691185E-4</v>
      </c>
      <c r="H22">
        <f t="shared" si="4"/>
        <v>-1.9760699453990015E-2</v>
      </c>
      <c r="K22" s="1" t="s">
        <v>60</v>
      </c>
      <c r="L22" s="1" t="s">
        <v>49</v>
      </c>
    </row>
    <row r="23" spans="1:13" x14ac:dyDescent="0.3">
      <c r="A23" s="6">
        <v>40211</v>
      </c>
      <c r="B23" s="5">
        <v>2878.22</v>
      </c>
      <c r="C23" s="5">
        <v>113.89</v>
      </c>
      <c r="D23" s="5">
        <v>98.45</v>
      </c>
      <c r="F23">
        <f t="shared" si="2"/>
        <v>4.3750975154874444E-2</v>
      </c>
      <c r="G23">
        <f t="shared" si="3"/>
        <v>-2.7453553576815164E-2</v>
      </c>
      <c r="H23">
        <f t="shared" si="4"/>
        <v>2.4407619154517691E-3</v>
      </c>
      <c r="J23" s="19" t="s">
        <v>61</v>
      </c>
      <c r="K23" s="13">
        <v>0.21618771598878003</v>
      </c>
      <c r="L23" s="13">
        <v>0.28505178310014884</v>
      </c>
    </row>
    <row r="24" spans="1:13" x14ac:dyDescent="0.3">
      <c r="A24" s="6">
        <v>40212</v>
      </c>
      <c r="B24" s="5">
        <v>3016.8998999999999</v>
      </c>
      <c r="C24" s="5">
        <v>114.34</v>
      </c>
      <c r="D24" s="5">
        <v>97.92</v>
      </c>
      <c r="F24">
        <f t="shared" si="2"/>
        <v>4.7057733454977838E-2</v>
      </c>
      <c r="G24">
        <f t="shared" si="3"/>
        <v>3.9433955495655334E-3</v>
      </c>
      <c r="H24">
        <f t="shared" si="4"/>
        <v>-5.3979863211185541E-3</v>
      </c>
      <c r="J24">
        <v>1</v>
      </c>
      <c r="K24" s="10">
        <v>0.26063739685616577</v>
      </c>
      <c r="L24" s="10">
        <v>8.6376047296763014E-2</v>
      </c>
    </row>
    <row r="25" spans="1:13" x14ac:dyDescent="0.3">
      <c r="A25" s="6">
        <v>40213</v>
      </c>
      <c r="B25" s="5">
        <v>3044.3899000000001</v>
      </c>
      <c r="C25" s="5">
        <v>115.77</v>
      </c>
      <c r="D25" s="5">
        <v>97.67</v>
      </c>
      <c r="F25">
        <f t="shared" si="2"/>
        <v>9.0707388667086268E-3</v>
      </c>
      <c r="G25">
        <f t="shared" si="3"/>
        <v>1.242899838181174E-2</v>
      </c>
      <c r="H25">
        <f t="shared" si="4"/>
        <v>-2.5563693046303342E-3</v>
      </c>
      <c r="J25">
        <v>2</v>
      </c>
      <c r="K25" s="10">
        <v>0.19589306867647482</v>
      </c>
      <c r="L25" s="10">
        <v>0.40428036269009415</v>
      </c>
    </row>
    <row r="26" spans="1:13" x14ac:dyDescent="0.3">
      <c r="A26" s="6">
        <v>40217</v>
      </c>
      <c r="B26" s="5">
        <v>2996.7</v>
      </c>
      <c r="C26" s="5">
        <v>114.54</v>
      </c>
      <c r="D26" s="5">
        <v>99.66</v>
      </c>
      <c r="F26">
        <f t="shared" si="2"/>
        <v>-1.5788836614839926E-2</v>
      </c>
      <c r="G26">
        <f t="shared" si="3"/>
        <v>-1.0681357251925691E-2</v>
      </c>
      <c r="H26">
        <f t="shared" si="4"/>
        <v>2.0169943393872854E-2</v>
      </c>
      <c r="J26">
        <v>3</v>
      </c>
      <c r="K26" s="10">
        <v>0.20847819902128809</v>
      </c>
      <c r="L26" s="10">
        <v>0.41834458180628092</v>
      </c>
    </row>
    <row r="27" spans="1:13" x14ac:dyDescent="0.3">
      <c r="A27" s="6">
        <v>40218</v>
      </c>
      <c r="B27" s="5">
        <v>2942.6698999999999</v>
      </c>
      <c r="C27" s="5">
        <v>115.28</v>
      </c>
      <c r="D27" s="5">
        <v>97.58</v>
      </c>
      <c r="F27">
        <f t="shared" si="2"/>
        <v>-1.8194384721680237E-2</v>
      </c>
      <c r="G27">
        <f t="shared" si="3"/>
        <v>6.4398447255553659E-3</v>
      </c>
      <c r="H27">
        <f t="shared" si="4"/>
        <v>-2.109183846556734E-2</v>
      </c>
      <c r="J27">
        <v>4</v>
      </c>
      <c r="K27" s="10">
        <v>0.2738257556049925</v>
      </c>
      <c r="L27" s="10">
        <v>-7.226880120861523E-2</v>
      </c>
    </row>
    <row r="28" spans="1:13" x14ac:dyDescent="0.3">
      <c r="A28" s="6">
        <v>40219</v>
      </c>
      <c r="B28" s="5">
        <v>2900</v>
      </c>
      <c r="C28" s="5">
        <v>114.04</v>
      </c>
      <c r="D28" s="5">
        <v>98.09</v>
      </c>
      <c r="F28">
        <f t="shared" si="2"/>
        <v>-1.4606561509968034E-2</v>
      </c>
      <c r="G28">
        <f t="shared" si="3"/>
        <v>-1.0814687646795357E-2</v>
      </c>
      <c r="H28">
        <f t="shared" si="4"/>
        <v>5.2128701885332104E-3</v>
      </c>
      <c r="J28">
        <v>5</v>
      </c>
      <c r="K28" s="10">
        <v>0.19362981968706083</v>
      </c>
      <c r="L28" s="10">
        <v>0.40155895759082105</v>
      </c>
    </row>
    <row r="29" spans="1:13" x14ac:dyDescent="0.3">
      <c r="A29" s="6">
        <v>40220</v>
      </c>
      <c r="B29" s="5">
        <v>2918.46</v>
      </c>
      <c r="C29" s="5">
        <v>116.4</v>
      </c>
      <c r="D29" s="5">
        <v>98</v>
      </c>
      <c r="F29">
        <f t="shared" si="2"/>
        <v>6.3453429046354277E-3</v>
      </c>
      <c r="G29">
        <f t="shared" si="3"/>
        <v>2.0483271252866163E-2</v>
      </c>
      <c r="H29">
        <f t="shared" si="4"/>
        <v>-9.1794590565242478E-4</v>
      </c>
      <c r="J29">
        <v>6</v>
      </c>
      <c r="K29" s="10">
        <v>0.18903204735750093</v>
      </c>
      <c r="L29" s="10">
        <v>0.30144804119541319</v>
      </c>
    </row>
    <row r="30" spans="1:13" x14ac:dyDescent="0.3">
      <c r="A30" s="6">
        <v>40221</v>
      </c>
      <c r="B30" s="5">
        <v>2999.97</v>
      </c>
      <c r="C30" s="5">
        <v>114.65</v>
      </c>
      <c r="D30" s="5">
        <v>98.53</v>
      </c>
      <c r="F30">
        <f t="shared" si="2"/>
        <v>2.7546208721045542E-2</v>
      </c>
      <c r="G30">
        <f t="shared" si="3"/>
        <v>-1.5148525993423947E-2</v>
      </c>
      <c r="H30">
        <f t="shared" si="4"/>
        <v>5.3935916638113901E-3</v>
      </c>
      <c r="J30">
        <v>7</v>
      </c>
      <c r="K30" s="10">
        <v>0.23120889493955205</v>
      </c>
      <c r="L30" s="10">
        <v>-1.1581167626871863E-2</v>
      </c>
    </row>
    <row r="31" spans="1:13" x14ac:dyDescent="0.3">
      <c r="A31" s="6">
        <v>40224</v>
      </c>
      <c r="B31" s="5">
        <v>2914</v>
      </c>
      <c r="C31" s="5">
        <v>110.87</v>
      </c>
      <c r="D31" s="5">
        <v>97.44</v>
      </c>
      <c r="F31">
        <f t="shared" si="2"/>
        <v>-2.9075580845096229E-2</v>
      </c>
      <c r="G31">
        <f t="shared" si="3"/>
        <v>-3.3525665519653171E-2</v>
      </c>
      <c r="H31">
        <f t="shared" si="4"/>
        <v>-1.1124266372796279E-2</v>
      </c>
      <c r="J31">
        <v>8</v>
      </c>
      <c r="K31" s="10">
        <v>0.19033314897747372</v>
      </c>
      <c r="L31" s="10">
        <v>0.26971219979326105</v>
      </c>
    </row>
    <row r="32" spans="1:13" x14ac:dyDescent="0.3">
      <c r="A32" s="6">
        <v>40225</v>
      </c>
      <c r="B32" s="5">
        <v>2884.3301000000001</v>
      </c>
      <c r="C32" s="5">
        <v>111.13</v>
      </c>
      <c r="D32" s="5">
        <v>97.05</v>
      </c>
      <c r="F32">
        <f t="shared" si="2"/>
        <v>-1.023403581564695E-2</v>
      </c>
      <c r="G32">
        <f t="shared" si="3"/>
        <v>2.342343413294738E-3</v>
      </c>
      <c r="H32">
        <f t="shared" si="4"/>
        <v>-4.0104943465676052E-3</v>
      </c>
      <c r="J32">
        <v>9</v>
      </c>
      <c r="K32" s="10">
        <v>0.21569597646178912</v>
      </c>
      <c r="L32" s="10">
        <v>0.52041423039424262</v>
      </c>
    </row>
    <row r="33" spans="1:12" x14ac:dyDescent="0.3">
      <c r="A33" s="6">
        <v>40226</v>
      </c>
      <c r="B33" s="5">
        <v>2851.4299000000001</v>
      </c>
      <c r="C33" s="5">
        <v>112.41</v>
      </c>
      <c r="D33" s="5">
        <v>96.82</v>
      </c>
      <c r="F33">
        <f t="shared" si="2"/>
        <v>-1.1472084197606352E-2</v>
      </c>
      <c r="G33">
        <f t="shared" si="3"/>
        <v>1.1452214276150468E-2</v>
      </c>
      <c r="H33">
        <f t="shared" si="4"/>
        <v>-2.3727251034709579E-3</v>
      </c>
      <c r="J33">
        <v>10</v>
      </c>
      <c r="K33" s="10">
        <v>0.20058472507270259</v>
      </c>
      <c r="L33" s="10">
        <v>0.38267999321439683</v>
      </c>
    </row>
    <row r="34" spans="1:12" x14ac:dyDescent="0.3">
      <c r="A34" s="6">
        <v>40227</v>
      </c>
      <c r="B34" s="5">
        <v>2855.2</v>
      </c>
      <c r="C34" s="5">
        <v>112.19</v>
      </c>
      <c r="D34" s="5">
        <v>97.4</v>
      </c>
      <c r="F34">
        <f t="shared" si="2"/>
        <v>1.3213054340535603E-3</v>
      </c>
      <c r="G34">
        <f t="shared" si="3"/>
        <v>-1.9590389168323116E-3</v>
      </c>
      <c r="H34">
        <f t="shared" si="4"/>
        <v>5.9726261369412552E-3</v>
      </c>
      <c r="J34">
        <v>11</v>
      </c>
      <c r="K34" s="10">
        <v>0.19260547863970309</v>
      </c>
      <c r="L34" s="10">
        <v>0.21787629242340528</v>
      </c>
    </row>
    <row r="35" spans="1:12" x14ac:dyDescent="0.3">
      <c r="A35" s="6">
        <v>40228</v>
      </c>
      <c r="B35" s="5">
        <v>2894.1399000000001</v>
      </c>
      <c r="C35" s="5">
        <v>112.52</v>
      </c>
      <c r="D35" s="5">
        <v>102.27</v>
      </c>
      <c r="F35">
        <f t="shared" si="2"/>
        <v>1.3546075243062755E-2</v>
      </c>
      <c r="G35">
        <f t="shared" si="3"/>
        <v>2.9371210647826788E-3</v>
      </c>
      <c r="H35">
        <f t="shared" si="4"/>
        <v>4.8790164169431834E-2</v>
      </c>
      <c r="J35">
        <v>12</v>
      </c>
      <c r="K35" s="10">
        <v>0.21837450130905664</v>
      </c>
      <c r="L35" s="10">
        <v>0.31356746920591272</v>
      </c>
    </row>
    <row r="36" spans="1:12" x14ac:dyDescent="0.3">
      <c r="A36" s="6">
        <v>40231</v>
      </c>
      <c r="B36" s="5">
        <v>2845</v>
      </c>
      <c r="C36" s="5">
        <v>113.54</v>
      </c>
      <c r="D36" s="5">
        <v>99.83</v>
      </c>
      <c r="F36">
        <f t="shared" si="2"/>
        <v>-1.712490085858203E-2</v>
      </c>
      <c r="G36">
        <f t="shared" si="3"/>
        <v>9.0242141209241344E-3</v>
      </c>
      <c r="H36">
        <f t="shared" si="4"/>
        <v>-2.4147635469587581E-2</v>
      </c>
      <c r="J36">
        <v>13</v>
      </c>
      <c r="K36" s="10">
        <v>0.1959693232922386</v>
      </c>
      <c r="L36" s="10">
        <v>0.3990751175869322</v>
      </c>
    </row>
    <row r="37" spans="1:12" x14ac:dyDescent="0.3">
      <c r="A37" s="6">
        <v>40232</v>
      </c>
      <c r="B37" s="5">
        <v>2736.01</v>
      </c>
      <c r="C37" s="5">
        <v>114.53</v>
      </c>
      <c r="D37" s="5">
        <v>98.69</v>
      </c>
      <c r="F37">
        <f t="shared" si="2"/>
        <v>-3.906241285390924E-2</v>
      </c>
      <c r="G37">
        <f t="shared" si="3"/>
        <v>8.6815996670447579E-3</v>
      </c>
      <c r="H37">
        <f t="shared" si="4"/>
        <v>-1.148511516441803E-2</v>
      </c>
      <c r="J37">
        <v>14</v>
      </c>
      <c r="K37" s="10">
        <v>0.19015759329824994</v>
      </c>
      <c r="L37" s="10">
        <v>0.25283678580353924</v>
      </c>
    </row>
    <row r="38" spans="1:12" x14ac:dyDescent="0.3">
      <c r="A38" s="6">
        <v>40233</v>
      </c>
      <c r="B38" s="5">
        <v>2739.3701000000001</v>
      </c>
      <c r="C38" s="5">
        <v>112.8</v>
      </c>
      <c r="D38" s="5">
        <v>97.8</v>
      </c>
      <c r="F38">
        <f t="shared" si="2"/>
        <v>1.2273487357709657E-3</v>
      </c>
      <c r="G38">
        <f t="shared" si="3"/>
        <v>-1.5220458345666373E-2</v>
      </c>
      <c r="H38">
        <f t="shared" si="4"/>
        <v>-9.0590471431441343E-3</v>
      </c>
      <c r="J38">
        <v>15</v>
      </c>
      <c r="K38" s="10">
        <v>0.21576216173189944</v>
      </c>
      <c r="L38" s="10">
        <v>0.27597883579516641</v>
      </c>
    </row>
    <row r="39" spans="1:12" x14ac:dyDescent="0.3">
      <c r="A39" s="6">
        <v>40234</v>
      </c>
      <c r="B39" s="5">
        <v>2775</v>
      </c>
      <c r="C39" s="5">
        <v>112.28</v>
      </c>
      <c r="D39" s="5">
        <v>97.99</v>
      </c>
      <c r="F39">
        <f t="shared" si="2"/>
        <v>1.2922743738241937E-2</v>
      </c>
      <c r="G39">
        <f t="shared" si="3"/>
        <v>-4.6205875702767596E-3</v>
      </c>
      <c r="H39">
        <f t="shared" si="4"/>
        <v>1.9408556069554776E-3</v>
      </c>
      <c r="J39">
        <v>16</v>
      </c>
      <c r="K39" s="10">
        <v>0.19946627465262104</v>
      </c>
      <c r="L39" s="10">
        <v>0.21893136101065974</v>
      </c>
    </row>
    <row r="40" spans="1:12" x14ac:dyDescent="0.3">
      <c r="A40" s="6">
        <v>40235</v>
      </c>
      <c r="B40" s="5">
        <v>2709.21</v>
      </c>
      <c r="C40" s="5">
        <v>111.08</v>
      </c>
      <c r="D40" s="5">
        <v>98</v>
      </c>
      <c r="F40">
        <f t="shared" si="2"/>
        <v>-2.3993667720066645E-2</v>
      </c>
      <c r="G40">
        <f t="shared" si="3"/>
        <v>-1.0745089055083007E-2</v>
      </c>
      <c r="H40">
        <f t="shared" si="4"/>
        <v>1.0204602284490239E-4</v>
      </c>
      <c r="J40">
        <v>17</v>
      </c>
      <c r="K40" s="10">
        <v>0.19262642664439522</v>
      </c>
      <c r="L40" s="10">
        <v>0.40283506551790887</v>
      </c>
    </row>
    <row r="41" spans="1:12" x14ac:dyDescent="0.3">
      <c r="A41" s="6">
        <v>40238</v>
      </c>
      <c r="B41" s="5">
        <v>2736.3</v>
      </c>
      <c r="C41" s="5">
        <v>106.07</v>
      </c>
      <c r="D41" s="5">
        <v>97.77</v>
      </c>
      <c r="F41">
        <f t="shared" si="2"/>
        <v>9.9495633937542374E-3</v>
      </c>
      <c r="G41">
        <f t="shared" si="3"/>
        <v>-4.6151408921219939E-2</v>
      </c>
      <c r="H41">
        <f t="shared" si="4"/>
        <v>-2.349697152992138E-3</v>
      </c>
      <c r="J41">
        <v>18</v>
      </c>
      <c r="K41" s="10">
        <v>0.20293680143156614</v>
      </c>
      <c r="L41" s="10">
        <v>0.17660733172504667</v>
      </c>
    </row>
    <row r="42" spans="1:12" x14ac:dyDescent="0.3">
      <c r="A42" s="6">
        <v>40239</v>
      </c>
      <c r="B42" s="5">
        <v>2873.1100999999999</v>
      </c>
      <c r="C42" s="5">
        <v>104.27</v>
      </c>
      <c r="D42" s="5">
        <v>97.24</v>
      </c>
      <c r="F42">
        <f t="shared" si="2"/>
        <v>4.8788458701958956E-2</v>
      </c>
      <c r="G42">
        <f t="shared" si="3"/>
        <v>-1.7115564715877052E-2</v>
      </c>
      <c r="H42">
        <f t="shared" si="4"/>
        <v>-5.4356320696572332E-3</v>
      </c>
      <c r="J42">
        <v>19</v>
      </c>
      <c r="K42" s="10">
        <v>0.20975899243481502</v>
      </c>
      <c r="L42" s="10">
        <v>0.22113714483523328</v>
      </c>
    </row>
    <row r="43" spans="1:12" x14ac:dyDescent="0.3">
      <c r="A43" s="6">
        <v>40240</v>
      </c>
      <c r="B43" s="5">
        <v>2784.3400999999999</v>
      </c>
      <c r="C43" s="5">
        <v>101.42</v>
      </c>
      <c r="D43" s="5">
        <v>94.15</v>
      </c>
      <c r="F43">
        <f t="shared" si="2"/>
        <v>-3.1384204206762474E-2</v>
      </c>
      <c r="G43">
        <f t="shared" si="3"/>
        <v>-2.7713378434628698E-2</v>
      </c>
      <c r="H43">
        <f t="shared" si="4"/>
        <v>-3.2292894344761028E-2</v>
      </c>
      <c r="J43">
        <v>20</v>
      </c>
      <c r="K43" s="10">
        <v>0.19162075435356421</v>
      </c>
      <c r="L43" s="10">
        <v>0.35392956651444868</v>
      </c>
    </row>
    <row r="44" spans="1:12" x14ac:dyDescent="0.3">
      <c r="A44" s="6">
        <v>40241</v>
      </c>
      <c r="B44" s="5">
        <v>2819.1698999999999</v>
      </c>
      <c r="C44" s="5">
        <v>103.04</v>
      </c>
      <c r="D44" s="5">
        <v>95.56</v>
      </c>
      <c r="F44">
        <f t="shared" si="2"/>
        <v>1.2431582547702651E-2</v>
      </c>
      <c r="G44">
        <f t="shared" si="3"/>
        <v>1.58469519891705E-2</v>
      </c>
      <c r="H44">
        <f t="shared" si="4"/>
        <v>1.4865067354447292E-2</v>
      </c>
      <c r="J44">
        <v>21</v>
      </c>
      <c r="K44" s="10">
        <v>0.22120459809424889</v>
      </c>
      <c r="L44" s="10">
        <v>0.4860693114439264</v>
      </c>
    </row>
    <row r="45" spans="1:12" x14ac:dyDescent="0.3">
      <c r="A45" s="6">
        <v>40242</v>
      </c>
      <c r="B45" s="5">
        <v>2817.46</v>
      </c>
      <c r="C45" s="5">
        <v>105.88</v>
      </c>
      <c r="D45" s="5">
        <v>91.92</v>
      </c>
      <c r="F45">
        <f t="shared" si="2"/>
        <v>-6.0671006710964596E-4</v>
      </c>
      <c r="G45">
        <f t="shared" si="3"/>
        <v>2.718911500285693E-2</v>
      </c>
      <c r="H45">
        <f t="shared" si="4"/>
        <v>-3.8835688917108507E-2</v>
      </c>
      <c r="J45">
        <v>22</v>
      </c>
      <c r="K45" s="10">
        <v>0.19164690909864543</v>
      </c>
      <c r="L45" s="10">
        <v>0.3718284069343023</v>
      </c>
    </row>
    <row r="46" spans="1:12" x14ac:dyDescent="0.3">
      <c r="A46" s="6">
        <v>40245</v>
      </c>
      <c r="B46" s="5">
        <v>2701.3</v>
      </c>
      <c r="C46" s="5">
        <v>111.17</v>
      </c>
      <c r="D46" s="5">
        <v>93.46</v>
      </c>
      <c r="F46">
        <f t="shared" si="2"/>
        <v>-4.2102631231125724E-2</v>
      </c>
      <c r="G46">
        <f t="shared" si="3"/>
        <v>4.8754183886623052E-2</v>
      </c>
      <c r="H46">
        <f t="shared" si="4"/>
        <v>1.6614903731779745E-2</v>
      </c>
      <c r="J46">
        <v>23</v>
      </c>
      <c r="K46" s="10">
        <v>0.20046946433657026</v>
      </c>
      <c r="L46" s="10">
        <v>0.47962337147345541</v>
      </c>
    </row>
    <row r="47" spans="1:12" x14ac:dyDescent="0.3">
      <c r="A47" s="6">
        <v>40246</v>
      </c>
      <c r="B47" s="5">
        <v>2836.3600999999999</v>
      </c>
      <c r="C47" s="5">
        <v>116.72</v>
      </c>
      <c r="D47" s="5">
        <v>94.04</v>
      </c>
      <c r="F47">
        <f t="shared" si="2"/>
        <v>4.8788436604667688E-2</v>
      </c>
      <c r="G47">
        <f t="shared" si="3"/>
        <v>4.8717342969006601E-2</v>
      </c>
      <c r="H47">
        <f t="shared" si="4"/>
        <v>6.1866863995888354E-3</v>
      </c>
      <c r="J47">
        <v>24</v>
      </c>
      <c r="K47" s="10">
        <v>0.19472502268032829</v>
      </c>
      <c r="L47" s="10">
        <v>0.38993490562932787</v>
      </c>
    </row>
    <row r="48" spans="1:12" x14ac:dyDescent="0.3">
      <c r="A48" s="6">
        <v>40247</v>
      </c>
      <c r="B48" s="5">
        <v>2978.1698999999999</v>
      </c>
      <c r="C48" s="5">
        <v>114.76</v>
      </c>
      <c r="D48" s="5">
        <v>93.96</v>
      </c>
      <c r="F48">
        <f t="shared" si="2"/>
        <v>4.8787409125571835E-2</v>
      </c>
      <c r="G48">
        <f t="shared" si="3"/>
        <v>-1.6934913101366113E-2</v>
      </c>
      <c r="H48">
        <f t="shared" si="4"/>
        <v>-8.5106388115682285E-4</v>
      </c>
      <c r="J48">
        <v>25</v>
      </c>
      <c r="K48" s="10">
        <v>0.20252780997183767</v>
      </c>
      <c r="L48" s="10">
        <v>0.15130741223653527</v>
      </c>
    </row>
    <row r="49" spans="1:12" x14ac:dyDescent="0.3">
      <c r="A49" s="6">
        <v>40248</v>
      </c>
      <c r="B49" s="5">
        <v>3127.0700999999999</v>
      </c>
      <c r="C49" s="5">
        <v>115.6</v>
      </c>
      <c r="D49" s="5">
        <v>94.04</v>
      </c>
      <c r="F49">
        <f t="shared" si="2"/>
        <v>4.8787511530145829E-2</v>
      </c>
      <c r="G49">
        <f t="shared" si="3"/>
        <v>7.2929651251128604E-3</v>
      </c>
      <c r="H49">
        <f t="shared" si="4"/>
        <v>8.5106388115689755E-4</v>
      </c>
      <c r="J49">
        <v>26</v>
      </c>
      <c r="K49" s="10">
        <v>0.22552207275066224</v>
      </c>
      <c r="L49" s="10">
        <v>0.3272295398157597</v>
      </c>
    </row>
    <row r="50" spans="1:12" x14ac:dyDescent="0.3">
      <c r="A50" s="6">
        <v>40249</v>
      </c>
      <c r="B50" s="5">
        <v>3050.02</v>
      </c>
      <c r="C50" s="5">
        <v>116.77</v>
      </c>
      <c r="D50" s="5">
        <v>93.08</v>
      </c>
      <c r="F50">
        <f t="shared" si="2"/>
        <v>-2.4948347902264748E-2</v>
      </c>
      <c r="G50">
        <f t="shared" si="3"/>
        <v>1.0070231849346446E-2</v>
      </c>
      <c r="H50">
        <f t="shared" si="4"/>
        <v>-1.0260885237777817E-2</v>
      </c>
      <c r="J50">
        <v>27</v>
      </c>
      <c r="K50" s="10">
        <v>0.20648182851518504</v>
      </c>
      <c r="L50" s="10">
        <v>0.1319519420030329</v>
      </c>
    </row>
    <row r="51" spans="1:12" x14ac:dyDescent="0.3">
      <c r="A51" s="6">
        <v>40252</v>
      </c>
      <c r="B51" s="5">
        <v>3008.3701000000001</v>
      </c>
      <c r="C51" s="5">
        <v>116.2</v>
      </c>
      <c r="D51" s="5">
        <v>95.02</v>
      </c>
      <c r="F51">
        <f t="shared" si="2"/>
        <v>-1.374971089207005E-2</v>
      </c>
      <c r="G51">
        <f t="shared" si="3"/>
        <v>-4.8933436698126425E-3</v>
      </c>
      <c r="H51">
        <f t="shared" si="4"/>
        <v>2.0628057324684312E-2</v>
      </c>
      <c r="J51">
        <v>28</v>
      </c>
      <c r="K51" s="10">
        <v>0.18887703050718807</v>
      </c>
      <c r="L51" s="10">
        <v>0.3002162675770596</v>
      </c>
    </row>
    <row r="52" spans="1:12" x14ac:dyDescent="0.3">
      <c r="A52" s="6">
        <v>40253</v>
      </c>
      <c r="B52" s="5">
        <v>2972.71</v>
      </c>
      <c r="C52" s="5">
        <v>113.68</v>
      </c>
      <c r="D52" s="5">
        <v>94.25</v>
      </c>
      <c r="F52">
        <f t="shared" si="2"/>
        <v>-1.1924442392396734E-2</v>
      </c>
      <c r="G52">
        <f t="shared" si="3"/>
        <v>-2.1925360628965659E-2</v>
      </c>
      <c r="H52">
        <f t="shared" si="4"/>
        <v>-8.1365694306550634E-3</v>
      </c>
      <c r="J52">
        <v>29</v>
      </c>
      <c r="K52" s="10">
        <v>0.26286058653352273</v>
      </c>
      <c r="L52" s="10">
        <v>5.7708807205678614E-2</v>
      </c>
    </row>
    <row r="53" spans="1:12" x14ac:dyDescent="0.3">
      <c r="A53" s="6">
        <v>40254</v>
      </c>
      <c r="B53" s="5">
        <v>2950</v>
      </c>
      <c r="C53" s="5">
        <v>113.2</v>
      </c>
      <c r="D53" s="5">
        <v>94</v>
      </c>
      <c r="F53">
        <f t="shared" si="2"/>
        <v>-7.66882433867477E-3</v>
      </c>
      <c r="G53">
        <f t="shared" si="3"/>
        <v>-4.2313180197626971E-3</v>
      </c>
      <c r="H53">
        <f t="shared" si="4"/>
        <v>-2.6560440581162963E-3</v>
      </c>
      <c r="J53">
        <v>30</v>
      </c>
      <c r="K53" s="10">
        <v>0.20457819158030183</v>
      </c>
      <c r="L53" s="10">
        <v>0.21513766136636409</v>
      </c>
    </row>
    <row r="54" spans="1:12" x14ac:dyDescent="0.3">
      <c r="A54" s="6">
        <v>40255</v>
      </c>
      <c r="B54" s="5">
        <v>3000</v>
      </c>
      <c r="C54" s="5">
        <v>112.93</v>
      </c>
      <c r="D54" s="5">
        <v>94</v>
      </c>
      <c r="F54">
        <f t="shared" si="2"/>
        <v>1.6807118316381191E-2</v>
      </c>
      <c r="G54">
        <f t="shared" si="3"/>
        <v>-2.3880080335036084E-3</v>
      </c>
      <c r="H54">
        <f t="shared" si="4"/>
        <v>0</v>
      </c>
      <c r="J54">
        <v>31</v>
      </c>
      <c r="K54" s="10">
        <v>0.2483844507925978</v>
      </c>
      <c r="L54" s="10">
        <v>0.23459369516428352</v>
      </c>
    </row>
    <row r="55" spans="1:12" x14ac:dyDescent="0.3">
      <c r="A55" s="6">
        <v>40256</v>
      </c>
      <c r="B55" s="5">
        <v>2998.5</v>
      </c>
      <c r="C55" s="5">
        <v>112.2</v>
      </c>
      <c r="D55" s="5">
        <v>93.76</v>
      </c>
      <c r="F55">
        <f t="shared" si="2"/>
        <v>-5.0012504168224286E-4</v>
      </c>
      <c r="G55">
        <f t="shared" si="3"/>
        <v>-6.4851646469829809E-3</v>
      </c>
      <c r="H55">
        <f t="shared" si="4"/>
        <v>-2.5564564413013257E-3</v>
      </c>
      <c r="J55">
        <v>32</v>
      </c>
      <c r="K55" s="10">
        <v>0.22247664761881622</v>
      </c>
      <c r="L55" s="10">
        <v>0.14508404323942811</v>
      </c>
    </row>
    <row r="56" spans="1:12" x14ac:dyDescent="0.3">
      <c r="A56" s="6">
        <v>40259</v>
      </c>
      <c r="B56" s="5">
        <v>2952.5</v>
      </c>
      <c r="C56" s="5">
        <v>112.27</v>
      </c>
      <c r="D56" s="5">
        <v>93.61</v>
      </c>
      <c r="F56">
        <f t="shared" si="2"/>
        <v>-1.545989453704706E-2</v>
      </c>
      <c r="G56">
        <f t="shared" si="3"/>
        <v>6.2369138209203878E-4</v>
      </c>
      <c r="H56">
        <f t="shared" si="4"/>
        <v>-1.6011104450492464E-3</v>
      </c>
      <c r="J56">
        <v>33</v>
      </c>
      <c r="K56" s="10">
        <v>0.22565331261044383</v>
      </c>
      <c r="L56" s="10">
        <v>2.6626282416516323E-2</v>
      </c>
    </row>
    <row r="57" spans="1:12" x14ac:dyDescent="0.3">
      <c r="A57" s="6">
        <v>40261</v>
      </c>
      <c r="B57" s="5">
        <v>2910.54</v>
      </c>
      <c r="C57" s="5">
        <v>117.73</v>
      </c>
      <c r="D57" s="5">
        <v>97.28</v>
      </c>
      <c r="F57">
        <f t="shared" si="2"/>
        <v>-1.4313638111097832E-2</v>
      </c>
      <c r="G57">
        <f t="shared" si="3"/>
        <v>4.7487182619417492E-2</v>
      </c>
      <c r="H57">
        <f t="shared" si="4"/>
        <v>3.8456202834203507E-2</v>
      </c>
      <c r="J57">
        <v>34</v>
      </c>
      <c r="K57" s="10">
        <v>0.22320520788197515</v>
      </c>
      <c r="L57" s="10">
        <v>0.22382650590182129</v>
      </c>
    </row>
    <row r="58" spans="1:12" x14ac:dyDescent="0.3">
      <c r="A58" s="6">
        <v>40262</v>
      </c>
      <c r="B58" s="5">
        <v>3025</v>
      </c>
      <c r="C58" s="5">
        <v>116.37</v>
      </c>
      <c r="D58" s="5">
        <v>97.04</v>
      </c>
      <c r="F58">
        <f t="shared" si="2"/>
        <v>3.8572460504522288E-2</v>
      </c>
      <c r="G58">
        <f t="shared" si="3"/>
        <v>-1.1619096970119902E-2</v>
      </c>
      <c r="H58">
        <f t="shared" si="4"/>
        <v>-2.4701535820621447E-3</v>
      </c>
      <c r="J58">
        <v>35</v>
      </c>
      <c r="K58" s="10">
        <v>0.18981488082573783</v>
      </c>
      <c r="L58" s="10">
        <v>0.26522072640032118</v>
      </c>
    </row>
    <row r="59" spans="1:12" x14ac:dyDescent="0.3">
      <c r="A59" s="6">
        <v>40263</v>
      </c>
      <c r="B59" s="5">
        <v>3176.25</v>
      </c>
      <c r="C59" s="5">
        <v>115.53</v>
      </c>
      <c r="D59" s="5">
        <v>96.99</v>
      </c>
      <c r="F59">
        <f t="shared" si="2"/>
        <v>4.8790164169432049E-2</v>
      </c>
      <c r="G59">
        <f t="shared" si="3"/>
        <v>-7.2445336250583229E-3</v>
      </c>
      <c r="H59">
        <f t="shared" si="4"/>
        <v>-5.1538423034339065E-4</v>
      </c>
      <c r="J59">
        <v>36</v>
      </c>
      <c r="K59" s="10">
        <v>0.22579224301049391</v>
      </c>
      <c r="L59" s="10">
        <v>0.46960209216511778</v>
      </c>
    </row>
    <row r="60" spans="1:12" x14ac:dyDescent="0.3">
      <c r="A60" s="6">
        <v>40266</v>
      </c>
      <c r="B60" s="5">
        <v>3335.0601000000001</v>
      </c>
      <c r="C60" s="5">
        <v>113.81</v>
      </c>
      <c r="D60" s="5">
        <v>98</v>
      </c>
      <c r="F60">
        <f t="shared" si="2"/>
        <v>4.8789444542479431E-2</v>
      </c>
      <c r="G60">
        <f t="shared" si="3"/>
        <v>-1.4999845201128738E-2</v>
      </c>
      <c r="H60">
        <f t="shared" si="4"/>
        <v>1.0359598265120475E-2</v>
      </c>
      <c r="J60">
        <v>37</v>
      </c>
      <c r="K60" s="10">
        <v>0.2123272777136643</v>
      </c>
      <c r="L60" s="10">
        <v>0.15056642415223814</v>
      </c>
    </row>
    <row r="61" spans="1:12" x14ac:dyDescent="0.3">
      <c r="A61" s="6">
        <v>40267</v>
      </c>
      <c r="B61" s="5">
        <v>3501.8101000000001</v>
      </c>
      <c r="C61" s="5">
        <v>114.76</v>
      </c>
      <c r="D61" s="5">
        <v>97.73</v>
      </c>
      <c r="F61">
        <f t="shared" si="2"/>
        <v>4.8789306042170709E-2</v>
      </c>
      <c r="G61">
        <f t="shared" si="3"/>
        <v>8.3125998193655654E-3</v>
      </c>
      <c r="H61">
        <f t="shared" si="4"/>
        <v>-2.7589043198275134E-3</v>
      </c>
      <c r="J61">
        <v>38</v>
      </c>
      <c r="K61" s="10">
        <v>0.19204834743716037</v>
      </c>
      <c r="L61" s="10">
        <v>0.35314033602607431</v>
      </c>
    </row>
    <row r="62" spans="1:12" x14ac:dyDescent="0.3">
      <c r="A62" s="6">
        <v>40268</v>
      </c>
      <c r="B62" s="5">
        <v>3468.52</v>
      </c>
      <c r="C62" s="5">
        <v>115.27</v>
      </c>
      <c r="D62" s="5">
        <v>98</v>
      </c>
      <c r="F62">
        <f t="shared" si="2"/>
        <v>-9.552016228945949E-3</v>
      </c>
      <c r="G62">
        <f t="shared" si="3"/>
        <v>4.4342114997570851E-3</v>
      </c>
      <c r="H62">
        <f t="shared" si="4"/>
        <v>2.7589043198275585E-3</v>
      </c>
      <c r="J62">
        <v>39</v>
      </c>
      <c r="K62" s="10">
        <v>0.22525117970241529</v>
      </c>
      <c r="L62" s="10">
        <v>0.36986379263440089</v>
      </c>
    </row>
    <row r="63" spans="1:12" x14ac:dyDescent="0.3">
      <c r="A63" s="6">
        <v>40269</v>
      </c>
      <c r="B63" s="5">
        <v>3641.9398999999999</v>
      </c>
      <c r="C63" s="5">
        <v>115.46</v>
      </c>
      <c r="D63" s="5">
        <v>97.47</v>
      </c>
      <c r="F63">
        <f t="shared" si="2"/>
        <v>4.8788489239296073E-2</v>
      </c>
      <c r="G63">
        <f t="shared" si="3"/>
        <v>1.6469470198663847E-3</v>
      </c>
      <c r="H63">
        <f t="shared" si="4"/>
        <v>-5.4228403214533032E-3</v>
      </c>
      <c r="J63">
        <v>40</v>
      </c>
      <c r="K63" s="10">
        <v>0.19915883845946927</v>
      </c>
      <c r="L63" s="10">
        <v>0.23684899935148962</v>
      </c>
    </row>
    <row r="64" spans="1:12" x14ac:dyDescent="0.3">
      <c r="A64" s="6">
        <v>40270</v>
      </c>
      <c r="B64" s="5">
        <v>3735.25</v>
      </c>
      <c r="C64" s="5">
        <v>121.13</v>
      </c>
      <c r="D64" s="5">
        <v>97.5</v>
      </c>
      <c r="F64">
        <f t="shared" si="2"/>
        <v>2.5298271501820097E-2</v>
      </c>
      <c r="G64">
        <f t="shared" si="3"/>
        <v>4.7940199395923283E-2</v>
      </c>
      <c r="H64">
        <f t="shared" si="4"/>
        <v>3.0773965468286355E-4</v>
      </c>
      <c r="J64">
        <v>41</v>
      </c>
      <c r="K64" s="10">
        <v>0.25603292428299612</v>
      </c>
      <c r="L64" s="10">
        <v>-9.2145136821808665E-2</v>
      </c>
    </row>
    <row r="65" spans="1:12" x14ac:dyDescent="0.3">
      <c r="A65" s="6">
        <v>40273</v>
      </c>
      <c r="B65" s="5">
        <v>3700.4299000000001</v>
      </c>
      <c r="C65" s="5">
        <v>122.66</v>
      </c>
      <c r="D65" s="5">
        <v>100</v>
      </c>
      <c r="F65">
        <f t="shared" si="2"/>
        <v>-9.3657486591302193E-3</v>
      </c>
      <c r="G65">
        <f t="shared" si="3"/>
        <v>1.2551951169126793E-2</v>
      </c>
      <c r="H65">
        <f t="shared" si="4"/>
        <v>2.5317807984289786E-2</v>
      </c>
      <c r="J65">
        <v>42</v>
      </c>
      <c r="K65" s="10">
        <v>0.19639174164789466</v>
      </c>
      <c r="L65" s="10">
        <v>0.41569427474416049</v>
      </c>
    </row>
    <row r="66" spans="1:12" x14ac:dyDescent="0.3">
      <c r="A66" s="6">
        <v>40274</v>
      </c>
      <c r="B66" s="5">
        <v>3608.51</v>
      </c>
      <c r="C66" s="5">
        <v>121.79</v>
      </c>
      <c r="D66" s="5">
        <v>105</v>
      </c>
      <c r="F66">
        <f t="shared" si="2"/>
        <v>-2.5154057328990832E-2</v>
      </c>
      <c r="G66">
        <f t="shared" si="3"/>
        <v>-7.1180500988185132E-3</v>
      </c>
      <c r="H66">
        <f t="shared" si="4"/>
        <v>4.8790164169432049E-2</v>
      </c>
      <c r="J66">
        <v>43</v>
      </c>
      <c r="K66" s="10">
        <v>0.18966952506739207</v>
      </c>
      <c r="L66" s="10">
        <v>0.34475051505147242</v>
      </c>
    </row>
    <row r="67" spans="1:12" x14ac:dyDescent="0.3">
      <c r="A67" s="6">
        <v>40275</v>
      </c>
      <c r="B67" s="5">
        <v>3492.76</v>
      </c>
      <c r="C67" s="5">
        <v>123.43</v>
      </c>
      <c r="D67" s="5">
        <v>103.19</v>
      </c>
      <c r="F67">
        <f t="shared" si="2"/>
        <v>-3.2602690143065959E-2</v>
      </c>
      <c r="G67">
        <f t="shared" si="3"/>
        <v>1.3375943656818105E-2</v>
      </c>
      <c r="H67">
        <f t="shared" si="4"/>
        <v>-1.7388401029900434E-2</v>
      </c>
      <c r="J67">
        <v>44</v>
      </c>
      <c r="K67" s="10">
        <v>0.20466425597807333</v>
      </c>
      <c r="L67" s="10">
        <v>0.27745165862405524</v>
      </c>
    </row>
    <row r="68" spans="1:12" x14ac:dyDescent="0.3">
      <c r="A68" s="6">
        <v>40276</v>
      </c>
      <c r="B68" s="5">
        <v>3350.4198999999999</v>
      </c>
      <c r="C68" s="5">
        <v>124.56</v>
      </c>
      <c r="D68" s="5">
        <v>101.24</v>
      </c>
      <c r="F68">
        <f t="shared" ref="F68:F131" si="8">LN(B68/B67)</f>
        <v>-4.1606573352126044E-2</v>
      </c>
      <c r="G68">
        <f t="shared" ref="G68:G131" si="9">LN(C68/C67)</f>
        <v>9.1133337699056492E-3</v>
      </c>
      <c r="H68">
        <f t="shared" ref="H68:H131" si="10">LN(D68/D67)</f>
        <v>-1.9078013450699694E-2</v>
      </c>
      <c r="J68">
        <v>45</v>
      </c>
      <c r="K68" s="10">
        <v>0.24977015783835799</v>
      </c>
      <c r="L68" s="10">
        <v>-1.2386350852919122E-2</v>
      </c>
    </row>
    <row r="69" spans="1:12" x14ac:dyDescent="0.3">
      <c r="A69" s="6">
        <v>40277</v>
      </c>
      <c r="B69" s="5">
        <v>3517.9398999999999</v>
      </c>
      <c r="C69" s="5">
        <v>129.19999999999999</v>
      </c>
      <c r="D69" s="5">
        <v>100.42</v>
      </c>
      <c r="F69">
        <f t="shared" si="8"/>
        <v>4.8789881333486031E-2</v>
      </c>
      <c r="G69">
        <f t="shared" si="9"/>
        <v>3.6574063822758553E-2</v>
      </c>
      <c r="H69">
        <f t="shared" si="10"/>
        <v>-8.1325450703638481E-3</v>
      </c>
      <c r="J69">
        <v>46</v>
      </c>
      <c r="K69" s="10">
        <v>0.19263949607456696</v>
      </c>
      <c r="L69" s="10">
        <v>0.33570472403439666</v>
      </c>
    </row>
    <row r="70" spans="1:12" x14ac:dyDescent="0.3">
      <c r="A70" s="6">
        <v>40280</v>
      </c>
      <c r="B70" s="5">
        <v>3549.98</v>
      </c>
      <c r="C70" s="5">
        <v>124.23</v>
      </c>
      <c r="D70" s="5">
        <v>100.07</v>
      </c>
      <c r="F70">
        <f t="shared" si="8"/>
        <v>9.0664070694073916E-3</v>
      </c>
      <c r="G70">
        <f t="shared" si="9"/>
        <v>-3.922690512291583E-2</v>
      </c>
      <c r="H70">
        <f t="shared" si="10"/>
        <v>-3.4914495041947738E-3</v>
      </c>
      <c r="J70">
        <v>47</v>
      </c>
      <c r="K70" s="10">
        <v>0.20340308830405796</v>
      </c>
      <c r="L70" s="10">
        <v>0.49188399771592289</v>
      </c>
    </row>
    <row r="71" spans="1:12" x14ac:dyDescent="0.3">
      <c r="A71" s="6">
        <v>40281</v>
      </c>
      <c r="B71" s="5">
        <v>3575</v>
      </c>
      <c r="C71" s="5">
        <v>122.28</v>
      </c>
      <c r="D71" s="5">
        <v>99.99</v>
      </c>
      <c r="F71">
        <f t="shared" si="8"/>
        <v>7.0232064773333323E-3</v>
      </c>
      <c r="G71">
        <f t="shared" si="9"/>
        <v>-1.5821189202951835E-2</v>
      </c>
      <c r="H71">
        <f t="shared" si="10"/>
        <v>-7.9976011460665582E-4</v>
      </c>
      <c r="J71">
        <v>48</v>
      </c>
      <c r="K71" s="10">
        <v>0.1949447894253972</v>
      </c>
      <c r="L71" s="10">
        <v>0.39689396788359121</v>
      </c>
    </row>
    <row r="72" spans="1:12" x14ac:dyDescent="0.3">
      <c r="A72" s="6">
        <v>40282</v>
      </c>
      <c r="B72" s="5">
        <v>3576</v>
      </c>
      <c r="C72" s="5">
        <v>123.63</v>
      </c>
      <c r="D72" s="5">
        <v>100.95</v>
      </c>
      <c r="F72">
        <f t="shared" si="8"/>
        <v>2.7968116529668188E-4</v>
      </c>
      <c r="G72">
        <f t="shared" si="9"/>
        <v>1.0979736996201916E-2</v>
      </c>
      <c r="H72">
        <f t="shared" si="10"/>
        <v>9.5551637710885283E-3</v>
      </c>
      <c r="J72">
        <v>49</v>
      </c>
      <c r="K72" s="10">
        <v>0.19270223331774919</v>
      </c>
      <c r="L72" s="10">
        <v>0.40394686647277861</v>
      </c>
    </row>
    <row r="73" spans="1:12" x14ac:dyDescent="0.3">
      <c r="A73" s="6">
        <v>40283</v>
      </c>
      <c r="B73" s="5">
        <v>3520.28</v>
      </c>
      <c r="C73" s="5">
        <v>124.7</v>
      </c>
      <c r="D73" s="5">
        <v>101</v>
      </c>
      <c r="F73">
        <f t="shared" si="8"/>
        <v>-1.5704325410288433E-2</v>
      </c>
      <c r="G73">
        <f t="shared" si="9"/>
        <v>8.617618667155125E-3</v>
      </c>
      <c r="H73">
        <f t="shared" si="10"/>
        <v>4.9517208241294658E-4</v>
      </c>
      <c r="J73">
        <v>50</v>
      </c>
      <c r="K73" s="10">
        <v>0.21283637649707496</v>
      </c>
      <c r="L73" s="10">
        <v>0.40309105646778842</v>
      </c>
    </row>
    <row r="74" spans="1:12" x14ac:dyDescent="0.3">
      <c r="A74" s="6">
        <v>40284</v>
      </c>
      <c r="B74" s="5">
        <v>3550</v>
      </c>
      <c r="C74" s="5">
        <v>122.82</v>
      </c>
      <c r="D74" s="5">
        <v>102.17</v>
      </c>
      <c r="F74">
        <f t="shared" si="8"/>
        <v>8.4070715863450423E-3</v>
      </c>
      <c r="G74">
        <f t="shared" si="9"/>
        <v>-1.5190983784737632E-2</v>
      </c>
      <c r="H74">
        <f t="shared" si="10"/>
        <v>1.1517575762072851E-2</v>
      </c>
      <c r="J74">
        <v>51</v>
      </c>
      <c r="K74" s="10">
        <v>0.19417622551041458</v>
      </c>
      <c r="L74" s="10">
        <v>0.37906327523730349</v>
      </c>
    </row>
    <row r="75" spans="1:12" x14ac:dyDescent="0.3">
      <c r="A75" s="6">
        <v>40287</v>
      </c>
      <c r="B75" s="5">
        <v>3500.01</v>
      </c>
      <c r="C75" s="5">
        <v>120.82</v>
      </c>
      <c r="D75" s="5">
        <v>102.29</v>
      </c>
      <c r="F75">
        <f t="shared" si="8"/>
        <v>-1.4181777853180881E-2</v>
      </c>
      <c r="G75">
        <f t="shared" si="9"/>
        <v>-1.6418034190657932E-2</v>
      </c>
      <c r="H75">
        <f t="shared" si="10"/>
        <v>1.1738238655838559E-3</v>
      </c>
      <c r="J75">
        <v>52</v>
      </c>
      <c r="K75" s="10">
        <v>0.22245488322033913</v>
      </c>
      <c r="L75" s="10">
        <v>4.5327499363020281E-2</v>
      </c>
    </row>
    <row r="76" spans="1:12" x14ac:dyDescent="0.3">
      <c r="A76" s="6">
        <v>40288</v>
      </c>
      <c r="B76" s="5">
        <v>3675</v>
      </c>
      <c r="C76" s="5">
        <v>119.09</v>
      </c>
      <c r="D76" s="5">
        <v>101.66</v>
      </c>
      <c r="F76">
        <f t="shared" si="8"/>
        <v>4.8787307030656514E-2</v>
      </c>
      <c r="G76">
        <f t="shared" si="9"/>
        <v>-1.4422324930690624E-2</v>
      </c>
      <c r="H76">
        <f t="shared" si="10"/>
        <v>-6.1780044501596821E-3</v>
      </c>
      <c r="J76">
        <v>53</v>
      </c>
      <c r="K76" s="10">
        <v>0.19078770654761162</v>
      </c>
      <c r="L76" s="10">
        <v>0.26567729251366201</v>
      </c>
    </row>
    <row r="77" spans="1:12" x14ac:dyDescent="0.3">
      <c r="A77" s="6">
        <v>40289</v>
      </c>
      <c r="B77" s="5">
        <v>3800</v>
      </c>
      <c r="C77" s="5">
        <v>116.23</v>
      </c>
      <c r="D77" s="5">
        <v>101.66</v>
      </c>
      <c r="F77">
        <f t="shared" si="8"/>
        <v>3.3447934067540125E-2</v>
      </c>
      <c r="G77">
        <f t="shared" si="9"/>
        <v>-2.4308523124287894E-2</v>
      </c>
      <c r="H77">
        <f t="shared" si="10"/>
        <v>0</v>
      </c>
      <c r="J77">
        <v>54</v>
      </c>
      <c r="K77" s="10">
        <v>0.22509978427879454</v>
      </c>
      <c r="L77" s="10">
        <v>0.20268926188728506</v>
      </c>
    </row>
    <row r="78" spans="1:12" x14ac:dyDescent="0.3">
      <c r="A78" s="6">
        <v>40290</v>
      </c>
      <c r="B78" s="5">
        <v>3890</v>
      </c>
      <c r="C78" s="5">
        <v>117.7</v>
      </c>
      <c r="D78" s="5">
        <v>101.35</v>
      </c>
      <c r="F78">
        <f t="shared" si="8"/>
        <v>2.3408090898014804E-2</v>
      </c>
      <c r="G78">
        <f t="shared" si="9"/>
        <v>1.256802761061435E-2</v>
      </c>
      <c r="H78">
        <f t="shared" si="10"/>
        <v>-3.054039120747463E-3</v>
      </c>
      <c r="J78">
        <v>55</v>
      </c>
      <c r="K78" s="10">
        <v>0.19693089315145956</v>
      </c>
      <c r="L78" s="10">
        <v>0.36412092980811633</v>
      </c>
    </row>
    <row r="79" spans="1:12" x14ac:dyDescent="0.3">
      <c r="A79" s="6">
        <v>40291</v>
      </c>
      <c r="B79" s="5">
        <v>3791.1100999999999</v>
      </c>
      <c r="C79" s="5">
        <v>117.6</v>
      </c>
      <c r="D79" s="5">
        <v>101.89</v>
      </c>
      <c r="F79">
        <f t="shared" si="8"/>
        <v>-2.5750279048875977E-2</v>
      </c>
      <c r="G79">
        <f t="shared" si="9"/>
        <v>-8.4997880170451792E-4</v>
      </c>
      <c r="H79">
        <f t="shared" si="10"/>
        <v>5.3139270881850517E-3</v>
      </c>
      <c r="J79">
        <v>56</v>
      </c>
      <c r="K79" s="10">
        <v>0.20800016413338079</v>
      </c>
      <c r="L79" s="10">
        <v>0.20525745792984035</v>
      </c>
    </row>
    <row r="80" spans="1:12" x14ac:dyDescent="0.3">
      <c r="A80" s="6">
        <v>40294</v>
      </c>
      <c r="B80" s="5">
        <v>3910.4198999999999</v>
      </c>
      <c r="C80" s="5">
        <v>115.67</v>
      </c>
      <c r="D80" s="5">
        <v>101.03</v>
      </c>
      <c r="F80">
        <f t="shared" si="8"/>
        <v>3.0985880954109899E-2</v>
      </c>
      <c r="G80">
        <f t="shared" si="9"/>
        <v>-1.6547726157216294E-2</v>
      </c>
      <c r="H80">
        <f t="shared" si="10"/>
        <v>-8.4762975465531038E-3</v>
      </c>
      <c r="J80">
        <v>57</v>
      </c>
      <c r="K80" s="10">
        <v>0.25256190001626133</v>
      </c>
      <c r="L80" s="10">
        <v>0.10920091141203506</v>
      </c>
    </row>
    <row r="81" spans="1:12" x14ac:dyDescent="0.3">
      <c r="A81" s="6">
        <v>40295</v>
      </c>
      <c r="B81" s="5">
        <v>3953.21</v>
      </c>
      <c r="C81" s="5">
        <v>114.13</v>
      </c>
      <c r="D81" s="5">
        <v>100.68</v>
      </c>
      <c r="F81">
        <f t="shared" si="8"/>
        <v>1.0883147577379921E-2</v>
      </c>
      <c r="G81">
        <f t="shared" si="9"/>
        <v>-1.3403159741801528E-2</v>
      </c>
      <c r="H81">
        <f t="shared" si="10"/>
        <v>-3.4703321725257194E-3</v>
      </c>
      <c r="J81">
        <v>58</v>
      </c>
      <c r="K81" s="10">
        <v>0.23296636546614649</v>
      </c>
      <c r="L81" s="10">
        <v>1.3259791257896308E-2</v>
      </c>
    </row>
    <row r="82" spans="1:12" x14ac:dyDescent="0.3">
      <c r="A82" s="6">
        <v>40296</v>
      </c>
      <c r="B82" s="5">
        <v>4150.8701000000001</v>
      </c>
      <c r="C82" s="5">
        <v>112.82</v>
      </c>
      <c r="D82" s="5">
        <v>99.12</v>
      </c>
      <c r="F82">
        <f t="shared" si="8"/>
        <v>4.8790067804098773E-2</v>
      </c>
      <c r="G82">
        <f t="shared" si="9"/>
        <v>-1.1544521253678613E-2</v>
      </c>
      <c r="H82">
        <f t="shared" si="10"/>
        <v>-1.56159329462281E-2</v>
      </c>
      <c r="J82">
        <v>59</v>
      </c>
      <c r="K82" s="10">
        <v>0.20256333243935171</v>
      </c>
      <c r="L82" s="10">
        <v>0.12187461514679876</v>
      </c>
    </row>
    <row r="83" spans="1:12" x14ac:dyDescent="0.3">
      <c r="A83" s="6">
        <v>40297</v>
      </c>
      <c r="B83" s="5">
        <v>4349</v>
      </c>
      <c r="C83" s="5">
        <v>111.07</v>
      </c>
      <c r="D83" s="5">
        <v>98.15</v>
      </c>
      <c r="F83">
        <f t="shared" si="8"/>
        <v>4.6627958698433898E-2</v>
      </c>
      <c r="G83">
        <f t="shared" si="9"/>
        <v>-1.5632995132801395E-2</v>
      </c>
      <c r="H83">
        <f t="shared" si="10"/>
        <v>-9.8343165984168986E-3</v>
      </c>
      <c r="J83">
        <v>60</v>
      </c>
      <c r="K83" s="10">
        <v>0.24524851017568222</v>
      </c>
      <c r="L83" s="10">
        <v>0.26981000283935269</v>
      </c>
    </row>
    <row r="84" spans="1:12" x14ac:dyDescent="0.3">
      <c r="A84" s="6">
        <v>40298</v>
      </c>
      <c r="B84" s="5">
        <v>4450.29</v>
      </c>
      <c r="C84" s="5">
        <v>108.99</v>
      </c>
      <c r="D84" s="5">
        <v>98.8</v>
      </c>
      <c r="F84">
        <f t="shared" si="8"/>
        <v>2.3023328978596345E-2</v>
      </c>
      <c r="G84">
        <f t="shared" si="9"/>
        <v>-1.8904498277808334E-2</v>
      </c>
      <c r="H84">
        <f t="shared" si="10"/>
        <v>6.6006840313518724E-3</v>
      </c>
      <c r="J84">
        <v>61</v>
      </c>
      <c r="K84" s="10">
        <v>0.20146817376246706</v>
      </c>
      <c r="L84" s="10">
        <v>0.15133922271462721</v>
      </c>
    </row>
    <row r="85" spans="1:12" x14ac:dyDescent="0.3">
      <c r="A85" s="6">
        <v>40301</v>
      </c>
      <c r="B85" s="5">
        <v>4505.4198999999999</v>
      </c>
      <c r="C85" s="5">
        <v>109.7</v>
      </c>
      <c r="D85" s="5">
        <v>98.75</v>
      </c>
      <c r="F85">
        <f t="shared" si="8"/>
        <v>1.2311831669819912E-2</v>
      </c>
      <c r="G85">
        <f t="shared" si="9"/>
        <v>6.4932323799643437E-3</v>
      </c>
      <c r="H85">
        <f t="shared" si="10"/>
        <v>-5.0620097259084407E-4</v>
      </c>
      <c r="J85">
        <v>62</v>
      </c>
      <c r="K85" s="10">
        <v>0.20258696086982694</v>
      </c>
      <c r="L85" s="10">
        <v>0.20190317403721714</v>
      </c>
    </row>
    <row r="86" spans="1:12" x14ac:dyDescent="0.3">
      <c r="A86" s="6">
        <v>40302</v>
      </c>
      <c r="B86" s="5">
        <v>4445.8798999999999</v>
      </c>
      <c r="C86" s="5">
        <v>114.82</v>
      </c>
      <c r="D86" s="5">
        <v>98.88</v>
      </c>
      <c r="F86">
        <f t="shared" si="8"/>
        <v>-1.3303292132205604E-2</v>
      </c>
      <c r="G86">
        <f t="shared" si="9"/>
        <v>4.5616317458306174E-2</v>
      </c>
      <c r="H86">
        <f t="shared" si="10"/>
        <v>1.3155899281492829E-3</v>
      </c>
      <c r="J86">
        <v>63</v>
      </c>
      <c r="K86" s="10">
        <v>0.2651707097694061</v>
      </c>
      <c r="L86" s="10">
        <v>-3.3082176131854546E-2</v>
      </c>
    </row>
    <row r="87" spans="1:12" x14ac:dyDescent="0.3">
      <c r="A87" s="6">
        <v>40303</v>
      </c>
      <c r="B87" s="5">
        <v>4518.4102000000003</v>
      </c>
      <c r="C87" s="5">
        <v>113.3</v>
      </c>
      <c r="D87" s="5">
        <v>98.83</v>
      </c>
      <c r="F87">
        <f t="shared" si="8"/>
        <v>1.6182404178732093E-2</v>
      </c>
      <c r="G87">
        <f t="shared" si="9"/>
        <v>-1.3326516705530115E-2</v>
      </c>
      <c r="H87">
        <f t="shared" si="10"/>
        <v>-5.0579132128809477E-4</v>
      </c>
      <c r="J87">
        <v>64</v>
      </c>
      <c r="K87" s="10">
        <v>0.21177583777699108</v>
      </c>
      <c r="L87" s="10">
        <v>0.2758035935405076</v>
      </c>
    </row>
    <row r="88" spans="1:12" x14ac:dyDescent="0.3">
      <c r="A88" s="6">
        <v>40304</v>
      </c>
      <c r="B88" s="5">
        <v>4540</v>
      </c>
      <c r="C88" s="5">
        <v>112.44</v>
      </c>
      <c r="D88" s="5">
        <v>99.47</v>
      </c>
      <c r="F88">
        <f t="shared" si="8"/>
        <v>4.7668057428126437E-3</v>
      </c>
      <c r="G88">
        <f t="shared" si="9"/>
        <v>-7.6194219956295219E-3</v>
      </c>
      <c r="H88">
        <f t="shared" si="10"/>
        <v>6.4548887762300756E-3</v>
      </c>
      <c r="J88">
        <v>65</v>
      </c>
      <c r="K88" s="10">
        <v>0.21948505770880047</v>
      </c>
      <c r="L88" s="10">
        <v>0.23527599363598561</v>
      </c>
    </row>
    <row r="89" spans="1:12" x14ac:dyDescent="0.3">
      <c r="A89" s="6">
        <v>40305</v>
      </c>
      <c r="B89" s="5">
        <v>4315.5801000000001</v>
      </c>
      <c r="C89" s="5">
        <v>108.18</v>
      </c>
      <c r="D89" s="5">
        <v>98.61</v>
      </c>
      <c r="F89">
        <f t="shared" si="8"/>
        <v>-5.0695258546891796E-2</v>
      </c>
      <c r="G89">
        <f t="shared" si="9"/>
        <v>-3.8623239595050131E-2</v>
      </c>
      <c r="H89">
        <f t="shared" si="10"/>
        <v>-8.6834148200847835E-3</v>
      </c>
      <c r="J89">
        <v>66</v>
      </c>
      <c r="K89" s="10">
        <v>0.20692021227466398</v>
      </c>
      <c r="L89" s="10">
        <v>0.41429967710217397</v>
      </c>
    </row>
    <row r="90" spans="1:12" x14ac:dyDescent="0.3">
      <c r="A90" s="6">
        <v>40308</v>
      </c>
      <c r="B90" s="5">
        <v>4239.9902000000002</v>
      </c>
      <c r="C90" s="5">
        <v>108.63</v>
      </c>
      <c r="D90" s="5">
        <v>99.08</v>
      </c>
      <c r="F90">
        <f t="shared" si="8"/>
        <v>-1.7670795585924218E-2</v>
      </c>
      <c r="G90">
        <f t="shared" si="9"/>
        <v>4.1511060023786094E-3</v>
      </c>
      <c r="H90">
        <f t="shared" si="10"/>
        <v>4.7549282769209821E-3</v>
      </c>
      <c r="J90">
        <v>67</v>
      </c>
      <c r="K90" s="10">
        <v>0.19057545835600323</v>
      </c>
      <c r="L90" s="10">
        <v>0.3692673624230477</v>
      </c>
    </row>
    <row r="91" spans="1:12" x14ac:dyDescent="0.3">
      <c r="A91" s="6">
        <v>40309</v>
      </c>
      <c r="B91" s="5">
        <v>4245.8798999999999</v>
      </c>
      <c r="C91" s="5">
        <v>107.44</v>
      </c>
      <c r="D91" s="5">
        <v>98.04</v>
      </c>
      <c r="F91">
        <f t="shared" si="8"/>
        <v>1.3881195154581184E-3</v>
      </c>
      <c r="G91">
        <f t="shared" si="9"/>
        <v>-1.1015060230677318E-2</v>
      </c>
      <c r="H91">
        <f t="shared" si="10"/>
        <v>-1.0552045961246927E-2</v>
      </c>
      <c r="J91">
        <v>68</v>
      </c>
      <c r="K91" s="10">
        <v>0.2189554719101405</v>
      </c>
      <c r="L91" s="10">
        <v>0.47478096302580208</v>
      </c>
    </row>
    <row r="92" spans="1:12" x14ac:dyDescent="0.3">
      <c r="A92" s="6">
        <v>40310</v>
      </c>
      <c r="B92" s="5">
        <v>4223.4301999999998</v>
      </c>
      <c r="C92" s="5">
        <v>106.94</v>
      </c>
      <c r="D92" s="5">
        <v>99.12</v>
      </c>
      <c r="F92">
        <f t="shared" si="8"/>
        <v>-5.3014359645330873E-3</v>
      </c>
      <c r="G92">
        <f t="shared" si="9"/>
        <v>-4.6646226943966793E-3</v>
      </c>
      <c r="H92">
        <f t="shared" si="10"/>
        <v>1.0955678660975063E-2</v>
      </c>
      <c r="J92">
        <v>69</v>
      </c>
      <c r="K92" s="10">
        <v>0.19643706659758489</v>
      </c>
      <c r="L92" s="10">
        <v>0.42405593417177678</v>
      </c>
    </row>
    <row r="93" spans="1:12" x14ac:dyDescent="0.3">
      <c r="A93" s="6">
        <v>40311</v>
      </c>
      <c r="B93" s="5">
        <v>4138.6099000000004</v>
      </c>
      <c r="C93" s="5">
        <v>107.4</v>
      </c>
      <c r="D93" s="5">
        <v>99.15</v>
      </c>
      <c r="F93">
        <f t="shared" si="8"/>
        <v>-2.0287682965360373E-2</v>
      </c>
      <c r="G93">
        <f t="shared" si="9"/>
        <v>4.2922525541789734E-3</v>
      </c>
      <c r="H93">
        <f t="shared" si="10"/>
        <v>3.0261764491789641E-4</v>
      </c>
      <c r="J93">
        <v>70</v>
      </c>
      <c r="K93" s="10">
        <v>0.2931126753049399</v>
      </c>
      <c r="L93" s="10">
        <v>-8.9763051259153542E-2</v>
      </c>
    </row>
    <row r="94" spans="1:12" x14ac:dyDescent="0.3">
      <c r="A94" s="6">
        <v>40312</v>
      </c>
      <c r="B94" s="5">
        <v>4050.04</v>
      </c>
      <c r="C94" s="5">
        <v>106.01</v>
      </c>
      <c r="D94" s="5">
        <v>99</v>
      </c>
      <c r="F94">
        <f t="shared" si="8"/>
        <v>-2.1633200893120451E-2</v>
      </c>
      <c r="G94">
        <f t="shared" si="9"/>
        <v>-1.3026752789758064E-2</v>
      </c>
      <c r="H94">
        <f t="shared" si="10"/>
        <v>-1.5140048312150718E-3</v>
      </c>
      <c r="J94">
        <v>71</v>
      </c>
      <c r="K94" s="10">
        <v>0.18912013344115888</v>
      </c>
      <c r="L94" s="10">
        <v>0.27632188958021858</v>
      </c>
    </row>
    <row r="95" spans="1:12" x14ac:dyDescent="0.3">
      <c r="A95" s="6">
        <v>40315</v>
      </c>
      <c r="B95" s="5">
        <v>3902.5</v>
      </c>
      <c r="C95" s="5">
        <v>100.78</v>
      </c>
      <c r="D95" s="5">
        <v>98.06</v>
      </c>
      <c r="F95">
        <f t="shared" si="8"/>
        <v>-3.7109384205434838E-2</v>
      </c>
      <c r="G95">
        <f t="shared" si="9"/>
        <v>-5.0593506032554358E-2</v>
      </c>
      <c r="H95">
        <f t="shared" si="10"/>
        <v>-9.540313911502684E-3</v>
      </c>
      <c r="J95">
        <v>72</v>
      </c>
      <c r="K95" s="10">
        <v>0.27172909986652005</v>
      </c>
      <c r="L95" s="10">
        <v>-7.627261958872196E-2</v>
      </c>
    </row>
    <row r="96" spans="1:12" x14ac:dyDescent="0.3">
      <c r="A96" s="6">
        <v>40316</v>
      </c>
      <c r="B96" s="5">
        <v>3910.1399000000001</v>
      </c>
      <c r="C96" s="5">
        <v>100.17</v>
      </c>
      <c r="D96" s="5">
        <v>97.5</v>
      </c>
      <c r="F96">
        <f t="shared" si="8"/>
        <v>1.9557800008844751E-3</v>
      </c>
      <c r="G96">
        <f t="shared" si="9"/>
        <v>-6.0711806287792004E-3</v>
      </c>
      <c r="H96">
        <f t="shared" si="10"/>
        <v>-5.7271582192857618E-3</v>
      </c>
      <c r="J96">
        <v>73</v>
      </c>
      <c r="K96" s="10">
        <v>0.21437951727145327</v>
      </c>
      <c r="L96" s="10">
        <v>0.11535406207890894</v>
      </c>
    </row>
    <row r="97" spans="1:12" x14ac:dyDescent="0.3">
      <c r="A97" s="6">
        <v>40317</v>
      </c>
      <c r="B97" s="5">
        <v>3900</v>
      </c>
      <c r="C97" s="5">
        <v>97.96</v>
      </c>
      <c r="D97" s="5">
        <v>95.9</v>
      </c>
      <c r="F97">
        <f t="shared" si="8"/>
        <v>-2.5966002727337853E-3</v>
      </c>
      <c r="G97">
        <f t="shared" si="9"/>
        <v>-2.2309510539705982E-2</v>
      </c>
      <c r="H97">
        <f t="shared" si="10"/>
        <v>-1.6546396114408942E-2</v>
      </c>
      <c r="J97">
        <v>74</v>
      </c>
      <c r="K97" s="10">
        <v>0.25133036020785871</v>
      </c>
      <c r="L97" s="10">
        <v>2.7116820076145257E-2</v>
      </c>
    </row>
    <row r="98" spans="1:12" x14ac:dyDescent="0.3">
      <c r="A98" s="6">
        <v>40318</v>
      </c>
      <c r="B98" s="5">
        <v>3832.8</v>
      </c>
      <c r="C98" s="5">
        <v>96.66</v>
      </c>
      <c r="D98" s="5">
        <v>97.17</v>
      </c>
      <c r="F98">
        <f t="shared" si="8"/>
        <v>-1.7380946548825355E-2</v>
      </c>
      <c r="G98">
        <f t="shared" si="9"/>
        <v>-1.335956566702896E-2</v>
      </c>
      <c r="H98">
        <f t="shared" si="10"/>
        <v>1.3156039961955145E-2</v>
      </c>
      <c r="J98">
        <v>75</v>
      </c>
      <c r="K98" s="10">
        <v>0.28014499238242946</v>
      </c>
      <c r="L98" s="10">
        <v>3.9907516649963365E-2</v>
      </c>
    </row>
    <row r="99" spans="1:12" x14ac:dyDescent="0.3">
      <c r="A99" s="6">
        <v>40319</v>
      </c>
      <c r="B99" s="5">
        <v>3899.0801000000001</v>
      </c>
      <c r="C99" s="5">
        <v>94.07</v>
      </c>
      <c r="D99" s="5">
        <v>95.51</v>
      </c>
      <c r="F99">
        <f t="shared" si="8"/>
        <v>1.7145046931826849E-2</v>
      </c>
      <c r="G99">
        <f t="shared" si="9"/>
        <v>-2.716048043307798E-2</v>
      </c>
      <c r="H99">
        <f t="shared" si="10"/>
        <v>-1.7231067804701412E-2</v>
      </c>
      <c r="J99">
        <v>76</v>
      </c>
      <c r="K99" s="10">
        <v>0.30023592995894272</v>
      </c>
      <c r="L99" s="10">
        <v>5.9385394809673545E-2</v>
      </c>
    </row>
    <row r="100" spans="1:12" x14ac:dyDescent="0.3">
      <c r="A100" s="6">
        <v>40322</v>
      </c>
      <c r="B100" s="5">
        <v>3869.4398999999999</v>
      </c>
      <c r="C100" s="5">
        <v>90.06</v>
      </c>
      <c r="D100" s="5">
        <v>94.37</v>
      </c>
      <c r="F100">
        <f t="shared" si="8"/>
        <v>-7.6308856332886199E-3</v>
      </c>
      <c r="G100">
        <f t="shared" si="9"/>
        <v>-4.3563071110434413E-2</v>
      </c>
      <c r="H100">
        <f t="shared" si="10"/>
        <v>-1.2007728013404603E-2</v>
      </c>
      <c r="J100">
        <v>77</v>
      </c>
      <c r="K100" s="10">
        <v>0.28886980770240134</v>
      </c>
      <c r="L100" s="10">
        <v>9.1055966419666109E-2</v>
      </c>
    </row>
    <row r="101" spans="1:12" x14ac:dyDescent="0.3">
      <c r="A101" s="6">
        <v>40323</v>
      </c>
      <c r="B101" s="5">
        <v>3898</v>
      </c>
      <c r="C101" s="5">
        <v>85.66</v>
      </c>
      <c r="D101" s="5">
        <v>89.69</v>
      </c>
      <c r="F101">
        <f t="shared" si="8"/>
        <v>7.3538332000556081E-3</v>
      </c>
      <c r="G101">
        <f t="shared" si="9"/>
        <v>-5.0090142686200767E-2</v>
      </c>
      <c r="H101">
        <f t="shared" si="10"/>
        <v>-5.086394590333005E-2</v>
      </c>
      <c r="J101">
        <v>78</v>
      </c>
      <c r="K101" s="10">
        <v>0.24910481996781828</v>
      </c>
      <c r="L101" s="10">
        <v>-7.8669276004824054E-2</v>
      </c>
    </row>
    <row r="102" spans="1:12" x14ac:dyDescent="0.3">
      <c r="A102" s="6">
        <v>40324</v>
      </c>
      <c r="B102" s="5">
        <v>3885.6698999999999</v>
      </c>
      <c r="C102" s="5">
        <v>89.94</v>
      </c>
      <c r="D102" s="5">
        <v>91</v>
      </c>
      <c r="F102">
        <f t="shared" si="8"/>
        <v>-3.1681996980889803E-3</v>
      </c>
      <c r="G102">
        <f t="shared" si="9"/>
        <v>4.8756809155336527E-2</v>
      </c>
      <c r="H102">
        <f t="shared" si="10"/>
        <v>1.4500226386938261E-2</v>
      </c>
      <c r="J102">
        <v>79</v>
      </c>
      <c r="K102" s="10">
        <v>0.21028375313645842</v>
      </c>
      <c r="L102" s="10">
        <v>0.27485893180572996</v>
      </c>
    </row>
    <row r="103" spans="1:12" x14ac:dyDescent="0.3">
      <c r="A103" s="6">
        <v>40325</v>
      </c>
      <c r="B103" s="5">
        <v>3900.52</v>
      </c>
      <c r="C103" s="5">
        <v>90.46</v>
      </c>
      <c r="D103" s="5">
        <v>90</v>
      </c>
      <c r="F103">
        <f t="shared" si="8"/>
        <v>3.8144761935551596E-3</v>
      </c>
      <c r="G103">
        <f t="shared" si="9"/>
        <v>5.7649827071356999E-3</v>
      </c>
      <c r="H103">
        <f t="shared" si="10"/>
        <v>-1.1049836186584935E-2</v>
      </c>
      <c r="J103">
        <v>80</v>
      </c>
      <c r="K103" s="10">
        <v>0.20882329530730093</v>
      </c>
      <c r="L103" s="10">
        <v>0.12735545888803534</v>
      </c>
    </row>
    <row r="104" spans="1:12" x14ac:dyDescent="0.3">
      <c r="A104" s="6">
        <v>40326</v>
      </c>
      <c r="B104" s="5">
        <v>3902.1298999999999</v>
      </c>
      <c r="C104" s="5">
        <v>91.2</v>
      </c>
      <c r="D104" s="5">
        <v>88.65</v>
      </c>
      <c r="F104">
        <f t="shared" si="8"/>
        <v>4.1265468615853622E-4</v>
      </c>
      <c r="G104">
        <f t="shared" si="9"/>
        <v>8.1471330305886887E-3</v>
      </c>
      <c r="H104">
        <f t="shared" si="10"/>
        <v>-1.5113637810048071E-2</v>
      </c>
      <c r="J104">
        <v>81</v>
      </c>
      <c r="K104" s="10">
        <v>0.21452448644729394</v>
      </c>
      <c r="L104" s="10">
        <v>0.54997020244622585</v>
      </c>
    </row>
    <row r="105" spans="1:12" x14ac:dyDescent="0.3">
      <c r="A105" s="6">
        <v>40329</v>
      </c>
      <c r="B105" s="5">
        <v>3900</v>
      </c>
      <c r="C105" s="5">
        <v>89.03</v>
      </c>
      <c r="D105" s="5">
        <v>84.31</v>
      </c>
      <c r="F105">
        <f t="shared" si="8"/>
        <v>-5.4597913139311095E-4</v>
      </c>
      <c r="G105">
        <f t="shared" si="9"/>
        <v>-2.4081505494705925E-2</v>
      </c>
      <c r="H105">
        <f t="shared" si="10"/>
        <v>-5.0195550585632631E-2</v>
      </c>
      <c r="J105">
        <v>82</v>
      </c>
      <c r="K105" s="10">
        <v>0.2037078193203907</v>
      </c>
      <c r="L105" s="10">
        <v>0.2819425907404578</v>
      </c>
    </row>
    <row r="106" spans="1:12" x14ac:dyDescent="0.3">
      <c r="A106" s="6">
        <v>40330</v>
      </c>
      <c r="B106" s="5">
        <v>3936.75</v>
      </c>
      <c r="C106" s="5">
        <v>86.81</v>
      </c>
      <c r="D106" s="5">
        <v>82.24</v>
      </c>
      <c r="F106">
        <f t="shared" si="8"/>
        <v>9.3789566827811068E-3</v>
      </c>
      <c r="G106">
        <f t="shared" si="9"/>
        <v>-2.5251569181863224E-2</v>
      </c>
      <c r="H106">
        <f t="shared" si="10"/>
        <v>-2.4858680227729347E-2</v>
      </c>
      <c r="J106">
        <v>83</v>
      </c>
      <c r="K106" s="10">
        <v>0.1992665124764946</v>
      </c>
      <c r="L106" s="10">
        <v>0.34696835347745836</v>
      </c>
    </row>
    <row r="107" spans="1:12" x14ac:dyDescent="0.3">
      <c r="A107" s="6">
        <v>40331</v>
      </c>
      <c r="B107" s="5">
        <v>3951.23</v>
      </c>
      <c r="C107" s="5">
        <v>90.99</v>
      </c>
      <c r="D107" s="5">
        <v>84.03</v>
      </c>
      <c r="F107">
        <f t="shared" si="8"/>
        <v>3.671413027159405E-3</v>
      </c>
      <c r="G107">
        <f t="shared" si="9"/>
        <v>4.7027787964882752E-2</v>
      </c>
      <c r="H107">
        <f t="shared" si="10"/>
        <v>2.1532076233271902E-2</v>
      </c>
      <c r="J107">
        <v>84</v>
      </c>
      <c r="K107" s="10">
        <v>0.21148070804120003</v>
      </c>
      <c r="L107" s="10">
        <v>0.48286699611040568</v>
      </c>
    </row>
    <row r="108" spans="1:12" x14ac:dyDescent="0.3">
      <c r="A108" s="6">
        <v>40332</v>
      </c>
      <c r="B108" s="5">
        <v>3942.5</v>
      </c>
      <c r="C108" s="5">
        <v>91.4</v>
      </c>
      <c r="D108" s="5">
        <v>86</v>
      </c>
      <c r="F108">
        <f t="shared" si="8"/>
        <v>-2.2118829904847776E-3</v>
      </c>
      <c r="G108">
        <f t="shared" si="9"/>
        <v>4.4958680915050528E-3</v>
      </c>
      <c r="H108">
        <f t="shared" si="10"/>
        <v>2.317341831338084E-2</v>
      </c>
      <c r="J108">
        <v>85</v>
      </c>
      <c r="K108" s="10">
        <v>0.20992950051503681</v>
      </c>
      <c r="L108" s="10">
        <v>0.419817159562898</v>
      </c>
    </row>
    <row r="109" spans="1:12" x14ac:dyDescent="0.3">
      <c r="A109" s="6">
        <v>40333</v>
      </c>
      <c r="B109" s="5">
        <v>3997.01</v>
      </c>
      <c r="C109" s="5">
        <v>90.03</v>
      </c>
      <c r="D109" s="5">
        <v>86.52</v>
      </c>
      <c r="F109">
        <f t="shared" si="8"/>
        <v>1.3731541747407797E-2</v>
      </c>
      <c r="G109">
        <f t="shared" si="9"/>
        <v>-1.5102530339718905E-2</v>
      </c>
      <c r="H109">
        <f t="shared" si="10"/>
        <v>6.0283048313502343E-3</v>
      </c>
      <c r="J109">
        <v>86</v>
      </c>
      <c r="K109" s="10">
        <v>0.26257543234519076</v>
      </c>
      <c r="L109" s="10">
        <v>0.11271097907543007</v>
      </c>
    </row>
    <row r="110" spans="1:12" x14ac:dyDescent="0.3">
      <c r="A110" s="6">
        <v>40336</v>
      </c>
      <c r="B110" s="5">
        <v>3911.47</v>
      </c>
      <c r="C110" s="5">
        <v>92.22</v>
      </c>
      <c r="D110" s="5">
        <v>90.44</v>
      </c>
      <c r="F110">
        <f t="shared" si="8"/>
        <v>-2.1633319180812221E-2</v>
      </c>
      <c r="G110">
        <f t="shared" si="9"/>
        <v>2.4034078658174043E-2</v>
      </c>
      <c r="H110">
        <f t="shared" si="10"/>
        <v>4.4311046324911202E-2</v>
      </c>
      <c r="J110">
        <v>87</v>
      </c>
      <c r="K110" s="10">
        <v>0.23665473705257251</v>
      </c>
      <c r="L110" s="10">
        <v>0.6712305622592879</v>
      </c>
    </row>
    <row r="111" spans="1:12" x14ac:dyDescent="0.3">
      <c r="A111" s="6">
        <v>40337</v>
      </c>
      <c r="B111" s="5">
        <v>3904</v>
      </c>
      <c r="C111" s="5">
        <v>91.76</v>
      </c>
      <c r="D111" s="5">
        <v>90</v>
      </c>
      <c r="F111">
        <f t="shared" si="8"/>
        <v>-1.9115938708059053E-3</v>
      </c>
      <c r="G111">
        <f t="shared" si="9"/>
        <v>-5.0005539574441617E-3</v>
      </c>
      <c r="H111">
        <f t="shared" si="10"/>
        <v>-4.876977079504006E-3</v>
      </c>
      <c r="J111">
        <v>88</v>
      </c>
      <c r="K111" s="10">
        <v>0.24239357408977255</v>
      </c>
      <c r="L111" s="10">
        <v>-8.3796040857916462E-2</v>
      </c>
    </row>
    <row r="112" spans="1:12" x14ac:dyDescent="0.3">
      <c r="A112" s="6">
        <v>40338</v>
      </c>
      <c r="B112" s="5">
        <v>3949.0900999999999</v>
      </c>
      <c r="C112" s="5">
        <v>90.13</v>
      </c>
      <c r="D112" s="5">
        <v>90.8</v>
      </c>
      <c r="F112">
        <f t="shared" si="8"/>
        <v>1.1483529396147734E-2</v>
      </c>
      <c r="G112">
        <f t="shared" si="9"/>
        <v>-1.7923400252796987E-2</v>
      </c>
      <c r="H112">
        <f t="shared" si="10"/>
        <v>8.8496152769826E-3</v>
      </c>
      <c r="J112">
        <v>89</v>
      </c>
      <c r="K112" s="10">
        <v>0.21339181812711475</v>
      </c>
      <c r="L112" s="10">
        <v>0.54467733526220952</v>
      </c>
    </row>
    <row r="113" spans="1:12" x14ac:dyDescent="0.3">
      <c r="A113" s="6">
        <v>40339</v>
      </c>
      <c r="B113" s="5">
        <v>3910</v>
      </c>
      <c r="C113" s="5">
        <v>85.63</v>
      </c>
      <c r="D113" s="5">
        <v>87.91</v>
      </c>
      <c r="F113">
        <f t="shared" si="8"/>
        <v>-9.9478239497194278E-3</v>
      </c>
      <c r="G113">
        <f t="shared" si="9"/>
        <v>-5.1217383530217722E-2</v>
      </c>
      <c r="H113">
        <f t="shared" si="10"/>
        <v>-3.2345721744160429E-2</v>
      </c>
      <c r="J113">
        <v>90</v>
      </c>
      <c r="K113" s="10">
        <v>0.23452206621364366</v>
      </c>
      <c r="L113" s="10">
        <v>3.9828677143965062E-2</v>
      </c>
    </row>
    <row r="114" spans="1:12" x14ac:dyDescent="0.3">
      <c r="A114" s="6">
        <v>40340</v>
      </c>
      <c r="B114" s="5">
        <v>3987.1399000000001</v>
      </c>
      <c r="C114" s="5">
        <v>86.12</v>
      </c>
      <c r="D114" s="5">
        <v>89.71</v>
      </c>
      <c r="F114">
        <f t="shared" si="8"/>
        <v>1.9536782825715734E-2</v>
      </c>
      <c r="G114">
        <f t="shared" si="9"/>
        <v>5.7059834580616342E-3</v>
      </c>
      <c r="H114">
        <f t="shared" si="10"/>
        <v>2.0268681708104877E-2</v>
      </c>
      <c r="J114">
        <v>91</v>
      </c>
      <c r="K114" s="10">
        <v>0.21813647482639498</v>
      </c>
      <c r="L114" s="10">
        <v>0.33616601041943578</v>
      </c>
    </row>
    <row r="115" spans="1:12" x14ac:dyDescent="0.3">
      <c r="A115" s="6">
        <v>40343</v>
      </c>
      <c r="B115" s="5">
        <v>4003.45</v>
      </c>
      <c r="C115" s="5">
        <v>81.84</v>
      </c>
      <c r="D115" s="5">
        <v>86.9</v>
      </c>
      <c r="F115">
        <f t="shared" si="8"/>
        <v>4.0823325575104225E-3</v>
      </c>
      <c r="G115">
        <f t="shared" si="9"/>
        <v>-5.097555085279127E-2</v>
      </c>
      <c r="H115">
        <f t="shared" si="10"/>
        <v>-3.1824213299845631E-2</v>
      </c>
      <c r="J115">
        <v>92</v>
      </c>
      <c r="K115" s="10">
        <v>0.19296984836856618</v>
      </c>
      <c r="L115" s="10">
        <v>0.31697044978264904</v>
      </c>
    </row>
    <row r="116" spans="1:12" x14ac:dyDescent="0.3">
      <c r="A116" s="6">
        <v>40344</v>
      </c>
      <c r="B116" s="5">
        <v>4050</v>
      </c>
      <c r="C116" s="5">
        <v>82.75</v>
      </c>
      <c r="D116" s="5">
        <v>90.78</v>
      </c>
      <c r="F116">
        <f t="shared" si="8"/>
        <v>1.1560391737947508E-2</v>
      </c>
      <c r="G116">
        <f t="shared" si="9"/>
        <v>1.1057892613801121E-2</v>
      </c>
      <c r="H116">
        <f t="shared" si="10"/>
        <v>4.3680964756973174E-2</v>
      </c>
      <c r="J116">
        <v>93</v>
      </c>
      <c r="K116" s="10">
        <v>0.21633100934966215</v>
      </c>
      <c r="L116" s="10">
        <v>0.27819700048692253</v>
      </c>
    </row>
    <row r="117" spans="1:12" x14ac:dyDescent="0.3">
      <c r="A117" s="6">
        <v>40345</v>
      </c>
      <c r="B117" s="5">
        <v>4002.5</v>
      </c>
      <c r="C117" s="5">
        <v>85.45</v>
      </c>
      <c r="D117" s="5">
        <v>91.2</v>
      </c>
      <c r="F117">
        <f t="shared" si="8"/>
        <v>-1.1797715229715081E-2</v>
      </c>
      <c r="G117">
        <f t="shared" si="9"/>
        <v>3.2107395304427612E-2</v>
      </c>
      <c r="H117">
        <f t="shared" si="10"/>
        <v>4.615900051966269E-3</v>
      </c>
      <c r="J117">
        <v>94</v>
      </c>
      <c r="K117" s="10">
        <v>0.19904459886990419</v>
      </c>
      <c r="L117" s="10">
        <v>0.28866216716428561</v>
      </c>
    </row>
    <row r="118" spans="1:12" x14ac:dyDescent="0.3">
      <c r="A118" s="6">
        <v>40346</v>
      </c>
      <c r="B118" s="5">
        <v>3985</v>
      </c>
      <c r="C118" s="5">
        <v>87.3</v>
      </c>
      <c r="D118" s="5">
        <v>91.01</v>
      </c>
      <c r="F118">
        <f t="shared" si="8"/>
        <v>-4.381853646554368E-3</v>
      </c>
      <c r="G118">
        <f t="shared" si="9"/>
        <v>2.1419053283956577E-2</v>
      </c>
      <c r="H118">
        <f t="shared" si="10"/>
        <v>-2.0855064910213707E-3</v>
      </c>
      <c r="J118">
        <v>95</v>
      </c>
      <c r="K118" s="10">
        <v>0.19072915710117933</v>
      </c>
      <c r="L118" s="10">
        <v>0.29076841617789428</v>
      </c>
    </row>
    <row r="119" spans="1:12" x14ac:dyDescent="0.3">
      <c r="A119" s="6">
        <v>40347</v>
      </c>
      <c r="B119" s="5">
        <v>3951.3600999999999</v>
      </c>
      <c r="C119" s="5">
        <v>86.4</v>
      </c>
      <c r="D119" s="5">
        <v>90.16</v>
      </c>
      <c r="F119">
        <f t="shared" si="8"/>
        <v>-8.4774634828885254E-3</v>
      </c>
      <c r="G119">
        <f t="shared" si="9"/>
        <v>-1.0362787035546434E-2</v>
      </c>
      <c r="H119">
        <f t="shared" si="10"/>
        <v>-9.3835208577435977E-3</v>
      </c>
      <c r="J119">
        <v>96</v>
      </c>
      <c r="K119" s="10">
        <v>0.28787854711544186</v>
      </c>
      <c r="L119" s="10">
        <v>-7.6746496105791456E-2</v>
      </c>
    </row>
    <row r="120" spans="1:12" x14ac:dyDescent="0.3">
      <c r="A120" s="6">
        <v>40350</v>
      </c>
      <c r="B120" s="5">
        <v>3996.3798999999999</v>
      </c>
      <c r="C120" s="5">
        <v>85.8</v>
      </c>
      <c r="D120" s="5">
        <v>92.62</v>
      </c>
      <c r="F120">
        <f t="shared" si="8"/>
        <v>1.1329077578214494E-2</v>
      </c>
      <c r="G120">
        <f t="shared" si="9"/>
        <v>-6.9686693160934277E-3</v>
      </c>
      <c r="H120">
        <f t="shared" si="10"/>
        <v>2.6919231321085112E-2</v>
      </c>
      <c r="J120">
        <v>97</v>
      </c>
      <c r="K120" s="10">
        <v>0.1913927881658595</v>
      </c>
      <c r="L120" s="10">
        <v>0.31907438030314084</v>
      </c>
    </row>
    <row r="121" spans="1:12" x14ac:dyDescent="0.3">
      <c r="A121" s="6">
        <v>40351</v>
      </c>
      <c r="B121" s="5">
        <v>3910.8600999999999</v>
      </c>
      <c r="C121" s="5">
        <v>85.66</v>
      </c>
      <c r="D121" s="5">
        <v>92.1</v>
      </c>
      <c r="F121">
        <f t="shared" si="8"/>
        <v>-2.1631602106503858E-2</v>
      </c>
      <c r="G121">
        <f t="shared" si="9"/>
        <v>-1.6330343066917222E-3</v>
      </c>
      <c r="H121">
        <f t="shared" si="10"/>
        <v>-5.6301577913448423E-3</v>
      </c>
      <c r="J121">
        <v>98</v>
      </c>
      <c r="K121" s="10">
        <v>0.19223934451442182</v>
      </c>
      <c r="L121" s="10">
        <v>0.21416084903541283</v>
      </c>
    </row>
    <row r="122" spans="1:12" x14ac:dyDescent="0.3">
      <c r="A122" s="6">
        <v>40352</v>
      </c>
      <c r="B122" s="5">
        <v>3998.6399000000001</v>
      </c>
      <c r="C122" s="5">
        <v>84.81</v>
      </c>
      <c r="D122" s="5">
        <v>91.99</v>
      </c>
      <c r="F122">
        <f t="shared" si="8"/>
        <v>2.2196954067282296E-2</v>
      </c>
      <c r="G122">
        <f t="shared" si="9"/>
        <v>-9.9725118136161917E-3</v>
      </c>
      <c r="H122">
        <f t="shared" si="10"/>
        <v>-1.1950677721953155E-3</v>
      </c>
      <c r="J122">
        <v>99</v>
      </c>
      <c r="K122" s="10">
        <v>0.20193167248639496</v>
      </c>
      <c r="L122" s="10">
        <v>0.4719166353795704</v>
      </c>
    </row>
    <row r="123" spans="1:12" x14ac:dyDescent="0.3">
      <c r="A123" s="6">
        <v>40353</v>
      </c>
      <c r="B123" s="5">
        <v>4024.27</v>
      </c>
      <c r="C123" s="5">
        <v>84.25</v>
      </c>
      <c r="D123" s="5">
        <v>91.04</v>
      </c>
      <c r="F123">
        <f t="shared" si="8"/>
        <v>6.3892496637313334E-3</v>
      </c>
      <c r="G123">
        <f t="shared" si="9"/>
        <v>-6.6248911411375564E-3</v>
      </c>
      <c r="H123">
        <f t="shared" si="10"/>
        <v>-1.0380905111044982E-2</v>
      </c>
      <c r="J123">
        <v>100</v>
      </c>
      <c r="K123" s="10">
        <v>0.19708278695502679</v>
      </c>
      <c r="L123" s="10">
        <v>0.26006722760453044</v>
      </c>
    </row>
    <row r="124" spans="1:12" x14ac:dyDescent="0.3">
      <c r="A124" s="6">
        <v>40354</v>
      </c>
      <c r="B124" s="5">
        <v>4083.3200999999999</v>
      </c>
      <c r="C124" s="5">
        <v>82.61</v>
      </c>
      <c r="D124" s="5">
        <v>91</v>
      </c>
      <c r="F124">
        <f t="shared" si="8"/>
        <v>1.4566879539034048E-2</v>
      </c>
      <c r="G124">
        <f t="shared" si="9"/>
        <v>-1.9657830658057231E-2</v>
      </c>
      <c r="H124">
        <f t="shared" si="10"/>
        <v>-4.3946386117077403E-4</v>
      </c>
      <c r="J124">
        <v>101</v>
      </c>
      <c r="K124" s="10">
        <v>0.22855381770226252</v>
      </c>
      <c r="L124" s="10">
        <v>0.3943300647239098</v>
      </c>
    </row>
    <row r="125" spans="1:12" x14ac:dyDescent="0.3">
      <c r="A125" s="6">
        <v>40358</v>
      </c>
      <c r="B125" s="5">
        <v>3830</v>
      </c>
      <c r="C125" s="5">
        <v>80.59</v>
      </c>
      <c r="D125" s="5">
        <v>89.25</v>
      </c>
      <c r="F125">
        <f t="shared" si="8"/>
        <v>-6.4045604308493626E-2</v>
      </c>
      <c r="G125">
        <f t="shared" si="9"/>
        <v>-2.4756166237993968E-2</v>
      </c>
      <c r="H125">
        <f t="shared" si="10"/>
        <v>-1.9418085857101627E-2</v>
      </c>
      <c r="J125">
        <v>102</v>
      </c>
      <c r="K125" s="10">
        <v>0.21379371568209024</v>
      </c>
      <c r="L125" s="10">
        <v>0.14547149882597771</v>
      </c>
    </row>
    <row r="126" spans="1:12" x14ac:dyDescent="0.3">
      <c r="A126" s="6">
        <v>40359</v>
      </c>
      <c r="B126" s="5">
        <v>3885</v>
      </c>
      <c r="C126" s="5">
        <v>80.56</v>
      </c>
      <c r="D126" s="5">
        <v>92.65</v>
      </c>
      <c r="F126">
        <f t="shared" si="8"/>
        <v>1.4258180627056158E-2</v>
      </c>
      <c r="G126">
        <f t="shared" si="9"/>
        <v>-3.7232392611315451E-4</v>
      </c>
      <c r="H126">
        <f t="shared" si="10"/>
        <v>3.7387532071620412E-2</v>
      </c>
      <c r="J126">
        <v>103</v>
      </c>
      <c r="K126" s="10">
        <v>0.2106531188996415</v>
      </c>
      <c r="L126" s="10">
        <v>0.16049377334177575</v>
      </c>
    </row>
    <row r="127" spans="1:12" x14ac:dyDescent="0.3">
      <c r="A127" s="6">
        <v>40360</v>
      </c>
      <c r="B127" s="5">
        <v>3900</v>
      </c>
      <c r="C127" s="5">
        <v>80.819999999999993</v>
      </c>
      <c r="D127" s="5">
        <v>91.5</v>
      </c>
      <c r="F127">
        <f t="shared" si="8"/>
        <v>3.8535693159899723E-3</v>
      </c>
      <c r="G127">
        <f t="shared" si="9"/>
        <v>3.2222112400205789E-3</v>
      </c>
      <c r="H127">
        <f t="shared" si="10"/>
        <v>-1.2489980449893174E-2</v>
      </c>
      <c r="J127">
        <v>104</v>
      </c>
      <c r="K127" s="10">
        <v>0.1915143699492815</v>
      </c>
      <c r="L127" s="10">
        <v>0.28772036891697728</v>
      </c>
    </row>
    <row r="128" spans="1:12" x14ac:dyDescent="0.3">
      <c r="A128" s="6">
        <v>40361</v>
      </c>
      <c r="B128" s="5">
        <v>3909.8200999999999</v>
      </c>
      <c r="C128" s="5">
        <v>80.400000000000006</v>
      </c>
      <c r="D128" s="5">
        <v>91.5</v>
      </c>
      <c r="F128">
        <f t="shared" si="8"/>
        <v>2.5148095729914371E-3</v>
      </c>
      <c r="G128">
        <f t="shared" si="9"/>
        <v>-5.2102834654067639E-3</v>
      </c>
      <c r="H128">
        <f t="shared" si="10"/>
        <v>0</v>
      </c>
      <c r="J128">
        <v>105</v>
      </c>
      <c r="K128" s="10">
        <v>0.19087793472242687</v>
      </c>
      <c r="L128" s="10">
        <v>0.28077199820834536</v>
      </c>
    </row>
    <row r="129" spans="1:12" x14ac:dyDescent="0.3">
      <c r="A129" s="6">
        <v>40364</v>
      </c>
      <c r="B129" s="5">
        <v>3900</v>
      </c>
      <c r="C129" s="5">
        <v>79.78</v>
      </c>
      <c r="D129" s="5">
        <v>87.47</v>
      </c>
      <c r="F129">
        <f t="shared" si="8"/>
        <v>-2.5148095729914917E-3</v>
      </c>
      <c r="G129">
        <f t="shared" si="9"/>
        <v>-7.7413297076601899E-3</v>
      </c>
      <c r="H129">
        <f t="shared" si="10"/>
        <v>-4.504309484971207E-2</v>
      </c>
      <c r="J129">
        <v>106</v>
      </c>
      <c r="K129" s="10">
        <v>0.19063370453383593</v>
      </c>
      <c r="L129" s="10">
        <v>0.35076799648787543</v>
      </c>
    </row>
    <row r="130" spans="1:12" x14ac:dyDescent="0.3">
      <c r="A130" s="6">
        <v>40365</v>
      </c>
      <c r="B130" s="5">
        <v>3909.6498999999999</v>
      </c>
      <c r="C130" s="5">
        <v>78.75</v>
      </c>
      <c r="D130" s="5">
        <v>87.55</v>
      </c>
      <c r="F130">
        <f t="shared" si="8"/>
        <v>2.4712772108167916E-3</v>
      </c>
      <c r="G130">
        <f t="shared" si="9"/>
        <v>-1.2994568771518085E-2</v>
      </c>
      <c r="H130">
        <f t="shared" si="10"/>
        <v>9.1418130009719332E-4</v>
      </c>
      <c r="J130">
        <v>107</v>
      </c>
      <c r="K130" s="10">
        <v>0.285552557601985</v>
      </c>
      <c r="L130" s="10">
        <v>7.1568099197505397E-2</v>
      </c>
    </row>
    <row r="131" spans="1:12" x14ac:dyDescent="0.3">
      <c r="A131" s="6">
        <v>40366</v>
      </c>
      <c r="B131" s="5">
        <v>3940</v>
      </c>
      <c r="C131" s="5">
        <v>81.290000000000006</v>
      </c>
      <c r="D131" s="5">
        <v>89.79</v>
      </c>
      <c r="F131">
        <f t="shared" si="8"/>
        <v>7.732892963424812E-3</v>
      </c>
      <c r="G131">
        <f t="shared" si="9"/>
        <v>3.1744730052738673E-2</v>
      </c>
      <c r="H131">
        <f t="shared" si="10"/>
        <v>2.5263551800856498E-2</v>
      </c>
      <c r="J131">
        <v>108</v>
      </c>
      <c r="K131" s="10">
        <v>0.2190104347801341</v>
      </c>
      <c r="L131" s="10">
        <v>0.32131665538692655</v>
      </c>
    </row>
    <row r="132" spans="1:12" x14ac:dyDescent="0.3">
      <c r="A132" s="6">
        <v>40367</v>
      </c>
      <c r="B132" s="5">
        <v>3949.48</v>
      </c>
      <c r="C132" s="5">
        <v>82.6</v>
      </c>
      <c r="D132" s="5">
        <v>89.36</v>
      </c>
      <c r="F132">
        <f t="shared" ref="F132:F195" si="11">LN(B132/B131)</f>
        <v>2.4032013675292121E-3</v>
      </c>
      <c r="G132">
        <f t="shared" ref="G132:G195" si="12">LN(C132/C131)</f>
        <v>1.5986672768451383E-2</v>
      </c>
      <c r="H132">
        <f t="shared" ref="H132:H195" si="13">LN(D132/D131)</f>
        <v>-4.8004557717720702E-3</v>
      </c>
      <c r="J132">
        <v>109</v>
      </c>
      <c r="K132" s="10">
        <v>0.21671170128731165</v>
      </c>
      <c r="L132" s="10">
        <v>0.18647482029254714</v>
      </c>
    </row>
    <row r="133" spans="1:12" x14ac:dyDescent="0.3">
      <c r="A133" s="6">
        <v>40368</v>
      </c>
      <c r="B133" s="5">
        <v>3999.99</v>
      </c>
      <c r="C133" s="5">
        <v>84.93</v>
      </c>
      <c r="D133" s="5">
        <v>89.84</v>
      </c>
      <c r="F133">
        <f t="shared" si="11"/>
        <v>1.2707936439393977E-2</v>
      </c>
      <c r="G133">
        <f t="shared" si="12"/>
        <v>2.7817707264985798E-2</v>
      </c>
      <c r="H133">
        <f t="shared" si="13"/>
        <v>5.3571556692425864E-3</v>
      </c>
      <c r="J133">
        <v>110</v>
      </c>
      <c r="K133" s="10">
        <v>0.23188738683694538</v>
      </c>
      <c r="L133" s="10">
        <v>3.3631027851533039E-2</v>
      </c>
    </row>
    <row r="134" spans="1:12" x14ac:dyDescent="0.3">
      <c r="A134" s="6">
        <v>40371</v>
      </c>
      <c r="B134" s="5">
        <v>4000</v>
      </c>
      <c r="C134" s="5">
        <v>84.27</v>
      </c>
      <c r="D134" s="5">
        <v>89.52</v>
      </c>
      <c r="F134">
        <f t="shared" si="11"/>
        <v>2.5000031250064785E-6</v>
      </c>
      <c r="G134">
        <f t="shared" si="12"/>
        <v>-7.8014580076560154E-3</v>
      </c>
      <c r="H134">
        <f t="shared" si="13"/>
        <v>-3.5682464265180116E-3</v>
      </c>
      <c r="J134">
        <v>111</v>
      </c>
      <c r="K134" s="10">
        <v>0.22240544380637786</v>
      </c>
      <c r="L134" s="10">
        <v>0.2747096369273192</v>
      </c>
    </row>
    <row r="135" spans="1:12" x14ac:dyDescent="0.3">
      <c r="A135" s="6">
        <v>40372</v>
      </c>
      <c r="B135" s="5">
        <v>3999.99</v>
      </c>
      <c r="C135" s="5">
        <v>86.59</v>
      </c>
      <c r="D135" s="5">
        <v>90.38</v>
      </c>
      <c r="F135">
        <f t="shared" si="11"/>
        <v>-2.5000031250215862E-6</v>
      </c>
      <c r="G135">
        <f t="shared" si="12"/>
        <v>2.7158405675447941E-2</v>
      </c>
      <c r="H135">
        <f t="shared" si="13"/>
        <v>9.56093997946382E-3</v>
      </c>
      <c r="J135">
        <v>112</v>
      </c>
      <c r="K135" s="10">
        <v>0.26005130055764936</v>
      </c>
      <c r="L135" s="10">
        <v>-5.185511182409918E-2</v>
      </c>
    </row>
    <row r="136" spans="1:12" x14ac:dyDescent="0.3">
      <c r="A136" s="6">
        <v>40373</v>
      </c>
      <c r="B136" s="5">
        <v>3997.8200999999999</v>
      </c>
      <c r="C136" s="5">
        <v>90.91</v>
      </c>
      <c r="D136" s="5">
        <v>92.9</v>
      </c>
      <c r="F136">
        <f t="shared" si="11"/>
        <v>-5.4262354972446321E-4</v>
      </c>
      <c r="G136">
        <f t="shared" si="12"/>
        <v>4.8685670674057005E-2</v>
      </c>
      <c r="H136">
        <f t="shared" si="13"/>
        <v>2.7500641836659331E-2</v>
      </c>
      <c r="J136">
        <v>113</v>
      </c>
      <c r="K136" s="10">
        <v>0.19077357814070811</v>
      </c>
      <c r="L136" s="10">
        <v>0.27138299410549721</v>
      </c>
    </row>
    <row r="137" spans="1:12" x14ac:dyDescent="0.3">
      <c r="A137" s="6">
        <v>40374</v>
      </c>
      <c r="B137" s="5">
        <v>3999.77</v>
      </c>
      <c r="C137" s="5">
        <v>91.6</v>
      </c>
      <c r="D137" s="5">
        <v>92.89</v>
      </c>
      <c r="F137">
        <f t="shared" si="11"/>
        <v>4.876218996610814E-4</v>
      </c>
      <c r="G137">
        <f t="shared" si="12"/>
        <v>7.5612655463176215E-3</v>
      </c>
      <c r="H137">
        <f t="shared" si="13"/>
        <v>-1.0764842036340962E-4</v>
      </c>
      <c r="J137">
        <v>114</v>
      </c>
      <c r="K137" s="10">
        <v>0.20435302598067698</v>
      </c>
      <c r="L137" s="10">
        <v>0.28345687199961034</v>
      </c>
    </row>
    <row r="138" spans="1:12" x14ac:dyDescent="0.3">
      <c r="A138" s="6">
        <v>40375</v>
      </c>
      <c r="B138" s="5">
        <v>3982.97</v>
      </c>
      <c r="C138" s="5">
        <v>91.6</v>
      </c>
      <c r="D138" s="5">
        <v>92.5</v>
      </c>
      <c r="F138">
        <f t="shared" si="11"/>
        <v>-4.2090873066078045E-3</v>
      </c>
      <c r="G138">
        <f t="shared" si="12"/>
        <v>0</v>
      </c>
      <c r="H138">
        <f t="shared" si="13"/>
        <v>-4.2073528810499935E-3</v>
      </c>
      <c r="J138">
        <v>115</v>
      </c>
      <c r="K138" s="10">
        <v>0.19134338331360207</v>
      </c>
      <c r="L138" s="10">
        <v>0.2255652715226481</v>
      </c>
    </row>
    <row r="139" spans="1:12" x14ac:dyDescent="0.3">
      <c r="A139" s="6">
        <v>40378</v>
      </c>
      <c r="B139" s="5">
        <v>3947.3400999999999</v>
      </c>
      <c r="C139" s="5">
        <v>91.75</v>
      </c>
      <c r="D139" s="5">
        <v>93.38</v>
      </c>
      <c r="F139">
        <f t="shared" si="11"/>
        <v>-8.9858124826292483E-3</v>
      </c>
      <c r="G139">
        <f t="shared" si="12"/>
        <v>1.6362152545950318E-3</v>
      </c>
      <c r="H139">
        <f t="shared" si="13"/>
        <v>9.4685450244113151E-3</v>
      </c>
      <c r="J139">
        <v>116</v>
      </c>
      <c r="K139" s="10">
        <v>0.2874478504374206</v>
      </c>
      <c r="L139" s="10">
        <v>-2.3842180315468545E-2</v>
      </c>
    </row>
    <row r="140" spans="1:12" x14ac:dyDescent="0.3">
      <c r="A140" s="6">
        <v>40379</v>
      </c>
      <c r="B140" s="5">
        <v>3977.3301000000001</v>
      </c>
      <c r="C140" s="5">
        <v>90.45</v>
      </c>
      <c r="D140" s="5">
        <v>92.72</v>
      </c>
      <c r="F140">
        <f t="shared" si="11"/>
        <v>7.5688053666033905E-3</v>
      </c>
      <c r="G140">
        <f t="shared" si="12"/>
        <v>-1.4270275093375499E-2</v>
      </c>
      <c r="H140">
        <f t="shared" si="13"/>
        <v>-7.0929905112946823E-3</v>
      </c>
      <c r="J140">
        <v>117</v>
      </c>
      <c r="K140" s="10">
        <v>0.18945085246565641</v>
      </c>
      <c r="L140" s="10">
        <v>0.3465285943772406</v>
      </c>
    </row>
    <row r="141" spans="1:12" x14ac:dyDescent="0.3">
      <c r="A141" s="6">
        <v>40380</v>
      </c>
      <c r="B141" s="5">
        <v>3952.3301000000001</v>
      </c>
      <c r="C141" s="5">
        <v>90.06</v>
      </c>
      <c r="D141" s="5">
        <v>94.75</v>
      </c>
      <c r="F141">
        <f t="shared" si="11"/>
        <v>-6.3054613187250221E-3</v>
      </c>
      <c r="G141">
        <f t="shared" si="12"/>
        <v>-4.3210969678785117E-3</v>
      </c>
      <c r="H141">
        <f t="shared" si="13"/>
        <v>2.1657644931039558E-2</v>
      </c>
      <c r="J141">
        <v>118</v>
      </c>
      <c r="K141" s="10">
        <v>0.19059592985667859</v>
      </c>
      <c r="L141" s="10">
        <v>0.25471966241340493</v>
      </c>
    </row>
    <row r="142" spans="1:12" x14ac:dyDescent="0.3">
      <c r="A142" s="6">
        <v>40381</v>
      </c>
      <c r="B142" s="5">
        <v>3963.25</v>
      </c>
      <c r="C142" s="5">
        <v>89.03</v>
      </c>
      <c r="D142" s="5">
        <v>91.53</v>
      </c>
      <c r="F142">
        <f t="shared" si="11"/>
        <v>2.7590920158565421E-3</v>
      </c>
      <c r="G142">
        <f t="shared" si="12"/>
        <v>-1.1502723287845733E-2</v>
      </c>
      <c r="H142">
        <f t="shared" si="13"/>
        <v>-3.4575056565847723E-2</v>
      </c>
      <c r="J142">
        <v>119</v>
      </c>
      <c r="K142" s="10">
        <v>0.21933154283781395</v>
      </c>
      <c r="L142" s="10">
        <v>0.35577071078073275</v>
      </c>
    </row>
    <row r="143" spans="1:12" x14ac:dyDescent="0.3">
      <c r="A143" s="6">
        <v>40382</v>
      </c>
      <c r="B143" s="5">
        <v>4008</v>
      </c>
      <c r="C143" s="5">
        <v>88.85</v>
      </c>
      <c r="D143" s="5">
        <v>92.5</v>
      </c>
      <c r="F143">
        <f t="shared" si="11"/>
        <v>1.1227968041363456E-2</v>
      </c>
      <c r="G143">
        <f t="shared" si="12"/>
        <v>-2.0238369849195047E-3</v>
      </c>
      <c r="H143">
        <f t="shared" si="13"/>
        <v>1.0541857121691468E-2</v>
      </c>
      <c r="J143">
        <v>120</v>
      </c>
      <c r="K143" s="10">
        <v>0.2024257889485401</v>
      </c>
      <c r="L143" s="10">
        <v>0.25630480612705908</v>
      </c>
    </row>
    <row r="144" spans="1:12" x14ac:dyDescent="0.3">
      <c r="A144" s="6">
        <v>40385</v>
      </c>
      <c r="B144" s="5">
        <v>3952</v>
      </c>
      <c r="C144" s="5">
        <v>87.78</v>
      </c>
      <c r="D144" s="5">
        <v>91.15</v>
      </c>
      <c r="F144">
        <f t="shared" si="11"/>
        <v>-1.4070583896942331E-2</v>
      </c>
      <c r="G144">
        <f t="shared" si="12"/>
        <v>-1.2115870340572358E-2</v>
      </c>
      <c r="H144">
        <f t="shared" si="13"/>
        <v>-1.4702143393707427E-2</v>
      </c>
      <c r="J144">
        <v>121</v>
      </c>
      <c r="K144" s="10">
        <v>0.18931137875342491</v>
      </c>
      <c r="L144" s="10">
        <v>0.33992884311962912</v>
      </c>
    </row>
    <row r="145" spans="1:12" x14ac:dyDescent="0.3">
      <c r="A145" s="6">
        <v>40386</v>
      </c>
      <c r="B145" s="5">
        <v>3996.5</v>
      </c>
      <c r="C145" s="5">
        <v>88.31</v>
      </c>
      <c r="D145" s="5">
        <v>91.69</v>
      </c>
      <c r="F145">
        <f t="shared" si="11"/>
        <v>1.1197198198315311E-2</v>
      </c>
      <c r="G145">
        <f t="shared" si="12"/>
        <v>6.0196672206230166E-3</v>
      </c>
      <c r="H145">
        <f t="shared" si="13"/>
        <v>5.9068209371372603E-3</v>
      </c>
      <c r="J145">
        <v>122</v>
      </c>
      <c r="K145" s="10">
        <v>0.20249305099348031</v>
      </c>
      <c r="L145" s="10">
        <v>0.12093427948482979</v>
      </c>
    </row>
    <row r="146" spans="1:12" x14ac:dyDescent="0.3">
      <c r="A146" s="6">
        <v>40387</v>
      </c>
      <c r="B146" s="5">
        <v>3961.1698999999999</v>
      </c>
      <c r="C146" s="5">
        <v>91.06</v>
      </c>
      <c r="D146" s="5">
        <v>92.5</v>
      </c>
      <c r="F146">
        <f t="shared" si="11"/>
        <v>-8.8795671552588003E-3</v>
      </c>
      <c r="G146">
        <f t="shared" si="12"/>
        <v>3.0665278425925271E-2</v>
      </c>
      <c r="H146">
        <f t="shared" si="13"/>
        <v>8.7953224565700469E-3</v>
      </c>
      <c r="J146">
        <v>123</v>
      </c>
      <c r="K146" s="10">
        <v>0.25512906552955833</v>
      </c>
      <c r="L146" s="10">
        <v>0.74172063006989575</v>
      </c>
    </row>
    <row r="147" spans="1:12" x14ac:dyDescent="0.3">
      <c r="A147" s="6">
        <v>40388</v>
      </c>
      <c r="B147" s="5">
        <v>3999.46</v>
      </c>
      <c r="C147" s="5">
        <v>89.97</v>
      </c>
      <c r="D147" s="5">
        <v>92.71</v>
      </c>
      <c r="F147">
        <f t="shared" si="11"/>
        <v>9.6199410778926072E-3</v>
      </c>
      <c r="G147">
        <f t="shared" si="12"/>
        <v>-1.2042348477608609E-2</v>
      </c>
      <c r="H147">
        <f t="shared" si="13"/>
        <v>2.2676971005114129E-3</v>
      </c>
      <c r="J147">
        <v>124</v>
      </c>
      <c r="K147" s="10">
        <v>0.188703421131838</v>
      </c>
      <c r="L147" s="10">
        <v>0.30652597186263342</v>
      </c>
    </row>
    <row r="148" spans="1:12" x14ac:dyDescent="0.3">
      <c r="A148" s="6">
        <v>40389</v>
      </c>
      <c r="B148" s="5">
        <v>3991.6799000000001</v>
      </c>
      <c r="C148" s="5">
        <v>91.5</v>
      </c>
      <c r="D148" s="5">
        <v>93.63</v>
      </c>
      <c r="F148">
        <f t="shared" si="11"/>
        <v>-1.9471821431130316E-3</v>
      </c>
      <c r="G148">
        <f t="shared" si="12"/>
        <v>1.6862690852448282E-2</v>
      </c>
      <c r="H148">
        <f t="shared" si="13"/>
        <v>9.8745033319068438E-3</v>
      </c>
      <c r="J148">
        <v>125</v>
      </c>
      <c r="K148" s="10">
        <v>0.19792897809857313</v>
      </c>
      <c r="L148" s="10">
        <v>0.42896022109075288</v>
      </c>
    </row>
    <row r="149" spans="1:12" x14ac:dyDescent="0.3">
      <c r="A149" s="6">
        <v>40392</v>
      </c>
      <c r="B149" s="5">
        <v>3965.25</v>
      </c>
      <c r="C149" s="5">
        <v>88.98</v>
      </c>
      <c r="D149" s="5">
        <v>92.63</v>
      </c>
      <c r="F149">
        <f t="shared" si="11"/>
        <v>-6.6432650619251557E-3</v>
      </c>
      <c r="G149">
        <f t="shared" si="12"/>
        <v>-2.7927346903579849E-2</v>
      </c>
      <c r="H149">
        <f t="shared" si="13"/>
        <v>-1.0737781684861582E-2</v>
      </c>
      <c r="J149">
        <v>126</v>
      </c>
      <c r="K149" s="10">
        <v>0.21388244468445883</v>
      </c>
      <c r="L149" s="10">
        <v>0.38292093106568337</v>
      </c>
    </row>
    <row r="150" spans="1:12" x14ac:dyDescent="0.3">
      <c r="A150" s="6">
        <v>40393</v>
      </c>
      <c r="B150" s="5">
        <v>4000</v>
      </c>
      <c r="C150" s="5">
        <v>88.81</v>
      </c>
      <c r="D150" s="5">
        <v>92.33</v>
      </c>
      <c r="F150">
        <f t="shared" si="11"/>
        <v>8.7254563183584311E-3</v>
      </c>
      <c r="G150">
        <f t="shared" si="12"/>
        <v>-1.912369107483033E-3</v>
      </c>
      <c r="H150">
        <f t="shared" si="13"/>
        <v>-3.2439474813995544E-3</v>
      </c>
      <c r="J150">
        <v>127</v>
      </c>
      <c r="K150" s="10">
        <v>0.19279187569827574</v>
      </c>
      <c r="L150" s="10">
        <v>0.37317739304287922</v>
      </c>
    </row>
    <row r="151" spans="1:12" x14ac:dyDescent="0.3">
      <c r="A151" s="6">
        <v>40394</v>
      </c>
      <c r="B151" s="5">
        <v>3987.52</v>
      </c>
      <c r="C151" s="5">
        <v>92.02</v>
      </c>
      <c r="D151" s="5">
        <v>92.93</v>
      </c>
      <c r="F151">
        <f t="shared" si="11"/>
        <v>-3.124877347524931E-3</v>
      </c>
      <c r="G151">
        <f t="shared" si="12"/>
        <v>3.5506688456909817E-2</v>
      </c>
      <c r="H151">
        <f t="shared" si="13"/>
        <v>6.4774057847115808E-3</v>
      </c>
      <c r="J151">
        <v>128</v>
      </c>
      <c r="K151" s="10">
        <v>0.22157034174051218</v>
      </c>
      <c r="L151" s="10">
        <v>0.44455200763365416</v>
      </c>
    </row>
    <row r="152" spans="1:12" x14ac:dyDescent="0.3">
      <c r="A152" s="6">
        <v>40395</v>
      </c>
      <c r="B152" s="5">
        <v>3999.7</v>
      </c>
      <c r="C152" s="5">
        <v>89.29</v>
      </c>
      <c r="D152" s="5">
        <v>92.22</v>
      </c>
      <c r="F152">
        <f t="shared" si="11"/>
        <v>3.0498745348842794E-3</v>
      </c>
      <c r="G152">
        <f t="shared" si="12"/>
        <v>-3.0116445198197402E-2</v>
      </c>
      <c r="H152">
        <f t="shared" si="13"/>
        <v>-7.6694947906885327E-3</v>
      </c>
      <c r="J152">
        <v>129</v>
      </c>
      <c r="K152" s="10">
        <v>0.19858610495550344</v>
      </c>
      <c r="L152" s="10">
        <v>0.32616504801973911</v>
      </c>
    </row>
    <row r="153" spans="1:12" x14ac:dyDescent="0.3">
      <c r="A153" s="6">
        <v>40396</v>
      </c>
      <c r="B153" s="5">
        <v>3958.1298999999999</v>
      </c>
      <c r="C153" s="5">
        <v>86.98</v>
      </c>
      <c r="D153" s="5">
        <v>91.84</v>
      </c>
      <c r="F153">
        <f t="shared" si="11"/>
        <v>-1.0447692059565861E-2</v>
      </c>
      <c r="G153">
        <f t="shared" si="12"/>
        <v>-2.6211292359632779E-2</v>
      </c>
      <c r="H153">
        <f t="shared" si="13"/>
        <v>-4.1290942073031823E-3</v>
      </c>
      <c r="J153">
        <v>130</v>
      </c>
      <c r="K153" s="10">
        <v>0.21928602973129496</v>
      </c>
      <c r="L153" s="10">
        <v>0.33559581041597797</v>
      </c>
    </row>
    <row r="154" spans="1:12" x14ac:dyDescent="0.3">
      <c r="A154" s="6">
        <v>40399</v>
      </c>
      <c r="B154" s="5">
        <v>3960.3400999999999</v>
      </c>
      <c r="C154" s="5">
        <v>82.81</v>
      </c>
      <c r="D154" s="5">
        <v>89.26</v>
      </c>
      <c r="F154">
        <f t="shared" si="11"/>
        <v>5.5823916928321156E-4</v>
      </c>
      <c r="G154">
        <f t="shared" si="12"/>
        <v>-4.9129380123883661E-2</v>
      </c>
      <c r="H154">
        <f t="shared" si="13"/>
        <v>-2.8494473370132473E-2</v>
      </c>
      <c r="J154">
        <v>131</v>
      </c>
      <c r="K154" s="10">
        <v>0.22856112100106193</v>
      </c>
      <c r="L154" s="10">
        <v>-2.3635260503591736E-2</v>
      </c>
    </row>
    <row r="155" spans="1:12" x14ac:dyDescent="0.3">
      <c r="A155" s="6">
        <v>40400</v>
      </c>
      <c r="B155" s="5">
        <v>3932.6298999999999</v>
      </c>
      <c r="C155" s="5">
        <v>81.08</v>
      </c>
      <c r="D155" s="5">
        <v>89</v>
      </c>
      <c r="F155">
        <f t="shared" si="11"/>
        <v>-7.0215175901065805E-3</v>
      </c>
      <c r="G155">
        <f t="shared" si="12"/>
        <v>-2.1112505461809428E-2</v>
      </c>
      <c r="H155">
        <f t="shared" si="13"/>
        <v>-2.9170894689840221E-3</v>
      </c>
      <c r="J155">
        <v>132</v>
      </c>
      <c r="K155" s="10">
        <v>0.20920903648084366</v>
      </c>
      <c r="L155" s="10">
        <v>0.51124941978034644</v>
      </c>
    </row>
    <row r="156" spans="1:12" x14ac:dyDescent="0.3">
      <c r="A156" s="6">
        <v>40401</v>
      </c>
      <c r="B156" s="5">
        <v>3901.75</v>
      </c>
      <c r="C156" s="5">
        <v>82.8</v>
      </c>
      <c r="D156" s="5">
        <v>88.8</v>
      </c>
      <c r="F156">
        <f t="shared" si="11"/>
        <v>-7.8832173863347815E-3</v>
      </c>
      <c r="G156">
        <f t="shared" si="12"/>
        <v>2.0991739807414679E-2</v>
      </c>
      <c r="H156">
        <f t="shared" si="13"/>
        <v>-2.2497197340154416E-3</v>
      </c>
      <c r="J156">
        <v>133</v>
      </c>
      <c r="K156" s="10">
        <v>0.22498898911068485</v>
      </c>
      <c r="L156" s="10">
        <v>2.1292388375850166E-2</v>
      </c>
    </row>
    <row r="157" spans="1:12" x14ac:dyDescent="0.3">
      <c r="A157" s="6">
        <v>40402</v>
      </c>
      <c r="B157" s="5">
        <v>3939.49</v>
      </c>
      <c r="C157" s="5">
        <v>81.53</v>
      </c>
      <c r="D157" s="5">
        <v>89</v>
      </c>
      <c r="F157">
        <f t="shared" si="11"/>
        <v>9.6261028666610182E-3</v>
      </c>
      <c r="G157">
        <f t="shared" si="12"/>
        <v>-1.5457010716394558E-2</v>
      </c>
      <c r="H157">
        <f t="shared" si="13"/>
        <v>2.2497197340155461E-3</v>
      </c>
      <c r="J157">
        <v>134</v>
      </c>
      <c r="K157" s="10">
        <v>0.19324334067242957</v>
      </c>
      <c r="L157" s="10">
        <v>0.24789934117795889</v>
      </c>
    </row>
    <row r="158" spans="1:12" x14ac:dyDescent="0.3">
      <c r="A158" s="6">
        <v>40403</v>
      </c>
      <c r="B158" s="5">
        <v>3900</v>
      </c>
      <c r="C158" s="5">
        <v>81.39</v>
      </c>
      <c r="D158" s="5">
        <v>88</v>
      </c>
      <c r="F158">
        <f t="shared" si="11"/>
        <v>-1.0074720171586136E-2</v>
      </c>
      <c r="G158">
        <f t="shared" si="12"/>
        <v>-1.718635335869351E-3</v>
      </c>
      <c r="H158">
        <f t="shared" si="13"/>
        <v>-1.1299555253933394E-2</v>
      </c>
      <c r="J158">
        <v>135</v>
      </c>
      <c r="K158" s="10">
        <v>0.22589326077145522</v>
      </c>
      <c r="L158" s="10">
        <v>0.15851689271873273</v>
      </c>
    </row>
    <row r="159" spans="1:12" x14ac:dyDescent="0.3">
      <c r="A159" s="6">
        <v>40406</v>
      </c>
      <c r="B159" s="5">
        <v>3838.3400999999999</v>
      </c>
      <c r="C159" s="5">
        <v>77.33</v>
      </c>
      <c r="D159" s="5">
        <v>85</v>
      </c>
      <c r="F159">
        <f t="shared" si="11"/>
        <v>-1.593654561468278E-2</v>
      </c>
      <c r="G159">
        <f t="shared" si="12"/>
        <v>-5.1170436718005974E-2</v>
      </c>
      <c r="H159">
        <f t="shared" si="13"/>
        <v>-3.4685557987889984E-2</v>
      </c>
      <c r="J159">
        <v>136</v>
      </c>
      <c r="K159" s="10">
        <v>0.19506420602763228</v>
      </c>
      <c r="L159" s="10">
        <v>0.37720637267520757</v>
      </c>
    </row>
    <row r="160" spans="1:12" x14ac:dyDescent="0.3">
      <c r="A160" s="6">
        <v>40407</v>
      </c>
      <c r="B160" s="5">
        <v>3813.3301000000001</v>
      </c>
      <c r="C160" s="5">
        <v>76.12</v>
      </c>
      <c r="D160" s="5">
        <v>83.32</v>
      </c>
      <c r="F160">
        <f t="shared" si="11"/>
        <v>-6.5371581398331905E-3</v>
      </c>
      <c r="G160">
        <f t="shared" si="12"/>
        <v>-1.5770936192995237E-2</v>
      </c>
      <c r="H160">
        <f t="shared" si="13"/>
        <v>-1.9962640097545288E-2</v>
      </c>
      <c r="J160">
        <v>137</v>
      </c>
      <c r="K160" s="10">
        <v>0.19228679260111506</v>
      </c>
      <c r="L160" s="10">
        <v>0.34547169306583497</v>
      </c>
    </row>
    <row r="161" spans="1:12" x14ac:dyDescent="0.3">
      <c r="A161" s="6">
        <v>40408</v>
      </c>
      <c r="B161" s="5">
        <v>3874.29</v>
      </c>
      <c r="C161" s="5">
        <v>76.38</v>
      </c>
      <c r="D161" s="5">
        <v>83.8</v>
      </c>
      <c r="F161">
        <f t="shared" si="11"/>
        <v>1.5859570829875189E-2</v>
      </c>
      <c r="G161">
        <f t="shared" si="12"/>
        <v>3.4098393694211903E-3</v>
      </c>
      <c r="H161">
        <f t="shared" si="13"/>
        <v>5.7443910952661784E-3</v>
      </c>
      <c r="J161">
        <v>138</v>
      </c>
      <c r="K161" s="10">
        <v>0.2526549737936204</v>
      </c>
      <c r="L161" s="10">
        <v>0.7358702293259175</v>
      </c>
    </row>
    <row r="162" spans="1:12" x14ac:dyDescent="0.3">
      <c r="A162" s="6">
        <v>40409</v>
      </c>
      <c r="B162" s="5">
        <v>3922.3798999999999</v>
      </c>
      <c r="C162" s="5">
        <v>80.040000000000006</v>
      </c>
      <c r="D162" s="5">
        <v>86.17</v>
      </c>
      <c r="F162">
        <f t="shared" si="11"/>
        <v>1.233616671717231E-2</v>
      </c>
      <c r="G162">
        <f t="shared" si="12"/>
        <v>4.6805627918162729E-2</v>
      </c>
      <c r="H162">
        <f t="shared" si="13"/>
        <v>2.7889081763638246E-2</v>
      </c>
      <c r="J162">
        <v>139</v>
      </c>
      <c r="K162" s="10">
        <v>0.18897961170343949</v>
      </c>
      <c r="L162" s="10">
        <v>0.29646599362063897</v>
      </c>
    </row>
    <row r="163" spans="1:12" x14ac:dyDescent="0.3">
      <c r="A163" s="6">
        <v>40410</v>
      </c>
      <c r="B163" s="5">
        <v>3970.5900999999999</v>
      </c>
      <c r="C163" s="5">
        <v>82.12</v>
      </c>
      <c r="D163" s="5">
        <v>86.23</v>
      </c>
      <c r="F163">
        <f t="shared" si="11"/>
        <v>1.2216136523655064E-2</v>
      </c>
      <c r="G163">
        <f t="shared" si="12"/>
        <v>2.5655082435200104E-2</v>
      </c>
      <c r="H163">
        <f t="shared" si="13"/>
        <v>6.9605571255768636E-4</v>
      </c>
      <c r="J163">
        <v>140</v>
      </c>
      <c r="K163" s="10">
        <v>0.26323659318990816</v>
      </c>
      <c r="L163" s="10">
        <v>-4.8908083233994419E-2</v>
      </c>
    </row>
    <row r="164" spans="1:12" x14ac:dyDescent="0.3">
      <c r="A164" s="6">
        <v>40413</v>
      </c>
      <c r="B164" s="5">
        <v>3970</v>
      </c>
      <c r="C164" s="5">
        <v>82.93</v>
      </c>
      <c r="D164" s="5">
        <v>84.5</v>
      </c>
      <c r="F164">
        <f t="shared" si="11"/>
        <v>-1.486287526883371E-4</v>
      </c>
      <c r="G164">
        <f t="shared" si="12"/>
        <v>9.8152863123795141E-3</v>
      </c>
      <c r="H164">
        <f t="shared" si="13"/>
        <v>-2.0266610601105003E-2</v>
      </c>
      <c r="J164">
        <v>141</v>
      </c>
      <c r="K164" s="10">
        <v>0.22708207795775429</v>
      </c>
      <c r="L164" s="10">
        <v>0.59252039644643806</v>
      </c>
    </row>
    <row r="165" spans="1:12" x14ac:dyDescent="0.3">
      <c r="A165" s="6">
        <v>40414</v>
      </c>
      <c r="B165" s="5">
        <v>3952.72</v>
      </c>
      <c r="C165" s="5">
        <v>80.239999999999995</v>
      </c>
      <c r="D165" s="5">
        <v>84.5</v>
      </c>
      <c r="F165">
        <f t="shared" si="11"/>
        <v>-4.3621451725565337E-3</v>
      </c>
      <c r="G165">
        <f t="shared" si="12"/>
        <v>-3.2974734809432464E-2</v>
      </c>
      <c r="H165">
        <f t="shared" si="13"/>
        <v>0</v>
      </c>
      <c r="J165">
        <v>142</v>
      </c>
      <c r="K165" s="10">
        <v>0.20881887182665348</v>
      </c>
      <c r="L165" s="10">
        <v>0.3706243273758052</v>
      </c>
    </row>
    <row r="166" spans="1:12" x14ac:dyDescent="0.3">
      <c r="A166" s="6">
        <v>40415</v>
      </c>
      <c r="B166" s="5">
        <v>3993.0700999999999</v>
      </c>
      <c r="C166" s="5">
        <v>77.510000000000005</v>
      </c>
      <c r="D166" s="5">
        <v>81</v>
      </c>
      <c r="F166">
        <f t="shared" si="11"/>
        <v>1.0156434122956212E-2</v>
      </c>
      <c r="G166">
        <f t="shared" si="12"/>
        <v>-3.4615183360259962E-2</v>
      </c>
      <c r="H166">
        <f t="shared" si="13"/>
        <v>-4.2302379690689389E-2</v>
      </c>
      <c r="J166">
        <v>143</v>
      </c>
      <c r="K166" s="10">
        <v>0.19199442783874784</v>
      </c>
      <c r="L166" s="10">
        <v>0.3957302383989787</v>
      </c>
    </row>
    <row r="167" spans="1:12" x14ac:dyDescent="0.3">
      <c r="A167" s="6">
        <v>40416</v>
      </c>
      <c r="B167" s="5">
        <v>3999.03</v>
      </c>
      <c r="C167" s="5">
        <v>79.86</v>
      </c>
      <c r="D167" s="5">
        <v>79.510000000000005</v>
      </c>
      <c r="F167">
        <f t="shared" si="11"/>
        <v>1.4914480625125152E-3</v>
      </c>
      <c r="G167">
        <f t="shared" si="12"/>
        <v>2.9868141341655236E-2</v>
      </c>
      <c r="H167">
        <f t="shared" si="13"/>
        <v>-1.8566354759046604E-2</v>
      </c>
      <c r="J167">
        <v>144</v>
      </c>
      <c r="K167" s="10">
        <v>0.26766294614445019</v>
      </c>
      <c r="L167" s="10">
        <v>-8.0947957790697689E-2</v>
      </c>
    </row>
    <row r="168" spans="1:12" x14ac:dyDescent="0.3">
      <c r="A168" s="6">
        <v>40417</v>
      </c>
      <c r="B168" s="5">
        <v>4042.3301000000001</v>
      </c>
      <c r="C168" s="5">
        <v>79.849999999999994</v>
      </c>
      <c r="D168" s="5">
        <v>80</v>
      </c>
      <c r="F168">
        <f t="shared" si="11"/>
        <v>1.0769451426150895E-2</v>
      </c>
      <c r="G168">
        <f t="shared" si="12"/>
        <v>-1.252269740538511E-4</v>
      </c>
      <c r="H168">
        <f t="shared" si="13"/>
        <v>6.143834760489528E-3</v>
      </c>
      <c r="J168">
        <v>145</v>
      </c>
      <c r="K168" s="10">
        <v>0.19368951299391943</v>
      </c>
      <c r="L168" s="10">
        <v>0.29528529585965546</v>
      </c>
    </row>
    <row r="169" spans="1:12" x14ac:dyDescent="0.3">
      <c r="A169" s="6">
        <v>40420</v>
      </c>
      <c r="B169" s="5">
        <v>3971.8</v>
      </c>
      <c r="C169" s="5">
        <v>77.44</v>
      </c>
      <c r="D169" s="5">
        <v>79</v>
      </c>
      <c r="F169">
        <f t="shared" si="11"/>
        <v>-1.7601890690234979E-2</v>
      </c>
      <c r="G169">
        <f t="shared" si="12"/>
        <v>-3.0646431692699785E-2</v>
      </c>
      <c r="H169">
        <f t="shared" si="13"/>
        <v>-1.2578782206860073E-2</v>
      </c>
      <c r="J169">
        <v>146</v>
      </c>
      <c r="K169" s="10">
        <v>0.19746932734116898</v>
      </c>
      <c r="L169" s="10">
        <v>0.25766717297841296</v>
      </c>
    </row>
    <row r="170" spans="1:12" x14ac:dyDescent="0.3">
      <c r="A170" s="6">
        <v>40421</v>
      </c>
      <c r="B170" s="5">
        <v>3930.04</v>
      </c>
      <c r="C170" s="5">
        <v>80.180000000000007</v>
      </c>
      <c r="D170" s="5">
        <v>80.900000000000006</v>
      </c>
      <c r="F170">
        <f t="shared" si="11"/>
        <v>-1.0569788501505785E-2</v>
      </c>
      <c r="G170">
        <f t="shared" si="12"/>
        <v>3.4770664246039418E-2</v>
      </c>
      <c r="H170">
        <f t="shared" si="13"/>
        <v>2.3765971597424638E-2</v>
      </c>
      <c r="J170">
        <v>147</v>
      </c>
      <c r="K170" s="10">
        <v>0.19030872557971945</v>
      </c>
      <c r="L170" s="10">
        <v>0.24354223589545987</v>
      </c>
    </row>
    <row r="171" spans="1:12" x14ac:dyDescent="0.3">
      <c r="A171" s="6">
        <v>40422</v>
      </c>
      <c r="B171" s="5">
        <v>3984.3301000000001</v>
      </c>
      <c r="C171" s="5">
        <v>79.02</v>
      </c>
      <c r="D171" s="5">
        <v>78.39</v>
      </c>
      <c r="F171">
        <f t="shared" si="11"/>
        <v>1.3719588769229114E-2</v>
      </c>
      <c r="G171">
        <f t="shared" si="12"/>
        <v>-1.4573122231116351E-2</v>
      </c>
      <c r="H171">
        <f t="shared" si="13"/>
        <v>-3.15174558638152E-2</v>
      </c>
      <c r="J171">
        <v>148</v>
      </c>
      <c r="K171" s="10">
        <v>0.19663632197338377</v>
      </c>
      <c r="L171" s="10">
        <v>0.43373233277172563</v>
      </c>
    </row>
    <row r="172" spans="1:12" x14ac:dyDescent="0.3">
      <c r="A172" s="6">
        <v>40423</v>
      </c>
      <c r="B172" s="5">
        <v>4014.75</v>
      </c>
      <c r="C172" s="5">
        <v>81.23</v>
      </c>
      <c r="D172" s="5">
        <v>78.52</v>
      </c>
      <c r="F172">
        <f t="shared" si="11"/>
        <v>7.6058862438126672E-3</v>
      </c>
      <c r="G172">
        <f t="shared" si="12"/>
        <v>2.7583652079617996E-2</v>
      </c>
      <c r="H172">
        <f t="shared" si="13"/>
        <v>1.6570012076293867E-3</v>
      </c>
      <c r="J172">
        <v>149</v>
      </c>
      <c r="K172" s="10">
        <v>0.20460156197177887</v>
      </c>
      <c r="L172" s="10">
        <v>0.13338306370827049</v>
      </c>
    </row>
    <row r="173" spans="1:12" x14ac:dyDescent="0.3">
      <c r="A173" s="6">
        <v>40424</v>
      </c>
      <c r="B173" s="5">
        <v>3996.2</v>
      </c>
      <c r="C173" s="5">
        <v>80.22</v>
      </c>
      <c r="D173" s="5">
        <v>78.92</v>
      </c>
      <c r="F173">
        <f t="shared" si="11"/>
        <v>-4.6311693755682129E-3</v>
      </c>
      <c r="G173">
        <f t="shared" si="12"/>
        <v>-1.2511776720955759E-2</v>
      </c>
      <c r="H173">
        <f t="shared" si="13"/>
        <v>5.0813117461543074E-3</v>
      </c>
      <c r="J173">
        <v>150</v>
      </c>
      <c r="K173" s="10">
        <v>0.19408146279180077</v>
      </c>
      <c r="L173" s="10">
        <v>0.23972763016524412</v>
      </c>
    </row>
    <row r="174" spans="1:12" x14ac:dyDescent="0.3">
      <c r="A174" s="6">
        <v>40427</v>
      </c>
      <c r="B174" s="5">
        <v>3931.6100999999999</v>
      </c>
      <c r="C174" s="5">
        <v>79.739999999999995</v>
      </c>
      <c r="D174" s="5">
        <v>79.099999999999994</v>
      </c>
      <c r="F174">
        <f t="shared" si="11"/>
        <v>-1.6294872948177219E-2</v>
      </c>
      <c r="G174">
        <f t="shared" si="12"/>
        <v>-6.0015183886978863E-3</v>
      </c>
      <c r="H174">
        <f t="shared" si="13"/>
        <v>2.2781936191934907E-3</v>
      </c>
      <c r="J174">
        <v>151</v>
      </c>
      <c r="K174" s="10">
        <v>0.20918465199306296</v>
      </c>
      <c r="L174" s="10">
        <v>0.23695283550147536</v>
      </c>
    </row>
    <row r="175" spans="1:12" x14ac:dyDescent="0.3">
      <c r="A175" s="6">
        <v>40428</v>
      </c>
      <c r="B175" s="5">
        <v>3959.71</v>
      </c>
      <c r="C175" s="5">
        <v>80.069999999999993</v>
      </c>
      <c r="D175" s="5">
        <v>78.989999999999995</v>
      </c>
      <c r="F175">
        <f t="shared" si="11"/>
        <v>7.1217536258214829E-3</v>
      </c>
      <c r="G175">
        <f t="shared" si="12"/>
        <v>4.1299101313335479E-3</v>
      </c>
      <c r="H175">
        <f t="shared" si="13"/>
        <v>-1.3916125972804631E-3</v>
      </c>
      <c r="J175">
        <v>152</v>
      </c>
      <c r="K175" s="10">
        <v>0.20567030548085907</v>
      </c>
      <c r="L175" s="10">
        <v>9.7399611103367117E-2</v>
      </c>
    </row>
    <row r="176" spans="1:12" x14ac:dyDescent="0.3">
      <c r="A176" s="6">
        <v>40429</v>
      </c>
      <c r="B176" s="5">
        <v>3991.73</v>
      </c>
      <c r="C176" s="5">
        <v>81.650000000000006</v>
      </c>
      <c r="D176" s="5">
        <v>79.12</v>
      </c>
      <c r="F176">
        <f t="shared" si="11"/>
        <v>8.0539306297689479E-3</v>
      </c>
      <c r="G176">
        <f t="shared" si="12"/>
        <v>1.9540567331931845E-2</v>
      </c>
      <c r="H176">
        <f t="shared" si="13"/>
        <v>1.6444251381291543E-3</v>
      </c>
      <c r="J176">
        <v>153</v>
      </c>
      <c r="K176" s="10">
        <v>0.1926535156048742</v>
      </c>
      <c r="L176" s="10">
        <v>0.27000374867549215</v>
      </c>
    </row>
    <row r="177" spans="1:12" x14ac:dyDescent="0.3">
      <c r="A177" s="6">
        <v>40430</v>
      </c>
      <c r="B177" s="5">
        <v>4039.99</v>
      </c>
      <c r="C177" s="5">
        <v>81.11</v>
      </c>
      <c r="D177" s="5">
        <v>80.569999999999993</v>
      </c>
      <c r="F177">
        <f t="shared" si="11"/>
        <v>1.2017495831161974E-2</v>
      </c>
      <c r="G177">
        <f t="shared" si="12"/>
        <v>-6.6355613342208245E-3</v>
      </c>
      <c r="H177">
        <f t="shared" si="13"/>
        <v>1.8160684474647797E-2</v>
      </c>
      <c r="J177">
        <v>154</v>
      </c>
      <c r="K177" s="10">
        <v>0.26015697175122215</v>
      </c>
      <c r="L177" s="10">
        <v>0.7670806439497635</v>
      </c>
    </row>
    <row r="178" spans="1:12" x14ac:dyDescent="0.3">
      <c r="A178" s="6">
        <v>40435</v>
      </c>
      <c r="B178" s="5">
        <v>4138.8301000000001</v>
      </c>
      <c r="C178" s="5">
        <v>83</v>
      </c>
      <c r="D178" s="5">
        <v>83.31</v>
      </c>
      <c r="F178">
        <f t="shared" si="11"/>
        <v>2.4170946639155009E-2</v>
      </c>
      <c r="G178">
        <f t="shared" si="12"/>
        <v>2.3034349714344503E-2</v>
      </c>
      <c r="H178">
        <f t="shared" si="13"/>
        <v>3.3442218197713459E-2</v>
      </c>
      <c r="J178">
        <v>155</v>
      </c>
      <c r="K178" s="10">
        <v>0.19651217755816777</v>
      </c>
      <c r="L178" s="10">
        <v>0.17176659485970208</v>
      </c>
    </row>
    <row r="179" spans="1:12" x14ac:dyDescent="0.3">
      <c r="A179" s="6">
        <v>40436</v>
      </c>
      <c r="B179" s="5">
        <v>4068.5601000000001</v>
      </c>
      <c r="C179" s="5">
        <v>81.52</v>
      </c>
      <c r="D179" s="5">
        <v>83.3</v>
      </c>
      <c r="F179">
        <f t="shared" si="11"/>
        <v>-1.7124010287152516E-2</v>
      </c>
      <c r="G179">
        <f t="shared" si="12"/>
        <v>-1.7992218882128635E-2</v>
      </c>
      <c r="H179">
        <f t="shared" si="13"/>
        <v>-1.2004081402093805E-4</v>
      </c>
      <c r="J179">
        <v>156</v>
      </c>
      <c r="K179" s="10">
        <v>0.33964133719274064</v>
      </c>
      <c r="L179" s="10">
        <v>-9.5882053779454288E-2</v>
      </c>
    </row>
    <row r="180" spans="1:12" x14ac:dyDescent="0.3">
      <c r="A180" s="6">
        <v>40437</v>
      </c>
      <c r="B180" s="5">
        <v>4071</v>
      </c>
      <c r="C180" s="5">
        <v>81.510000000000005</v>
      </c>
      <c r="D180" s="5">
        <v>84.01</v>
      </c>
      <c r="F180">
        <f t="shared" si="11"/>
        <v>5.9951644636892286E-4</v>
      </c>
      <c r="G180">
        <f t="shared" si="12"/>
        <v>-1.2267680810319179E-4</v>
      </c>
      <c r="H180">
        <f t="shared" si="13"/>
        <v>8.4872902039588981E-3</v>
      </c>
      <c r="J180">
        <v>157</v>
      </c>
      <c r="K180" s="10">
        <v>0.22661586327336927</v>
      </c>
      <c r="L180" s="10">
        <v>-1.2014076551789918E-2</v>
      </c>
    </row>
    <row r="181" spans="1:12" x14ac:dyDescent="0.3">
      <c r="A181" s="6">
        <v>40438</v>
      </c>
      <c r="B181" s="5">
        <v>4048.26</v>
      </c>
      <c r="C181" s="5">
        <v>85.52</v>
      </c>
      <c r="D181" s="5">
        <v>88.13</v>
      </c>
      <c r="F181">
        <f t="shared" si="11"/>
        <v>-5.6015103492753279E-3</v>
      </c>
      <c r="G181">
        <f t="shared" si="12"/>
        <v>4.8024554610423653E-2</v>
      </c>
      <c r="H181">
        <f t="shared" si="13"/>
        <v>4.7877157734813283E-2</v>
      </c>
      <c r="J181">
        <v>158</v>
      </c>
      <c r="K181" s="10">
        <v>0.20828054557754061</v>
      </c>
      <c r="L181" s="10">
        <v>0.15516171333090567</v>
      </c>
    </row>
    <row r="182" spans="1:12" x14ac:dyDescent="0.3">
      <c r="A182" s="6">
        <v>40441</v>
      </c>
      <c r="B182" s="5">
        <v>4000</v>
      </c>
      <c r="C182" s="5">
        <v>85.43</v>
      </c>
      <c r="D182" s="5">
        <v>89.26</v>
      </c>
      <c r="F182">
        <f t="shared" si="11"/>
        <v>-1.1992798051675798E-2</v>
      </c>
      <c r="G182">
        <f t="shared" si="12"/>
        <v>-1.0529395532623547E-3</v>
      </c>
      <c r="H182">
        <f t="shared" si="13"/>
        <v>1.2740462089554828E-2</v>
      </c>
      <c r="J182">
        <v>159</v>
      </c>
      <c r="K182" s="10">
        <v>0.21243105197969606</v>
      </c>
      <c r="L182" s="10">
        <v>0.41468215015578841</v>
      </c>
    </row>
    <row r="183" spans="1:12" x14ac:dyDescent="0.3">
      <c r="A183" s="6">
        <v>40442</v>
      </c>
      <c r="B183" s="5">
        <v>3972</v>
      </c>
      <c r="C183" s="5">
        <v>84</v>
      </c>
      <c r="D183" s="5">
        <v>89.5</v>
      </c>
      <c r="F183">
        <f t="shared" si="11"/>
        <v>-7.0246149369644663E-3</v>
      </c>
      <c r="G183">
        <f t="shared" si="12"/>
        <v>-1.6880528320213778E-2</v>
      </c>
      <c r="H183">
        <f t="shared" si="13"/>
        <v>2.6851660796857802E-3</v>
      </c>
      <c r="J183">
        <v>160</v>
      </c>
      <c r="K183" s="10">
        <v>0.19309879549490466</v>
      </c>
      <c r="L183" s="10">
        <v>0.39572835227062336</v>
      </c>
    </row>
    <row r="184" spans="1:12" x14ac:dyDescent="0.3">
      <c r="A184" s="6">
        <v>40443</v>
      </c>
      <c r="B184" s="5">
        <v>4000</v>
      </c>
      <c r="C184" s="5">
        <v>83.62</v>
      </c>
      <c r="D184" s="5">
        <v>89.4</v>
      </c>
      <c r="F184">
        <f t="shared" si="11"/>
        <v>7.0246149369644385E-3</v>
      </c>
      <c r="G184">
        <f t="shared" si="12"/>
        <v>-4.5340729148946228E-3</v>
      </c>
      <c r="H184">
        <f t="shared" si="13"/>
        <v>-1.1179431013411721E-3</v>
      </c>
      <c r="J184">
        <v>161</v>
      </c>
      <c r="K184" s="10">
        <v>0.22453843206144625</v>
      </c>
      <c r="L184" s="10">
        <v>4.4912250083398476E-2</v>
      </c>
    </row>
    <row r="185" spans="1:12" x14ac:dyDescent="0.3">
      <c r="A185" s="6">
        <v>40444</v>
      </c>
      <c r="B185" s="5">
        <v>3981</v>
      </c>
      <c r="C185" s="5">
        <v>81.93</v>
      </c>
      <c r="D185" s="5">
        <v>88.58</v>
      </c>
      <c r="F185">
        <f t="shared" si="11"/>
        <v>-4.7613171017105022E-3</v>
      </c>
      <c r="G185">
        <f t="shared" si="12"/>
        <v>-2.0417501774695593E-2</v>
      </c>
      <c r="H185">
        <f t="shared" si="13"/>
        <v>-9.2145836844164178E-3</v>
      </c>
      <c r="J185">
        <v>162</v>
      </c>
      <c r="K185" s="10">
        <v>0.20738290978878815</v>
      </c>
      <c r="L185" s="10">
        <v>0.27830791722281206</v>
      </c>
    </row>
    <row r="186" spans="1:12" x14ac:dyDescent="0.3">
      <c r="A186" s="6">
        <v>40445</v>
      </c>
      <c r="B186" s="5">
        <v>3998.98</v>
      </c>
      <c r="C186" s="5">
        <v>81.819999999999993</v>
      </c>
      <c r="D186" s="5">
        <v>87.8</v>
      </c>
      <c r="F186">
        <f t="shared" si="11"/>
        <v>4.5062845836822112E-3</v>
      </c>
      <c r="G186">
        <f t="shared" si="12"/>
        <v>-1.3435116524710472E-3</v>
      </c>
      <c r="H186">
        <f t="shared" si="13"/>
        <v>-8.8445978539811905E-3</v>
      </c>
      <c r="J186">
        <v>163</v>
      </c>
      <c r="K186" s="10">
        <v>0.20310357247963007</v>
      </c>
      <c r="L186" s="10">
        <v>0.15734992625784663</v>
      </c>
    </row>
    <row r="187" spans="1:12" x14ac:dyDescent="0.3">
      <c r="A187" s="6">
        <v>40448</v>
      </c>
      <c r="B187" s="5">
        <v>3990</v>
      </c>
      <c r="C187" s="5">
        <v>81.66</v>
      </c>
      <c r="D187" s="5">
        <v>89.1</v>
      </c>
      <c r="F187">
        <f t="shared" si="11"/>
        <v>-2.2480977000903096E-3</v>
      </c>
      <c r="G187">
        <f t="shared" si="12"/>
        <v>-1.9574266098227899E-3</v>
      </c>
      <c r="H187">
        <f t="shared" si="13"/>
        <v>1.4697833835692582E-2</v>
      </c>
      <c r="J187">
        <v>164</v>
      </c>
      <c r="K187" s="10">
        <v>0.22708400537157347</v>
      </c>
      <c r="L187" s="10">
        <v>2.3565301681400135E-2</v>
      </c>
    </row>
    <row r="188" spans="1:12" x14ac:dyDescent="0.3">
      <c r="A188" s="6">
        <v>40449</v>
      </c>
      <c r="B188" s="5">
        <v>4028.55</v>
      </c>
      <c r="C188" s="5">
        <v>81.95</v>
      </c>
      <c r="D188" s="5">
        <v>88.06</v>
      </c>
      <c r="F188">
        <f t="shared" si="11"/>
        <v>9.6152788238997519E-3</v>
      </c>
      <c r="G188">
        <f t="shared" si="12"/>
        <v>3.5450192984090171E-3</v>
      </c>
      <c r="H188">
        <f t="shared" si="13"/>
        <v>-1.1740934149155755E-2</v>
      </c>
      <c r="J188">
        <v>165</v>
      </c>
      <c r="K188" s="10">
        <v>0.22826499733716085</v>
      </c>
      <c r="L188" s="10">
        <v>0.61686359767325127</v>
      </c>
    </row>
    <row r="189" spans="1:12" x14ac:dyDescent="0.3">
      <c r="A189" s="6">
        <v>40451</v>
      </c>
      <c r="B189" s="5">
        <v>4024.95</v>
      </c>
      <c r="C189" s="5">
        <v>79.48</v>
      </c>
      <c r="D189" s="5">
        <v>88.51</v>
      </c>
      <c r="F189">
        <f t="shared" si="11"/>
        <v>-8.9402129255167196E-4</v>
      </c>
      <c r="G189">
        <f t="shared" si="12"/>
        <v>-3.0603887506222605E-2</v>
      </c>
      <c r="H189">
        <f t="shared" si="13"/>
        <v>5.0971396531779159E-3</v>
      </c>
      <c r="J189">
        <v>166</v>
      </c>
      <c r="K189" s="10">
        <v>0.2151903471361562</v>
      </c>
      <c r="L189" s="10">
        <v>9.4137193168792946E-2</v>
      </c>
    </row>
    <row r="190" spans="1:12" x14ac:dyDescent="0.3">
      <c r="A190" s="6">
        <v>40455</v>
      </c>
      <c r="B190" s="5">
        <v>4019</v>
      </c>
      <c r="C190" s="5">
        <v>80.900000000000006</v>
      </c>
      <c r="D190" s="5">
        <v>88.5</v>
      </c>
      <c r="F190">
        <f t="shared" si="11"/>
        <v>-1.4793729660559961E-3</v>
      </c>
      <c r="G190">
        <f t="shared" si="12"/>
        <v>1.7708406380829943E-2</v>
      </c>
      <c r="H190">
        <f t="shared" si="13"/>
        <v>-1.1298796690179194E-4</v>
      </c>
      <c r="J190">
        <v>167</v>
      </c>
      <c r="K190" s="10">
        <v>0.28872847179493738</v>
      </c>
      <c r="L190" s="10">
        <v>-6.117521025761867E-2</v>
      </c>
    </row>
    <row r="191" spans="1:12" x14ac:dyDescent="0.3">
      <c r="A191" s="6">
        <v>40456</v>
      </c>
      <c r="B191" s="5">
        <v>4000</v>
      </c>
      <c r="C191" s="5">
        <v>79.92</v>
      </c>
      <c r="D191" s="5">
        <v>88.5</v>
      </c>
      <c r="F191">
        <f t="shared" si="11"/>
        <v>-4.7387543471734692E-3</v>
      </c>
      <c r="G191">
        <f t="shared" si="12"/>
        <v>-1.2187689724148021E-2</v>
      </c>
      <c r="H191">
        <f t="shared" si="13"/>
        <v>0</v>
      </c>
      <c r="J191">
        <v>168</v>
      </c>
      <c r="K191" s="10">
        <v>0.21719413756129613</v>
      </c>
      <c r="L191" s="10">
        <v>5.9745601350307848E-2</v>
      </c>
    </row>
    <row r="192" spans="1:12" x14ac:dyDescent="0.3">
      <c r="A192" s="6">
        <v>40457</v>
      </c>
      <c r="B192" s="5">
        <v>3950</v>
      </c>
      <c r="C192" s="5">
        <v>80.849999999999994</v>
      </c>
      <c r="D192" s="5">
        <v>90.5</v>
      </c>
      <c r="F192">
        <f t="shared" si="11"/>
        <v>-1.2578782206860073E-2</v>
      </c>
      <c r="G192">
        <f t="shared" si="12"/>
        <v>1.1569451682817637E-2</v>
      </c>
      <c r="H192">
        <f t="shared" si="13"/>
        <v>2.2347298691996618E-2</v>
      </c>
      <c r="J192">
        <v>169</v>
      </c>
      <c r="K192" s="10">
        <v>0.24297722629485188</v>
      </c>
      <c r="L192" s="10">
        <v>-6.8046854876700119E-2</v>
      </c>
    </row>
    <row r="193" spans="1:12" x14ac:dyDescent="0.3">
      <c r="A193" s="6">
        <v>40458</v>
      </c>
      <c r="B193" s="5">
        <v>3961</v>
      </c>
      <c r="C193" s="5">
        <v>82.1</v>
      </c>
      <c r="D193" s="5">
        <v>91.9</v>
      </c>
      <c r="F193">
        <f t="shared" si="11"/>
        <v>2.780939726749196E-3</v>
      </c>
      <c r="G193">
        <f t="shared" si="12"/>
        <v>1.5342430435266622E-2</v>
      </c>
      <c r="H193">
        <f t="shared" si="13"/>
        <v>1.5351178655760977E-2</v>
      </c>
      <c r="J193">
        <v>170</v>
      </c>
      <c r="K193" s="10">
        <v>0.20673251499164794</v>
      </c>
      <c r="L193" s="10">
        <v>0.32186184286376862</v>
      </c>
    </row>
    <row r="194" spans="1:12" x14ac:dyDescent="0.3">
      <c r="A194" s="6">
        <v>40459</v>
      </c>
      <c r="B194" s="5">
        <v>3990</v>
      </c>
      <c r="C194" s="5">
        <v>86.13</v>
      </c>
      <c r="D194" s="5">
        <v>92</v>
      </c>
      <c r="F194">
        <f t="shared" si="11"/>
        <v>7.294712261992577E-3</v>
      </c>
      <c r="G194">
        <f t="shared" si="12"/>
        <v>4.791976634269976E-2</v>
      </c>
      <c r="H194">
        <f t="shared" si="13"/>
        <v>1.0875476873989189E-3</v>
      </c>
      <c r="J194">
        <v>171</v>
      </c>
      <c r="K194" s="10">
        <v>0.21921882507215687</v>
      </c>
      <c r="L194" s="10">
        <v>0.57463696745730375</v>
      </c>
    </row>
    <row r="195" spans="1:12" x14ac:dyDescent="0.3">
      <c r="A195" s="6">
        <v>40463</v>
      </c>
      <c r="B195" s="5">
        <v>3940</v>
      </c>
      <c r="C195" s="5">
        <v>86.85</v>
      </c>
      <c r="D195" s="5">
        <v>92</v>
      </c>
      <c r="F195">
        <f t="shared" si="11"/>
        <v>-1.2610507591929696E-2</v>
      </c>
      <c r="G195">
        <f t="shared" si="12"/>
        <v>8.3247098860316331E-3</v>
      </c>
      <c r="H195">
        <f t="shared" si="13"/>
        <v>0</v>
      </c>
      <c r="J195">
        <v>172</v>
      </c>
      <c r="K195" s="10">
        <v>0.22868674125073363</v>
      </c>
      <c r="L195" s="10">
        <v>1.6764079567204881E-2</v>
      </c>
    </row>
    <row r="196" spans="1:12" x14ac:dyDescent="0.3">
      <c r="A196" s="6">
        <v>40464</v>
      </c>
      <c r="B196" s="5">
        <v>4002</v>
      </c>
      <c r="C196" s="5">
        <v>87.85</v>
      </c>
      <c r="D196" s="5">
        <v>92.98</v>
      </c>
      <c r="F196">
        <f t="shared" ref="F196:F247" si="14">LN(B196/B195)</f>
        <v>1.5613512851699297E-2</v>
      </c>
      <c r="G196">
        <f t="shared" ref="G196:G247" si="15">LN(C196/C195)</f>
        <v>1.1448321945992346E-2</v>
      </c>
      <c r="H196">
        <f t="shared" ref="H196:H247" si="16">LN(D196/D195)</f>
        <v>1.0595839213398519E-2</v>
      </c>
      <c r="J196">
        <v>173</v>
      </c>
      <c r="K196" s="10">
        <v>0.20394312992369482</v>
      </c>
      <c r="L196" s="10">
        <v>0.24852702472365779</v>
      </c>
    </row>
    <row r="197" spans="1:12" x14ac:dyDescent="0.3">
      <c r="A197" s="6">
        <v>40465</v>
      </c>
      <c r="B197" s="5">
        <v>4075</v>
      </c>
      <c r="C197" s="5">
        <v>91.02</v>
      </c>
      <c r="D197" s="5">
        <v>92.4</v>
      </c>
      <c r="F197">
        <f t="shared" si="14"/>
        <v>1.8076510531284277E-2</v>
      </c>
      <c r="G197">
        <f t="shared" si="15"/>
        <v>3.544844795538963E-2</v>
      </c>
      <c r="H197">
        <f t="shared" si="16"/>
        <v>-6.2574376148001798E-3</v>
      </c>
      <c r="J197">
        <v>174</v>
      </c>
      <c r="K197" s="10">
        <v>0.19542370469127338</v>
      </c>
      <c r="L197" s="10">
        <v>0.2694954331951982</v>
      </c>
    </row>
    <row r="198" spans="1:12" x14ac:dyDescent="0.3">
      <c r="A198" s="6">
        <v>40466</v>
      </c>
      <c r="B198" s="5">
        <v>4064.99</v>
      </c>
      <c r="C198" s="5">
        <v>90.5</v>
      </c>
      <c r="D198" s="5">
        <v>90.9</v>
      </c>
      <c r="F198">
        <f t="shared" si="14"/>
        <v>-2.4594637206782864E-3</v>
      </c>
      <c r="G198">
        <f t="shared" si="15"/>
        <v>-5.7294118826153907E-3</v>
      </c>
      <c r="H198">
        <f t="shared" si="16"/>
        <v>-1.6366977464205359E-2</v>
      </c>
      <c r="J198">
        <v>175</v>
      </c>
      <c r="K198" s="10">
        <v>0.18924570511421174</v>
      </c>
      <c r="L198" s="10">
        <v>0.274622861264879</v>
      </c>
    </row>
    <row r="199" spans="1:12" x14ac:dyDescent="0.3">
      <c r="A199" s="6">
        <v>40469</v>
      </c>
      <c r="B199" s="5">
        <v>4000</v>
      </c>
      <c r="C199" s="5">
        <v>91.3</v>
      </c>
      <c r="D199" s="5">
        <v>92</v>
      </c>
      <c r="F199">
        <f t="shared" si="14"/>
        <v>-1.6116921852257174E-2</v>
      </c>
      <c r="G199">
        <f t="shared" si="15"/>
        <v>8.8009368950422804E-3</v>
      </c>
      <c r="H199">
        <f t="shared" si="16"/>
        <v>1.2028575865607122E-2</v>
      </c>
      <c r="J199">
        <v>176</v>
      </c>
      <c r="K199" s="10">
        <v>0.27543758657027867</v>
      </c>
      <c r="L199" s="10">
        <v>0.82292176610121437</v>
      </c>
    </row>
    <row r="200" spans="1:12" x14ac:dyDescent="0.3">
      <c r="A200" s="6">
        <v>40470</v>
      </c>
      <c r="B200" s="5">
        <v>4000</v>
      </c>
      <c r="C200" s="5">
        <v>94.37</v>
      </c>
      <c r="D200" s="5">
        <v>91.2</v>
      </c>
      <c r="F200">
        <f t="shared" si="14"/>
        <v>0</v>
      </c>
      <c r="G200">
        <f t="shared" si="15"/>
        <v>3.3072438432318906E-2</v>
      </c>
      <c r="H200">
        <f t="shared" si="16"/>
        <v>-8.7336799687545534E-3</v>
      </c>
      <c r="J200">
        <v>177</v>
      </c>
      <c r="K200" s="10">
        <v>0.21604884362149723</v>
      </c>
      <c r="L200" s="10">
        <v>7.0255122504786494E-2</v>
      </c>
    </row>
    <row r="201" spans="1:12" x14ac:dyDescent="0.3">
      <c r="A201" s="6">
        <v>40471</v>
      </c>
      <c r="B201" s="5">
        <v>4089.98</v>
      </c>
      <c r="C201" s="5">
        <v>93.7</v>
      </c>
      <c r="D201" s="5">
        <v>91.25</v>
      </c>
      <c r="F201">
        <f t="shared" si="14"/>
        <v>2.22457189473136E-2</v>
      </c>
      <c r="G201">
        <f t="shared" si="15"/>
        <v>-7.125036788865129E-3</v>
      </c>
      <c r="H201">
        <f t="shared" si="16"/>
        <v>5.4809538231519541E-4</v>
      </c>
      <c r="J201">
        <v>178</v>
      </c>
      <c r="K201" s="10">
        <v>0.1894585971286063</v>
      </c>
      <c r="L201" s="10">
        <v>0.318004495281349</v>
      </c>
    </row>
    <row r="202" spans="1:12" x14ac:dyDescent="0.3">
      <c r="A202" s="6">
        <v>40472</v>
      </c>
      <c r="B202" s="5">
        <v>4000.1001000000001</v>
      </c>
      <c r="C202" s="5">
        <v>97.1</v>
      </c>
      <c r="D202" s="5">
        <v>92</v>
      </c>
      <c r="F202">
        <f t="shared" si="14"/>
        <v>-2.2220694260433761E-2</v>
      </c>
      <c r="G202">
        <f t="shared" si="15"/>
        <v>3.5643186052902696E-2</v>
      </c>
      <c r="H202">
        <f t="shared" si="16"/>
        <v>8.1855845864395021E-3</v>
      </c>
      <c r="J202">
        <v>179</v>
      </c>
      <c r="K202" s="10">
        <v>0.18954328422263869</v>
      </c>
      <c r="L202" s="10">
        <v>0.28470957657130802</v>
      </c>
    </row>
    <row r="203" spans="1:12" x14ac:dyDescent="0.3">
      <c r="A203" s="6">
        <v>40473</v>
      </c>
      <c r="B203" s="5">
        <v>4000</v>
      </c>
      <c r="C203" s="5">
        <v>99.49</v>
      </c>
      <c r="D203" s="5">
        <v>94</v>
      </c>
      <c r="F203">
        <f t="shared" si="14"/>
        <v>-2.5024686879923907E-5</v>
      </c>
      <c r="G203">
        <f t="shared" si="15"/>
        <v>2.4315761303989152E-2</v>
      </c>
      <c r="H203">
        <f t="shared" si="16"/>
        <v>2.1506205220963682E-2</v>
      </c>
      <c r="J203">
        <v>180</v>
      </c>
      <c r="K203" s="10">
        <v>0.24359344121497434</v>
      </c>
      <c r="L203" s="10">
        <v>0.16665494562256417</v>
      </c>
    </row>
    <row r="204" spans="1:12" x14ac:dyDescent="0.3">
      <c r="A204" s="6">
        <v>40476</v>
      </c>
      <c r="B204" s="5">
        <v>4020</v>
      </c>
      <c r="C204" s="5">
        <v>102.37</v>
      </c>
      <c r="D204" s="5">
        <v>94.5</v>
      </c>
      <c r="F204">
        <f t="shared" si="14"/>
        <v>4.9875415110389679E-3</v>
      </c>
      <c r="G204">
        <f t="shared" si="15"/>
        <v>2.8536564330411185E-2</v>
      </c>
      <c r="H204">
        <f t="shared" si="16"/>
        <v>5.3050522296930981E-3</v>
      </c>
      <c r="J204">
        <v>181</v>
      </c>
      <c r="K204" s="10">
        <v>0.21307267180891012</v>
      </c>
      <c r="L204" s="10">
        <v>0.43852084728270885</v>
      </c>
    </row>
    <row r="205" spans="1:12" x14ac:dyDescent="0.3">
      <c r="A205" s="6">
        <v>40477</v>
      </c>
      <c r="B205" s="5">
        <v>4050</v>
      </c>
      <c r="C205" s="5">
        <v>98.2</v>
      </c>
      <c r="D205" s="5">
        <v>97.45</v>
      </c>
      <c r="F205">
        <f t="shared" si="14"/>
        <v>7.4349784875179905E-3</v>
      </c>
      <c r="G205">
        <f t="shared" si="15"/>
        <v>-4.158748557125929E-2</v>
      </c>
      <c r="H205">
        <f t="shared" si="16"/>
        <v>3.0739591453872783E-2</v>
      </c>
      <c r="J205">
        <v>182</v>
      </c>
      <c r="K205" s="10">
        <v>0.23924556569791278</v>
      </c>
      <c r="L205" s="10">
        <v>0.15600968765288881</v>
      </c>
    </row>
    <row r="206" spans="1:12" x14ac:dyDescent="0.3">
      <c r="A206" s="6">
        <v>40478</v>
      </c>
      <c r="B206" s="5">
        <v>4050</v>
      </c>
      <c r="C206" s="5">
        <v>98.3</v>
      </c>
      <c r="D206" s="5">
        <v>98.5</v>
      </c>
      <c r="F206">
        <f t="shared" si="14"/>
        <v>0</v>
      </c>
      <c r="G206">
        <f t="shared" si="15"/>
        <v>1.0178117927006245E-3</v>
      </c>
      <c r="H206">
        <f t="shared" si="16"/>
        <v>1.0717122224473347E-2</v>
      </c>
      <c r="J206">
        <v>183</v>
      </c>
      <c r="K206" s="10">
        <v>0.21255728658440887</v>
      </c>
      <c r="L206" s="10">
        <v>0.48909107096751375</v>
      </c>
    </row>
    <row r="207" spans="1:12" x14ac:dyDescent="0.3">
      <c r="A207" s="6">
        <v>40479</v>
      </c>
      <c r="B207" s="5">
        <v>4025</v>
      </c>
      <c r="C207" s="5">
        <v>101.85</v>
      </c>
      <c r="D207" s="5">
        <v>100</v>
      </c>
      <c r="F207">
        <f t="shared" si="14"/>
        <v>-6.191970247921107E-3</v>
      </c>
      <c r="G207">
        <f t="shared" si="15"/>
        <v>3.5477115519693923E-2</v>
      </c>
      <c r="H207">
        <f t="shared" si="16"/>
        <v>1.5113637810048106E-2</v>
      </c>
      <c r="J207">
        <v>184</v>
      </c>
      <c r="K207" s="10">
        <v>0.21170245513536687</v>
      </c>
      <c r="L207" s="10">
        <v>0.12983736827052875</v>
      </c>
    </row>
    <row r="208" spans="1:12" x14ac:dyDescent="0.3">
      <c r="A208" s="6">
        <v>40480</v>
      </c>
      <c r="B208" s="5">
        <v>4088.6698999999999</v>
      </c>
      <c r="C208" s="5">
        <v>100.36</v>
      </c>
      <c r="D208" s="5">
        <v>100</v>
      </c>
      <c r="F208">
        <f t="shared" si="14"/>
        <v>1.5694798468690992E-2</v>
      </c>
      <c r="G208">
        <f t="shared" si="15"/>
        <v>-1.4737421174593235E-2</v>
      </c>
      <c r="H208">
        <f t="shared" si="16"/>
        <v>0</v>
      </c>
      <c r="J208">
        <v>185</v>
      </c>
      <c r="K208" s="10">
        <v>0.26867807182394216</v>
      </c>
      <c r="L208" s="10">
        <v>0.79775651151637861</v>
      </c>
    </row>
    <row r="209" spans="1:12" x14ac:dyDescent="0.3">
      <c r="A209" s="6">
        <v>40483</v>
      </c>
      <c r="B209" s="5">
        <v>4037.5</v>
      </c>
      <c r="C209" s="5">
        <v>100.8</v>
      </c>
      <c r="D209" s="5">
        <v>96.7</v>
      </c>
      <c r="F209">
        <f t="shared" si="14"/>
        <v>-1.2594020790442691E-2</v>
      </c>
      <c r="G209">
        <f t="shared" si="15"/>
        <v>4.3746341390466167E-3</v>
      </c>
      <c r="H209">
        <f t="shared" si="16"/>
        <v>-3.3556783528842643E-2</v>
      </c>
      <c r="J209">
        <v>186</v>
      </c>
      <c r="K209" s="10">
        <v>0.2507909294155784</v>
      </c>
      <c r="L209" s="10">
        <v>-6.4971514962716068E-3</v>
      </c>
    </row>
    <row r="210" spans="1:12" x14ac:dyDescent="0.3">
      <c r="A210" s="6">
        <v>40484</v>
      </c>
      <c r="B210" s="5">
        <v>4069.99</v>
      </c>
      <c r="C210" s="5">
        <v>105.84</v>
      </c>
      <c r="D210" s="5">
        <v>98.99</v>
      </c>
      <c r="F210">
        <f t="shared" si="14"/>
        <v>8.01485390025314E-3</v>
      </c>
      <c r="G210">
        <f t="shared" si="15"/>
        <v>4.8790164169432049E-2</v>
      </c>
      <c r="H210">
        <f t="shared" si="16"/>
        <v>2.3405432472467312E-2</v>
      </c>
      <c r="J210">
        <v>187</v>
      </c>
      <c r="K210" s="10">
        <v>0.25416021800194888</v>
      </c>
      <c r="L210" s="10">
        <v>-7.0093295212044451E-2</v>
      </c>
    </row>
    <row r="211" spans="1:12" x14ac:dyDescent="0.3">
      <c r="A211" s="6">
        <v>40485</v>
      </c>
      <c r="B211" s="5">
        <v>4052.46</v>
      </c>
      <c r="C211" s="5">
        <v>109.27</v>
      </c>
      <c r="D211" s="5">
        <v>97.88</v>
      </c>
      <c r="F211">
        <f t="shared" si="14"/>
        <v>-4.3164383203865286E-3</v>
      </c>
      <c r="G211">
        <f t="shared" si="15"/>
        <v>3.1893363775953788E-2</v>
      </c>
      <c r="H211">
        <f t="shared" si="16"/>
        <v>-1.1276596357245145E-2</v>
      </c>
      <c r="J211">
        <v>188</v>
      </c>
      <c r="K211" s="10">
        <v>0.21681248663016728</v>
      </c>
      <c r="L211" s="10">
        <v>8.0560838525964268E-2</v>
      </c>
    </row>
    <row r="212" spans="1:12" x14ac:dyDescent="0.3">
      <c r="A212" s="6">
        <v>40486</v>
      </c>
      <c r="B212" s="5">
        <v>4050</v>
      </c>
      <c r="C212" s="5">
        <v>114.5</v>
      </c>
      <c r="D212" s="5">
        <v>98</v>
      </c>
      <c r="F212">
        <f t="shared" si="14"/>
        <v>-6.072230101938894E-4</v>
      </c>
      <c r="G212">
        <f t="shared" si="15"/>
        <v>4.6752939411640312E-2</v>
      </c>
      <c r="H212">
        <f t="shared" si="16"/>
        <v>1.2252400961009829E-3</v>
      </c>
      <c r="J212">
        <v>189</v>
      </c>
      <c r="K212" s="10">
        <v>0.27969075663227855</v>
      </c>
      <c r="L212" s="10">
        <v>2.4844122108385998E-2</v>
      </c>
    </row>
    <row r="213" spans="1:12" x14ac:dyDescent="0.3">
      <c r="A213" s="6">
        <v>40487</v>
      </c>
      <c r="B213" s="5">
        <v>4100</v>
      </c>
      <c r="C213" s="5">
        <v>120.22</v>
      </c>
      <c r="D213" s="5">
        <v>99.05</v>
      </c>
      <c r="F213">
        <f t="shared" si="14"/>
        <v>1.2270092591814401E-2</v>
      </c>
      <c r="G213">
        <f t="shared" si="15"/>
        <v>4.8748574616721579E-2</v>
      </c>
      <c r="H213">
        <f t="shared" si="16"/>
        <v>1.0657294473987979E-2</v>
      </c>
      <c r="J213">
        <v>190</v>
      </c>
      <c r="K213" s="10">
        <v>0.21831035349485955</v>
      </c>
      <c r="L213" s="10">
        <v>5.3660163015999282E-2</v>
      </c>
    </row>
    <row r="214" spans="1:12" x14ac:dyDescent="0.3">
      <c r="A214" s="6">
        <v>40490</v>
      </c>
      <c r="B214" s="5">
        <v>4088.99</v>
      </c>
      <c r="C214" s="5">
        <v>125.58</v>
      </c>
      <c r="D214" s="5">
        <v>98.14</v>
      </c>
      <c r="F214">
        <f t="shared" si="14"/>
        <v>-2.6889779164651979E-3</v>
      </c>
      <c r="G214">
        <f t="shared" si="15"/>
        <v>4.3619608074947462E-2</v>
      </c>
      <c r="H214">
        <f t="shared" si="16"/>
        <v>-9.2297424828025314E-3</v>
      </c>
      <c r="J214">
        <v>191</v>
      </c>
      <c r="K214" s="10">
        <v>0.20664231041760836</v>
      </c>
      <c r="L214" s="10">
        <v>0.33230127417261773</v>
      </c>
    </row>
    <row r="215" spans="1:12" x14ac:dyDescent="0.3">
      <c r="A215" s="6">
        <v>40492</v>
      </c>
      <c r="B215" s="5">
        <v>4060.01</v>
      </c>
      <c r="C215" s="5">
        <v>125.39</v>
      </c>
      <c r="D215" s="5">
        <v>98.3</v>
      </c>
      <c r="F215">
        <f t="shared" si="14"/>
        <v>-7.112559129001818E-3</v>
      </c>
      <c r="G215">
        <f t="shared" si="15"/>
        <v>-1.514125483516905E-3</v>
      </c>
      <c r="H215">
        <f t="shared" si="16"/>
        <v>1.6289964913634054E-3</v>
      </c>
      <c r="J215">
        <v>192</v>
      </c>
      <c r="K215" s="10">
        <v>0.22099940443423305</v>
      </c>
      <c r="L215" s="10">
        <v>8.1865153929856133E-2</v>
      </c>
    </row>
    <row r="216" spans="1:12" x14ac:dyDescent="0.3">
      <c r="A216" s="6">
        <v>40493</v>
      </c>
      <c r="B216" s="5">
        <v>4088.99</v>
      </c>
      <c r="C216" s="5">
        <v>123.96</v>
      </c>
      <c r="D216" s="5">
        <v>98.9</v>
      </c>
      <c r="F216">
        <f t="shared" si="14"/>
        <v>7.1125591290018119E-3</v>
      </c>
      <c r="G216">
        <f t="shared" si="15"/>
        <v>-1.146994728289899E-2</v>
      </c>
      <c r="H216">
        <f t="shared" si="16"/>
        <v>6.0852114755456438E-3</v>
      </c>
      <c r="J216">
        <v>193</v>
      </c>
      <c r="K216" s="10">
        <v>0.26980116363687889</v>
      </c>
      <c r="L216" s="10">
        <v>0.16454785612647968</v>
      </c>
    </row>
    <row r="217" spans="1:12" x14ac:dyDescent="0.3">
      <c r="A217" s="6">
        <v>40494</v>
      </c>
      <c r="B217" s="5">
        <v>4050</v>
      </c>
      <c r="C217" s="5">
        <v>122.94</v>
      </c>
      <c r="D217" s="5">
        <v>98.05</v>
      </c>
      <c r="F217">
        <f t="shared" si="14"/>
        <v>-9.5811146753492088E-3</v>
      </c>
      <c r="G217">
        <f t="shared" si="15"/>
        <v>-8.2625014406841075E-3</v>
      </c>
      <c r="H217">
        <f t="shared" si="16"/>
        <v>-8.6316859863112775E-3</v>
      </c>
      <c r="J217">
        <v>194</v>
      </c>
      <c r="K217" s="10">
        <v>0.32483611644102839</v>
      </c>
      <c r="L217" s="10">
        <v>-3.0680587325063634E-2</v>
      </c>
    </row>
    <row r="218" spans="1:12" x14ac:dyDescent="0.3">
      <c r="A218" s="6">
        <v>40497</v>
      </c>
      <c r="B218" s="5">
        <v>4053.5</v>
      </c>
      <c r="C218" s="5">
        <v>121.52</v>
      </c>
      <c r="D218" s="5">
        <v>98.9</v>
      </c>
      <c r="F218">
        <f t="shared" si="14"/>
        <v>8.6382432717712449E-4</v>
      </c>
      <c r="G218">
        <f t="shared" si="15"/>
        <v>-1.1617573191346018E-2</v>
      </c>
      <c r="H218">
        <f t="shared" si="16"/>
        <v>8.6316859863112029E-3</v>
      </c>
      <c r="J218">
        <v>195</v>
      </c>
      <c r="K218" s="10">
        <v>0.22881942840833563</v>
      </c>
      <c r="L218" s="10">
        <v>-2.6826744412544942E-3</v>
      </c>
    </row>
    <row r="219" spans="1:12" x14ac:dyDescent="0.3">
      <c r="A219" s="6">
        <v>40498</v>
      </c>
      <c r="B219" s="5">
        <v>4076.3301000000001</v>
      </c>
      <c r="C219" s="5">
        <v>127.23</v>
      </c>
      <c r="D219" s="5">
        <v>98.2</v>
      </c>
      <c r="F219">
        <f t="shared" si="14"/>
        <v>5.6163928966836861E-3</v>
      </c>
      <c r="G219">
        <f t="shared" si="15"/>
        <v>4.5917613867091679E-2</v>
      </c>
      <c r="H219">
        <f t="shared" si="16"/>
        <v>-7.1030232682463019E-3</v>
      </c>
      <c r="J219">
        <v>196</v>
      </c>
      <c r="K219" s="10">
        <v>0.19553487142829981</v>
      </c>
      <c r="L219" s="10">
        <v>0.33341308558741373</v>
      </c>
    </row>
    <row r="220" spans="1:12" x14ac:dyDescent="0.3">
      <c r="A220" s="6">
        <v>40504</v>
      </c>
      <c r="B220" s="5">
        <v>4050.01</v>
      </c>
      <c r="C220" s="5">
        <v>127.75</v>
      </c>
      <c r="D220" s="5">
        <v>99.02</v>
      </c>
      <c r="F220">
        <f t="shared" si="14"/>
        <v>-6.4777480911064377E-3</v>
      </c>
      <c r="G220">
        <f t="shared" si="15"/>
        <v>4.0787569292046874E-3</v>
      </c>
      <c r="H220">
        <f t="shared" si="16"/>
        <v>8.3156345728566464E-3</v>
      </c>
      <c r="J220">
        <v>197</v>
      </c>
      <c r="K220" s="10">
        <v>0.229300834486004</v>
      </c>
      <c r="L220" s="10">
        <v>-5.5064747827702556E-3</v>
      </c>
    </row>
    <row r="221" spans="1:12" x14ac:dyDescent="0.3">
      <c r="A221" s="6">
        <v>40505</v>
      </c>
      <c r="B221" s="5">
        <v>4125</v>
      </c>
      <c r="C221" s="5">
        <v>126.91</v>
      </c>
      <c r="D221" s="5">
        <v>99.84</v>
      </c>
      <c r="F221">
        <f t="shared" si="14"/>
        <v>1.8346669535442377E-2</v>
      </c>
      <c r="G221">
        <f t="shared" si="15"/>
        <v>-6.5970552617408192E-3</v>
      </c>
      <c r="H221">
        <f t="shared" si="16"/>
        <v>8.2470546878405191E-3</v>
      </c>
      <c r="J221">
        <v>198</v>
      </c>
      <c r="K221" s="10">
        <v>0.19438435067547474</v>
      </c>
      <c r="L221" s="10">
        <v>0.36011155097559555</v>
      </c>
    </row>
    <row r="222" spans="1:12" x14ac:dyDescent="0.3">
      <c r="A222" s="6">
        <v>40506</v>
      </c>
      <c r="B222" s="5">
        <v>4179.6298999999999</v>
      </c>
      <c r="C222" s="5">
        <v>124.3</v>
      </c>
      <c r="D222" s="5">
        <v>100.97</v>
      </c>
      <c r="F222">
        <f t="shared" si="14"/>
        <v>1.3156682160207619E-2</v>
      </c>
      <c r="G222">
        <f t="shared" si="15"/>
        <v>-2.0780175305407531E-2</v>
      </c>
      <c r="H222">
        <f t="shared" si="16"/>
        <v>1.1254538395112194E-2</v>
      </c>
      <c r="J222">
        <v>199</v>
      </c>
      <c r="K222" s="10">
        <v>0.20874024618797554</v>
      </c>
      <c r="L222" s="10">
        <v>0.11677781883031182</v>
      </c>
    </row>
    <row r="223" spans="1:12" x14ac:dyDescent="0.3">
      <c r="A223" s="6">
        <v>40507</v>
      </c>
      <c r="B223" s="5">
        <v>4138.9902000000002</v>
      </c>
      <c r="C223" s="5">
        <v>125.92</v>
      </c>
      <c r="D223" s="5">
        <v>100.5</v>
      </c>
      <c r="F223">
        <f t="shared" si="14"/>
        <v>-9.7708569047315792E-3</v>
      </c>
      <c r="G223">
        <f t="shared" si="15"/>
        <v>1.2948786152427644E-2</v>
      </c>
      <c r="H223">
        <f t="shared" si="16"/>
        <v>-4.6657155170991777E-3</v>
      </c>
      <c r="J223">
        <v>200</v>
      </c>
      <c r="K223" s="10">
        <v>0.20565655937451696</v>
      </c>
      <c r="L223" s="10">
        <v>0.47824276634384405</v>
      </c>
    </row>
    <row r="224" spans="1:12" x14ac:dyDescent="0.3">
      <c r="A224" s="6">
        <v>40508</v>
      </c>
      <c r="B224" s="5">
        <v>4133</v>
      </c>
      <c r="C224" s="5">
        <v>127.1</v>
      </c>
      <c r="D224" s="5">
        <v>98.87</v>
      </c>
      <c r="F224">
        <f t="shared" si="14"/>
        <v>-1.4483095125251584E-3</v>
      </c>
      <c r="G224">
        <f t="shared" si="15"/>
        <v>9.3273935263153036E-3</v>
      </c>
      <c r="H224">
        <f t="shared" si="16"/>
        <v>-1.6351871590088864E-2</v>
      </c>
      <c r="J224">
        <v>201</v>
      </c>
      <c r="K224" s="10">
        <v>0.23564527995136331</v>
      </c>
      <c r="L224" s="10">
        <v>-4.3661292484006395E-2</v>
      </c>
    </row>
    <row r="225" spans="1:12" x14ac:dyDescent="0.3">
      <c r="A225" s="6">
        <v>40511</v>
      </c>
      <c r="B225" s="5">
        <v>4131.1201000000001</v>
      </c>
      <c r="C225" s="5">
        <v>128.34</v>
      </c>
      <c r="D225" s="5">
        <v>99.5</v>
      </c>
      <c r="F225">
        <f t="shared" si="14"/>
        <v>-4.5495467386190116E-4</v>
      </c>
      <c r="G225">
        <f t="shared" si="15"/>
        <v>9.7088141269609032E-3</v>
      </c>
      <c r="H225">
        <f t="shared" si="16"/>
        <v>6.351788255505547E-3</v>
      </c>
      <c r="J225">
        <v>202</v>
      </c>
      <c r="K225" s="10">
        <v>0.24024913207613952</v>
      </c>
      <c r="L225" s="10">
        <v>0.68943914841494403</v>
      </c>
    </row>
    <row r="226" spans="1:12" x14ac:dyDescent="0.3">
      <c r="A226" s="6">
        <v>40512</v>
      </c>
      <c r="B226" s="5">
        <v>4124</v>
      </c>
      <c r="C226" s="5">
        <v>134.75</v>
      </c>
      <c r="D226" s="5">
        <v>100.06</v>
      </c>
      <c r="F226">
        <f t="shared" si="14"/>
        <v>-1.7250147010198743E-3</v>
      </c>
      <c r="G226">
        <f t="shared" si="15"/>
        <v>4.8738217466737191E-2</v>
      </c>
      <c r="H226">
        <f t="shared" si="16"/>
        <v>5.6123618955120011E-3</v>
      </c>
      <c r="J226">
        <v>203</v>
      </c>
      <c r="K226" s="10">
        <v>0.19510276396172191</v>
      </c>
      <c r="L226" s="10">
        <v>0.35971721231823783</v>
      </c>
    </row>
    <row r="227" spans="1:12" x14ac:dyDescent="0.3">
      <c r="A227" s="6">
        <v>40513</v>
      </c>
      <c r="B227" s="5">
        <v>4137.0097999999998</v>
      </c>
      <c r="C227" s="5">
        <v>128.02000000000001</v>
      </c>
      <c r="D227" s="5">
        <v>100</v>
      </c>
      <c r="F227">
        <f t="shared" si="14"/>
        <v>3.1496901880833134E-3</v>
      </c>
      <c r="G227">
        <f t="shared" si="15"/>
        <v>-5.1234708075249102E-2</v>
      </c>
      <c r="H227">
        <f t="shared" si="16"/>
        <v>-5.9982007196758287E-4</v>
      </c>
      <c r="J227">
        <v>204</v>
      </c>
      <c r="K227" s="10">
        <v>0.242078280173117</v>
      </c>
      <c r="L227" s="10">
        <v>0.15953415189597522</v>
      </c>
    </row>
    <row r="228" spans="1:12" x14ac:dyDescent="0.3">
      <c r="A228" s="6">
        <v>40514</v>
      </c>
      <c r="B228" s="5">
        <v>4109.6000999999997</v>
      </c>
      <c r="C228" s="5">
        <v>129.61000000000001</v>
      </c>
      <c r="D228" s="5">
        <v>100.96</v>
      </c>
      <c r="F228">
        <f t="shared" si="14"/>
        <v>-6.6475318386078255E-3</v>
      </c>
      <c r="G228">
        <f t="shared" si="15"/>
        <v>1.2343439721426302E-2</v>
      </c>
      <c r="H228">
        <f t="shared" si="16"/>
        <v>9.5542128048114912E-3</v>
      </c>
      <c r="J228">
        <v>205</v>
      </c>
      <c r="K228" s="10">
        <v>0.20849607382662963</v>
      </c>
      <c r="L228" s="10">
        <v>0.10687563587929688</v>
      </c>
    </row>
    <row r="229" spans="1:12" x14ac:dyDescent="0.3">
      <c r="A229" s="6">
        <v>40515</v>
      </c>
      <c r="B229" s="5">
        <v>4105</v>
      </c>
      <c r="C229" s="5">
        <v>123.5</v>
      </c>
      <c r="D229" s="5">
        <v>100.04</v>
      </c>
      <c r="F229">
        <f t="shared" si="14"/>
        <v>-1.1199815997975672E-3</v>
      </c>
      <c r="G229">
        <f t="shared" si="15"/>
        <v>-4.8288785367251896E-2</v>
      </c>
      <c r="H229">
        <f t="shared" si="16"/>
        <v>-9.1542927834845737E-3</v>
      </c>
      <c r="J229">
        <v>206</v>
      </c>
      <c r="K229" s="10">
        <v>0.2879593531524885</v>
      </c>
      <c r="L229" s="10">
        <v>9.3776871860315178E-2</v>
      </c>
    </row>
    <row r="230" spans="1:12" x14ac:dyDescent="0.3">
      <c r="A230" s="6">
        <v>40518</v>
      </c>
      <c r="B230" s="5">
        <v>4085.5</v>
      </c>
      <c r="C230" s="5">
        <v>118.1</v>
      </c>
      <c r="D230" s="5">
        <v>100.11</v>
      </c>
      <c r="F230">
        <f t="shared" si="14"/>
        <v>-4.7616230617664292E-3</v>
      </c>
      <c r="G230">
        <f t="shared" si="15"/>
        <v>-4.4709432864715258E-2</v>
      </c>
      <c r="H230">
        <f t="shared" si="16"/>
        <v>6.9947542197399239E-4</v>
      </c>
      <c r="J230">
        <v>207</v>
      </c>
      <c r="K230" s="10">
        <v>0.21538268530873728</v>
      </c>
      <c r="L230" s="10">
        <v>0.21455261011341945</v>
      </c>
    </row>
    <row r="231" spans="1:12" x14ac:dyDescent="0.3">
      <c r="A231" s="6">
        <v>40519</v>
      </c>
      <c r="B231" s="5">
        <v>4099.6801999999998</v>
      </c>
      <c r="C231" s="5">
        <v>117.96</v>
      </c>
      <c r="D231" s="5">
        <v>99.29</v>
      </c>
      <c r="F231">
        <f t="shared" si="14"/>
        <v>3.4648508254788045E-3</v>
      </c>
      <c r="G231">
        <f t="shared" si="15"/>
        <v>-1.1861392562411627E-3</v>
      </c>
      <c r="H231">
        <f t="shared" si="16"/>
        <v>-8.2247203858894797E-3</v>
      </c>
      <c r="J231">
        <v>208</v>
      </c>
      <c r="K231" s="10">
        <v>0.2255354882741209</v>
      </c>
      <c r="L231" s="10">
        <v>4.2714408161569649E-2</v>
      </c>
    </row>
    <row r="232" spans="1:12" x14ac:dyDescent="0.3">
      <c r="A232" s="6">
        <v>40520</v>
      </c>
      <c r="B232" s="5">
        <v>4070.8701000000001</v>
      </c>
      <c r="C232" s="5">
        <v>117.59</v>
      </c>
      <c r="D232" s="5">
        <v>99.87</v>
      </c>
      <c r="F232">
        <f t="shared" si="14"/>
        <v>-7.0522102783131708E-3</v>
      </c>
      <c r="G232">
        <f t="shared" si="15"/>
        <v>-3.141586111751036E-3</v>
      </c>
      <c r="H232">
        <f t="shared" si="16"/>
        <v>5.8244792095404089E-3</v>
      </c>
      <c r="J232">
        <v>209</v>
      </c>
      <c r="K232" s="10">
        <v>0.26276722184312573</v>
      </c>
      <c r="L232" s="10">
        <v>-4.6388206135490093E-2</v>
      </c>
    </row>
    <row r="233" spans="1:12" x14ac:dyDescent="0.3">
      <c r="A233" s="6">
        <v>40521</v>
      </c>
      <c r="B233" s="5">
        <v>4049.6001000000001</v>
      </c>
      <c r="C233" s="5">
        <v>117.28</v>
      </c>
      <c r="D233" s="5">
        <v>100</v>
      </c>
      <c r="F233">
        <f t="shared" si="14"/>
        <v>-5.2386248872714758E-3</v>
      </c>
      <c r="G233">
        <f t="shared" si="15"/>
        <v>-2.6397596969830201E-3</v>
      </c>
      <c r="H233">
        <f t="shared" si="16"/>
        <v>1.3008457330481557E-3</v>
      </c>
      <c r="J233">
        <v>210</v>
      </c>
      <c r="K233" s="10">
        <v>0.25870300834211585</v>
      </c>
      <c r="L233" s="10">
        <v>0.76209648069198666</v>
      </c>
    </row>
    <row r="234" spans="1:12" x14ac:dyDescent="0.3">
      <c r="A234" s="6">
        <v>40522</v>
      </c>
      <c r="B234" s="5">
        <v>4045.1100999999999</v>
      </c>
      <c r="C234" s="5">
        <v>119.61</v>
      </c>
      <c r="D234" s="5">
        <v>100</v>
      </c>
      <c r="F234">
        <f t="shared" si="14"/>
        <v>-1.1093665738607962E-3</v>
      </c>
      <c r="G234">
        <f t="shared" si="15"/>
        <v>1.9672211923032003E-2</v>
      </c>
      <c r="H234">
        <f t="shared" si="16"/>
        <v>0</v>
      </c>
      <c r="J234">
        <v>211</v>
      </c>
      <c r="K234" s="10">
        <v>0.27359815352991201</v>
      </c>
      <c r="L234" s="10">
        <v>0.16745046624822862</v>
      </c>
    </row>
    <row r="235" spans="1:12" x14ac:dyDescent="0.3">
      <c r="A235" s="6">
        <v>40525</v>
      </c>
      <c r="B235" s="5">
        <v>4069.99</v>
      </c>
      <c r="C235" s="5">
        <v>121.61</v>
      </c>
      <c r="D235" s="5">
        <v>99.9</v>
      </c>
      <c r="F235">
        <f t="shared" si="14"/>
        <v>6.1317735203696641E-3</v>
      </c>
      <c r="G235">
        <f t="shared" si="15"/>
        <v>1.6582752931534848E-2</v>
      </c>
      <c r="H235">
        <f t="shared" si="16"/>
        <v>-1.0005003335834233E-3</v>
      </c>
      <c r="J235">
        <v>212</v>
      </c>
      <c r="K235" s="10">
        <v>0.19783565066945727</v>
      </c>
      <c r="L235" s="10">
        <v>0.2604817448551362</v>
      </c>
    </row>
    <row r="236" spans="1:12" x14ac:dyDescent="0.3">
      <c r="A236" s="6">
        <v>40526</v>
      </c>
      <c r="B236" s="5">
        <v>4262.54</v>
      </c>
      <c r="C236" s="5">
        <v>120.16</v>
      </c>
      <c r="D236" s="5">
        <v>101.86</v>
      </c>
      <c r="F236">
        <f t="shared" si="14"/>
        <v>4.6224684280798949E-2</v>
      </c>
      <c r="G236">
        <f t="shared" si="15"/>
        <v>-1.19950149770836E-2</v>
      </c>
      <c r="H236">
        <f t="shared" si="16"/>
        <v>1.942963580195077E-2</v>
      </c>
      <c r="J236">
        <v>213</v>
      </c>
      <c r="K236" s="10">
        <v>0.1986906727952924</v>
      </c>
      <c r="L236" s="10">
        <v>0.22325401527843403</v>
      </c>
    </row>
    <row r="237" spans="1:12" x14ac:dyDescent="0.3">
      <c r="A237" s="6">
        <v>40527</v>
      </c>
      <c r="B237" s="5">
        <v>4455.1000999999997</v>
      </c>
      <c r="C237" s="5">
        <v>120</v>
      </c>
      <c r="D237" s="5">
        <v>102.26</v>
      </c>
      <c r="F237">
        <f t="shared" si="14"/>
        <v>4.4184303076320625E-2</v>
      </c>
      <c r="G237">
        <f t="shared" si="15"/>
        <v>-1.3324452337786009E-3</v>
      </c>
      <c r="H237">
        <f t="shared" si="16"/>
        <v>3.9192681953947664E-3</v>
      </c>
      <c r="J237">
        <v>214</v>
      </c>
      <c r="K237" s="10">
        <v>0.19881275743209448</v>
      </c>
      <c r="L237" s="10">
        <v>0.41443424205145318</v>
      </c>
    </row>
    <row r="238" spans="1:12" x14ac:dyDescent="0.3">
      <c r="A238" s="6">
        <v>40532</v>
      </c>
      <c r="B238" s="5">
        <v>4548.5097999999998</v>
      </c>
      <c r="C238" s="5">
        <v>121.41</v>
      </c>
      <c r="D238" s="5">
        <v>102.5</v>
      </c>
      <c r="F238">
        <f t="shared" si="14"/>
        <v>2.0750133027957848E-2</v>
      </c>
      <c r="G238">
        <f t="shared" si="15"/>
        <v>1.1681504773837829E-2</v>
      </c>
      <c r="H238">
        <f t="shared" si="16"/>
        <v>2.3442089266095269E-3</v>
      </c>
      <c r="J238">
        <v>215</v>
      </c>
      <c r="K238" s="10">
        <v>0.29175536213196396</v>
      </c>
      <c r="L238" s="10">
        <v>-6.403241571889523E-2</v>
      </c>
    </row>
    <row r="239" spans="1:12" x14ac:dyDescent="0.3">
      <c r="A239" s="6">
        <v>40533</v>
      </c>
      <c r="B239" s="5">
        <v>4469</v>
      </c>
      <c r="C239" s="5">
        <v>121.71</v>
      </c>
      <c r="D239" s="5">
        <v>107.07</v>
      </c>
      <c r="F239">
        <f t="shared" si="14"/>
        <v>-1.7634992882791082E-2</v>
      </c>
      <c r="G239">
        <f t="shared" si="15"/>
        <v>2.4679183305816501E-3</v>
      </c>
      <c r="H239">
        <f t="shared" si="16"/>
        <v>4.3620027591715842E-2</v>
      </c>
      <c r="J239">
        <v>216</v>
      </c>
      <c r="K239" s="10">
        <v>0.19031000548490867</v>
      </c>
      <c r="L239" s="10">
        <v>0.37082943663644397</v>
      </c>
    </row>
    <row r="240" spans="1:12" x14ac:dyDescent="0.3">
      <c r="A240" s="6">
        <v>40534</v>
      </c>
      <c r="B240" s="5">
        <v>4433.0600999999997</v>
      </c>
      <c r="C240" s="5">
        <v>121.1</v>
      </c>
      <c r="D240" s="5">
        <v>110.13</v>
      </c>
      <c r="F240">
        <f t="shared" si="14"/>
        <v>-8.0745568699673483E-3</v>
      </c>
      <c r="G240">
        <f t="shared" si="15"/>
        <v>-5.024515327418968E-3</v>
      </c>
      <c r="H240">
        <f t="shared" si="16"/>
        <v>2.8178660006674065E-2</v>
      </c>
      <c r="J240">
        <v>217</v>
      </c>
      <c r="K240" s="10">
        <v>0.21039510206595077</v>
      </c>
      <c r="L240" s="10">
        <v>0.12625342105664841</v>
      </c>
    </row>
    <row r="241" spans="1:12" x14ac:dyDescent="0.3">
      <c r="A241" s="6">
        <v>40535</v>
      </c>
      <c r="B241" s="5">
        <v>4453.2201999999997</v>
      </c>
      <c r="C241" s="5">
        <v>120.28</v>
      </c>
      <c r="D241" s="5">
        <v>107.73</v>
      </c>
      <c r="F241">
        <f t="shared" si="14"/>
        <v>4.5373618447341014E-3</v>
      </c>
      <c r="G241">
        <f t="shared" si="15"/>
        <v>-6.7942924387181742E-3</v>
      </c>
      <c r="H241">
        <f t="shared" si="16"/>
        <v>-2.2033389270751373E-2</v>
      </c>
      <c r="J241">
        <v>218</v>
      </c>
      <c r="K241" s="10">
        <v>0.20353142025133766</v>
      </c>
      <c r="L241" s="10">
        <v>0.12981614733570768</v>
      </c>
    </row>
    <row r="242" spans="1:12" x14ac:dyDescent="0.3">
      <c r="A242" s="6">
        <v>40536</v>
      </c>
      <c r="B242" s="5">
        <v>4362.2402000000002</v>
      </c>
      <c r="C242" s="5">
        <v>119.56</v>
      </c>
      <c r="D242" s="5">
        <v>107.9</v>
      </c>
      <c r="F242">
        <f t="shared" si="14"/>
        <v>-2.0641742179482406E-2</v>
      </c>
      <c r="G242">
        <f t="shared" si="15"/>
        <v>-6.0040207045912418E-3</v>
      </c>
      <c r="H242">
        <f t="shared" si="16"/>
        <v>1.5767753579878682E-3</v>
      </c>
      <c r="J242">
        <v>219</v>
      </c>
      <c r="K242" s="10">
        <v>0.24383082780530815</v>
      </c>
      <c r="L242" s="10">
        <v>-2.6222453054189902E-2</v>
      </c>
    </row>
    <row r="243" spans="1:12" x14ac:dyDescent="0.3">
      <c r="A243" s="6">
        <v>40539</v>
      </c>
      <c r="B243" s="5">
        <v>4390.0097999999998</v>
      </c>
      <c r="C243" s="5">
        <v>121.73</v>
      </c>
      <c r="D243" s="5">
        <v>110</v>
      </c>
      <c r="F243">
        <f t="shared" si="14"/>
        <v>6.3457266842308988E-3</v>
      </c>
      <c r="G243">
        <f t="shared" si="15"/>
        <v>1.7987140005767822E-2</v>
      </c>
      <c r="H243">
        <f t="shared" si="16"/>
        <v>1.9275493528327171E-2</v>
      </c>
      <c r="J243">
        <v>220</v>
      </c>
      <c r="K243" s="10">
        <v>0.19150439239420883</v>
      </c>
      <c r="L243" s="10">
        <v>0.2231886415057357</v>
      </c>
    </row>
    <row r="244" spans="1:12" x14ac:dyDescent="0.3">
      <c r="A244" s="6">
        <v>40540</v>
      </c>
      <c r="B244" s="5">
        <v>4393.4301999999998</v>
      </c>
      <c r="C244" s="5">
        <v>122.35</v>
      </c>
      <c r="D244" s="5">
        <v>109.35</v>
      </c>
      <c r="F244">
        <f t="shared" si="14"/>
        <v>7.7882929077759697E-4</v>
      </c>
      <c r="G244">
        <f t="shared" si="15"/>
        <v>5.0803124671756671E-3</v>
      </c>
      <c r="H244">
        <f t="shared" si="16"/>
        <v>-5.9266186696394479E-3</v>
      </c>
      <c r="J244">
        <v>221</v>
      </c>
      <c r="K244" s="10">
        <v>0.19153115455644221</v>
      </c>
      <c r="L244" s="10">
        <v>0.30093672354293077</v>
      </c>
    </row>
    <row r="245" spans="1:12" x14ac:dyDescent="0.3">
      <c r="A245" s="6">
        <v>40541</v>
      </c>
      <c r="B245" s="5">
        <v>4355.96</v>
      </c>
      <c r="C245" s="5">
        <v>122</v>
      </c>
      <c r="D245" s="5">
        <v>108.98</v>
      </c>
      <c r="F245">
        <f t="shared" si="14"/>
        <v>-8.5652664295104153E-3</v>
      </c>
      <c r="G245">
        <f t="shared" si="15"/>
        <v>-2.8647451554240561E-3</v>
      </c>
      <c r="H245">
        <f t="shared" si="16"/>
        <v>-3.3893679678244611E-3</v>
      </c>
      <c r="J245">
        <v>222</v>
      </c>
      <c r="K245" s="10">
        <v>0.23502456653455198</v>
      </c>
      <c r="L245" s="10">
        <v>-5.1086816420843076E-2</v>
      </c>
    </row>
    <row r="246" spans="1:12" x14ac:dyDescent="0.3">
      <c r="A246" s="6">
        <v>40542</v>
      </c>
      <c r="B246" s="5">
        <v>4343.5</v>
      </c>
      <c r="C246" s="5">
        <v>125.66</v>
      </c>
      <c r="D246" s="5">
        <v>109.84</v>
      </c>
      <c r="F246">
        <f t="shared" si="14"/>
        <v>-2.8645475742588322E-3</v>
      </c>
      <c r="G246">
        <f t="shared" si="15"/>
        <v>2.9558802241544429E-2</v>
      </c>
      <c r="H246">
        <f t="shared" si="16"/>
        <v>7.8603823047632866E-3</v>
      </c>
      <c r="J246">
        <v>223</v>
      </c>
      <c r="K246" s="10">
        <v>0.25702651868676302</v>
      </c>
      <c r="L246" s="10">
        <v>0.10341502601708526</v>
      </c>
    </row>
    <row r="247" spans="1:12" x14ac:dyDescent="0.3">
      <c r="A247" s="6">
        <v>40543</v>
      </c>
      <c r="B247" s="5">
        <v>4360.1698999999999</v>
      </c>
      <c r="C247" s="5">
        <v>124.68</v>
      </c>
      <c r="D247" s="5">
        <v>109.74</v>
      </c>
      <c r="F247">
        <f t="shared" si="14"/>
        <v>3.8305497737845832E-3</v>
      </c>
      <c r="G247">
        <f t="shared" si="15"/>
        <v>-7.8293920756645034E-3</v>
      </c>
      <c r="H247">
        <f t="shared" si="16"/>
        <v>-9.1082982888631499E-4</v>
      </c>
      <c r="J247">
        <v>224</v>
      </c>
      <c r="K247" s="10">
        <v>0.19427024019574229</v>
      </c>
      <c r="L247" s="10">
        <v>0.2835551071584847</v>
      </c>
    </row>
    <row r="248" spans="1:12" x14ac:dyDescent="0.3">
      <c r="J248">
        <v>225</v>
      </c>
      <c r="K248" s="10">
        <v>0.2347943235287045</v>
      </c>
      <c r="L248" s="10">
        <v>0.31961406202677561</v>
      </c>
    </row>
    <row r="249" spans="1:12" x14ac:dyDescent="0.3">
      <c r="J249">
        <v>226</v>
      </c>
      <c r="K249" s="10">
        <v>0.20877486261870135</v>
      </c>
      <c r="L249" s="10">
        <v>0.20193223468043875</v>
      </c>
    </row>
    <row r="250" spans="1:12" x14ac:dyDescent="0.3">
      <c r="J250">
        <v>227</v>
      </c>
      <c r="K250" s="10">
        <v>0.23094837892807721</v>
      </c>
      <c r="L250" s="10">
        <v>0.17991248796100953</v>
      </c>
    </row>
    <row r="251" spans="1:12" x14ac:dyDescent="0.3">
      <c r="J251">
        <v>228</v>
      </c>
      <c r="K251" s="10">
        <v>0.19563146796749217</v>
      </c>
      <c r="L251" s="10">
        <v>0.39708599008464462</v>
      </c>
    </row>
    <row r="252" spans="1:12" x14ac:dyDescent="0.3">
      <c r="J252">
        <v>229</v>
      </c>
      <c r="K252" s="10">
        <v>0.20171290575473699</v>
      </c>
      <c r="L252" s="10">
        <v>0.28725017188793389</v>
      </c>
    </row>
    <row r="253" spans="1:12" x14ac:dyDescent="0.3">
      <c r="J253">
        <v>230</v>
      </c>
      <c r="K253" s="10">
        <v>0.23681489684921456</v>
      </c>
      <c r="L253" s="10">
        <v>-2.186782490948784E-2</v>
      </c>
    </row>
    <row r="254" spans="1:12" x14ac:dyDescent="0.3">
      <c r="J254">
        <v>231</v>
      </c>
      <c r="K254" s="10">
        <v>0.22544509605168817</v>
      </c>
      <c r="L254" s="10">
        <v>0.59487966019903005</v>
      </c>
    </row>
    <row r="255" spans="1:12" x14ac:dyDescent="0.3">
      <c r="J255">
        <v>232</v>
      </c>
      <c r="K255" s="10">
        <v>0.19326506241381569</v>
      </c>
      <c r="L255" s="10">
        <v>0.39580163618570174</v>
      </c>
    </row>
    <row r="256" spans="1:12" x14ac:dyDescent="0.3">
      <c r="J256">
        <v>233</v>
      </c>
      <c r="K256" s="10">
        <v>0.24114310800886202</v>
      </c>
      <c r="L256" s="10">
        <v>-5.0649055352761929E-2</v>
      </c>
    </row>
    <row r="257" spans="10:12" x14ac:dyDescent="0.3">
      <c r="J257">
        <v>234</v>
      </c>
      <c r="K257" s="10">
        <v>0.26248096570045731</v>
      </c>
      <c r="L257" s="10">
        <v>0.1636442128407688</v>
      </c>
    </row>
    <row r="258" spans="10:12" x14ac:dyDescent="0.3">
      <c r="J258">
        <v>235</v>
      </c>
      <c r="K258" s="10">
        <v>0.18996777697199765</v>
      </c>
      <c r="L258" s="10">
        <v>0.25158418678830063</v>
      </c>
    </row>
    <row r="259" spans="10:12" x14ac:dyDescent="0.3">
      <c r="J259">
        <v>236</v>
      </c>
      <c r="K259" s="10">
        <v>0.19778060627453878</v>
      </c>
      <c r="L259" s="10">
        <v>0.21547169413613235</v>
      </c>
    </row>
    <row r="260" spans="10:12" x14ac:dyDescent="0.3">
      <c r="J260">
        <v>237</v>
      </c>
      <c r="K260" s="10">
        <v>0.23445697407761465</v>
      </c>
      <c r="L260" s="10">
        <v>2.8232923647518955E-2</v>
      </c>
    </row>
    <row r="261" spans="10:12" x14ac:dyDescent="0.3">
      <c r="J261">
        <v>238</v>
      </c>
      <c r="K261" s="10">
        <v>0.21359290095739872</v>
      </c>
      <c r="L261" s="10">
        <v>0.46155902784040331</v>
      </c>
    </row>
    <row r="262" spans="10:12" x14ac:dyDescent="0.3">
      <c r="J262">
        <v>239</v>
      </c>
      <c r="K262" s="10">
        <v>0.20202000840241796</v>
      </c>
      <c r="L262" s="10">
        <v>0.12400422297968089</v>
      </c>
    </row>
    <row r="263" spans="10:12" x14ac:dyDescent="0.3">
      <c r="J263">
        <v>240</v>
      </c>
      <c r="K263" s="10">
        <v>0.21901377940743255</v>
      </c>
      <c r="L263" s="10">
        <v>4.0247516876265647E-2</v>
      </c>
    </row>
    <row r="264" spans="10:12" x14ac:dyDescent="0.3">
      <c r="J264">
        <v>241</v>
      </c>
      <c r="K264" s="10">
        <v>0.1935562547067772</v>
      </c>
      <c r="L264" s="10">
        <v>0.23620201123122528</v>
      </c>
    </row>
    <row r="265" spans="10:12" x14ac:dyDescent="0.3">
      <c r="J265">
        <v>242</v>
      </c>
      <c r="K265" s="10">
        <v>0.25612204563786983</v>
      </c>
      <c r="L265" s="10">
        <v>0.11810744668103756</v>
      </c>
    </row>
    <row r="266" spans="10:12" x14ac:dyDescent="0.3">
      <c r="J266">
        <v>243</v>
      </c>
      <c r="K266" s="10">
        <v>0.18980205271463133</v>
      </c>
      <c r="L266" s="10">
        <v>0.26022641895833237</v>
      </c>
    </row>
    <row r="267" spans="10:12" x14ac:dyDescent="0.3">
      <c r="J267">
        <v>244</v>
      </c>
      <c r="K267" s="10">
        <v>0.19847259019792723</v>
      </c>
      <c r="L267" s="10">
        <v>0.22755244779278788</v>
      </c>
    </row>
    <row r="268" spans="10:12" x14ac:dyDescent="0.3">
      <c r="J268">
        <v>245</v>
      </c>
      <c r="K268" s="10">
        <v>0.22806861201700268</v>
      </c>
      <c r="L268" s="10">
        <v>0.28442163324741487</v>
      </c>
    </row>
    <row r="269" spans="10:12" x14ac:dyDescent="0.3">
      <c r="J269">
        <v>246</v>
      </c>
      <c r="K269" s="10">
        <v>0.19073314681559828</v>
      </c>
      <c r="L269" s="10">
        <v>0.37360865089168077</v>
      </c>
    </row>
    <row r="270" spans="10:12" x14ac:dyDescent="0.3">
      <c r="J270">
        <v>247</v>
      </c>
      <c r="K270" s="10">
        <v>0.2232797621429656</v>
      </c>
      <c r="L270" s="10">
        <v>7.8846053767063773E-2</v>
      </c>
    </row>
    <row r="271" spans="10:12" x14ac:dyDescent="0.3">
      <c r="J271">
        <v>248</v>
      </c>
      <c r="K271" s="10">
        <v>0.20345797836867699</v>
      </c>
      <c r="L271" s="10">
        <v>0.13379031322775031</v>
      </c>
    </row>
    <row r="272" spans="10:12" x14ac:dyDescent="0.3">
      <c r="J272">
        <v>249</v>
      </c>
      <c r="K272" s="10">
        <v>0.2079355592928607</v>
      </c>
      <c r="L272" s="10">
        <v>0.28910055537690904</v>
      </c>
    </row>
    <row r="273" spans="10:12" x14ac:dyDescent="0.3">
      <c r="J273">
        <v>250</v>
      </c>
      <c r="K273" s="10">
        <v>0.28332038055944958</v>
      </c>
      <c r="L273" s="10">
        <v>0.1253498651235124</v>
      </c>
    </row>
    <row r="274" spans="10:12" x14ac:dyDescent="0.3">
      <c r="J274">
        <v>251</v>
      </c>
      <c r="K274" s="10">
        <v>0.20679901074586859</v>
      </c>
      <c r="L274" s="10">
        <v>0.11826834981772685</v>
      </c>
    </row>
    <row r="275" spans="10:12" x14ac:dyDescent="0.3">
      <c r="J275">
        <v>252</v>
      </c>
      <c r="K275" s="10">
        <v>0.2080350547351171</v>
      </c>
      <c r="L275" s="10">
        <v>0.49258426507286662</v>
      </c>
    </row>
    <row r="276" spans="10:12" x14ac:dyDescent="0.3">
      <c r="J276">
        <v>253</v>
      </c>
      <c r="K276" s="10">
        <v>0.24882228806739243</v>
      </c>
      <c r="L276" s="10">
        <v>-9.8362748236362207E-3</v>
      </c>
    </row>
    <row r="277" spans="10:12" x14ac:dyDescent="0.3">
      <c r="J277">
        <v>254</v>
      </c>
      <c r="K277" s="10">
        <v>0.22808422223183838</v>
      </c>
      <c r="L277" s="10">
        <v>3.1297008268984079E-2</v>
      </c>
    </row>
    <row r="278" spans="10:12" x14ac:dyDescent="0.3">
      <c r="J278">
        <v>255</v>
      </c>
      <c r="K278" s="10">
        <v>0.19001356550001663</v>
      </c>
      <c r="L278" s="10">
        <v>0.36275732069559508</v>
      </c>
    </row>
    <row r="279" spans="10:12" x14ac:dyDescent="0.3">
      <c r="J279">
        <v>256</v>
      </c>
      <c r="K279" s="10">
        <v>0.21827739799476439</v>
      </c>
      <c r="L279" s="10">
        <v>0.47079612341502397</v>
      </c>
    </row>
    <row r="280" spans="10:12" x14ac:dyDescent="0.3">
      <c r="J280">
        <v>257</v>
      </c>
      <c r="K280" s="10">
        <v>0.21210577410130982</v>
      </c>
      <c r="L280" s="10">
        <v>7.651263612415965E-2</v>
      </c>
    </row>
    <row r="281" spans="10:12" x14ac:dyDescent="0.3">
      <c r="J281">
        <v>258</v>
      </c>
      <c r="K281" s="10">
        <v>0.20003431788502521</v>
      </c>
      <c r="L281" s="10">
        <v>0.47777285058959273</v>
      </c>
    </row>
    <row r="282" spans="10:12" x14ac:dyDescent="0.3">
      <c r="J282">
        <v>259</v>
      </c>
      <c r="K282" s="10">
        <v>0.20738229198290559</v>
      </c>
      <c r="L282" s="10">
        <v>9.5085011189856822E-2</v>
      </c>
    </row>
    <row r="283" spans="10:12" x14ac:dyDescent="0.3">
      <c r="J283">
        <v>260</v>
      </c>
      <c r="K283" s="10">
        <v>0.24848952871334562</v>
      </c>
      <c r="L283" s="10">
        <v>-8.3467323027392376E-2</v>
      </c>
    </row>
    <row r="284" spans="10:12" x14ac:dyDescent="0.3">
      <c r="J284">
        <v>261</v>
      </c>
      <c r="K284" s="10">
        <v>0.24057963240924476</v>
      </c>
      <c r="L284" s="10">
        <v>8.1129577025315966E-2</v>
      </c>
    </row>
    <row r="285" spans="10:12" x14ac:dyDescent="0.3">
      <c r="J285">
        <v>262</v>
      </c>
      <c r="K285" s="10">
        <v>0.22529274908277272</v>
      </c>
      <c r="L285" s="10">
        <v>0.4856653562152784</v>
      </c>
    </row>
    <row r="286" spans="10:12" x14ac:dyDescent="0.3">
      <c r="J286">
        <v>263</v>
      </c>
      <c r="K286" s="10">
        <v>0.19647446786619344</v>
      </c>
      <c r="L286" s="10">
        <v>0.37529171709121328</v>
      </c>
    </row>
    <row r="287" spans="10:12" x14ac:dyDescent="0.3">
      <c r="J287">
        <v>264</v>
      </c>
      <c r="K287" s="10">
        <v>0.20895970889221974</v>
      </c>
      <c r="L287" s="10">
        <v>0.22483392760605742</v>
      </c>
    </row>
    <row r="288" spans="10:12" x14ac:dyDescent="0.3">
      <c r="J288">
        <v>265</v>
      </c>
      <c r="K288" s="10">
        <v>0.20233699534210756</v>
      </c>
      <c r="L288" s="10">
        <v>0.28776480471190902</v>
      </c>
    </row>
    <row r="289" spans="10:12" x14ac:dyDescent="0.3">
      <c r="J289">
        <v>266</v>
      </c>
      <c r="K289" s="10">
        <v>0.20137984486196492</v>
      </c>
      <c r="L289" s="10">
        <v>0.4237613849809132</v>
      </c>
    </row>
    <row r="290" spans="10:12" x14ac:dyDescent="0.3">
      <c r="J290">
        <v>267</v>
      </c>
      <c r="K290" s="10">
        <v>0.20113410091549308</v>
      </c>
      <c r="L290" s="10">
        <v>0.1401264791391405</v>
      </c>
    </row>
    <row r="291" spans="10:12" x14ac:dyDescent="0.3">
      <c r="J291">
        <v>268</v>
      </c>
      <c r="K291" s="10">
        <v>0.24674840341760224</v>
      </c>
      <c r="L291" s="10">
        <v>3.0587950988455084E-2</v>
      </c>
    </row>
    <row r="292" spans="10:12" x14ac:dyDescent="0.3">
      <c r="J292">
        <v>269</v>
      </c>
      <c r="K292" s="10">
        <v>0.22553629531926747</v>
      </c>
      <c r="L292" s="10">
        <v>0.58823647722894401</v>
      </c>
    </row>
    <row r="293" spans="10:12" x14ac:dyDescent="0.3">
      <c r="J293">
        <v>270</v>
      </c>
      <c r="K293" s="10">
        <v>0.19996310798548458</v>
      </c>
      <c r="L293" s="10">
        <v>0.47663444449157361</v>
      </c>
    </row>
    <row r="294" spans="10:12" x14ac:dyDescent="0.3">
      <c r="J294">
        <v>271</v>
      </c>
      <c r="K294" s="10">
        <v>0.19732699955947475</v>
      </c>
      <c r="L294" s="10">
        <v>0.41871744316130705</v>
      </c>
    </row>
    <row r="295" spans="10:12" x14ac:dyDescent="0.3">
      <c r="J295">
        <v>272</v>
      </c>
      <c r="K295" s="10">
        <v>0.33056059349863687</v>
      </c>
      <c r="L295" s="10">
        <v>-6.8882439323758926E-2</v>
      </c>
    </row>
    <row r="296" spans="10:12" x14ac:dyDescent="0.3">
      <c r="J296">
        <v>273</v>
      </c>
      <c r="K296" s="10">
        <v>0.19955101904173059</v>
      </c>
      <c r="L296" s="10">
        <v>0.16364603328405275</v>
      </c>
    </row>
    <row r="297" spans="10:12" x14ac:dyDescent="0.3">
      <c r="J297">
        <v>274</v>
      </c>
      <c r="K297" s="10">
        <v>0.21724277366967623</v>
      </c>
      <c r="L297" s="10">
        <v>0.13804397416107456</v>
      </c>
    </row>
    <row r="298" spans="10:12" x14ac:dyDescent="0.3">
      <c r="J298">
        <v>275</v>
      </c>
      <c r="K298" s="10">
        <v>0.250142075086912</v>
      </c>
      <c r="L298" s="10">
        <v>-4.6821177754996737E-2</v>
      </c>
    </row>
    <row r="299" spans="10:12" x14ac:dyDescent="0.3">
      <c r="J299">
        <v>276</v>
      </c>
      <c r="K299" s="10">
        <v>0.21718578897193908</v>
      </c>
      <c r="L299" s="10">
        <v>8.511726537966173E-2</v>
      </c>
    </row>
    <row r="300" spans="10:12" x14ac:dyDescent="0.3">
      <c r="J300">
        <v>277</v>
      </c>
      <c r="K300" s="10">
        <v>0.19683887875168371</v>
      </c>
      <c r="L300" s="10">
        <v>0.28738027248164877</v>
      </c>
    </row>
    <row r="301" spans="10:12" x14ac:dyDescent="0.3">
      <c r="J301">
        <v>278</v>
      </c>
      <c r="K301" s="10">
        <v>0.25220641611402361</v>
      </c>
      <c r="L301" s="10">
        <v>0.73593718283424236</v>
      </c>
    </row>
    <row r="302" spans="10:12" x14ac:dyDescent="0.3">
      <c r="J302">
        <v>279</v>
      </c>
      <c r="K302" s="10">
        <v>0.21086527704425989</v>
      </c>
      <c r="L302" s="10">
        <v>0.23178765201966919</v>
      </c>
    </row>
    <row r="303" spans="10:12" x14ac:dyDescent="0.3">
      <c r="J303">
        <v>280</v>
      </c>
      <c r="K303" s="10">
        <v>0.2460895754651487</v>
      </c>
      <c r="L303" s="10">
        <v>5.1077132687509519E-2</v>
      </c>
    </row>
    <row r="304" spans="10:12" x14ac:dyDescent="0.3">
      <c r="J304">
        <v>281</v>
      </c>
      <c r="K304" s="10">
        <v>0.21441642064757699</v>
      </c>
      <c r="L304" s="10">
        <v>0.36410732715594485</v>
      </c>
    </row>
    <row r="305" spans="10:12" x14ac:dyDescent="0.3">
      <c r="J305">
        <v>282</v>
      </c>
      <c r="K305" s="10">
        <v>0.22742204515619227</v>
      </c>
      <c r="L305" s="10">
        <v>0.59916415838321946</v>
      </c>
    </row>
    <row r="306" spans="10:12" x14ac:dyDescent="0.3">
      <c r="J306">
        <v>283</v>
      </c>
      <c r="K306" s="10">
        <v>0.19544283779956431</v>
      </c>
      <c r="L306" s="10">
        <v>0.23453063510017783</v>
      </c>
    </row>
    <row r="307" spans="10:12" x14ac:dyDescent="0.3">
      <c r="J307">
        <v>284</v>
      </c>
      <c r="K307" s="10">
        <v>0.2297936996387302</v>
      </c>
      <c r="L307" s="10">
        <v>0.10486205069820502</v>
      </c>
    </row>
    <row r="308" spans="10:12" x14ac:dyDescent="0.3">
      <c r="J308">
        <v>285</v>
      </c>
      <c r="K308" s="10">
        <v>0.2121996779520085</v>
      </c>
      <c r="L308" s="10">
        <v>8.068490804372308E-2</v>
      </c>
    </row>
    <row r="309" spans="10:12" x14ac:dyDescent="0.3">
      <c r="J309">
        <v>286</v>
      </c>
      <c r="K309" s="10">
        <v>0.21568488561599569</v>
      </c>
      <c r="L309" s="10">
        <v>7.4686323291171974E-2</v>
      </c>
    </row>
    <row r="310" spans="10:12" x14ac:dyDescent="0.3">
      <c r="J310">
        <v>287</v>
      </c>
      <c r="K310" s="10">
        <v>0.1987731799615938</v>
      </c>
      <c r="L310" s="10">
        <v>0.44821741090922723</v>
      </c>
    </row>
    <row r="311" spans="10:12" x14ac:dyDescent="0.3">
      <c r="J311">
        <v>288</v>
      </c>
      <c r="K311" s="10">
        <v>0.20900945426406176</v>
      </c>
      <c r="L311" s="10">
        <v>0.51511239988575697</v>
      </c>
    </row>
    <row r="312" spans="10:12" x14ac:dyDescent="0.3">
      <c r="J312">
        <v>289</v>
      </c>
      <c r="K312" s="10">
        <v>0.20095493006367007</v>
      </c>
      <c r="L312" s="10">
        <v>0.29693637631208131</v>
      </c>
    </row>
    <row r="313" spans="10:12" x14ac:dyDescent="0.3">
      <c r="J313">
        <v>290</v>
      </c>
      <c r="K313" s="10">
        <v>0.1955355791147888</v>
      </c>
      <c r="L313" s="10">
        <v>0.26313317230104</v>
      </c>
    </row>
    <row r="314" spans="10:12" x14ac:dyDescent="0.3">
      <c r="J314">
        <v>291</v>
      </c>
      <c r="K314" s="10">
        <v>0.2137615651200335</v>
      </c>
      <c r="L314" s="10">
        <v>0.51933381968359593</v>
      </c>
    </row>
    <row r="315" spans="10:12" x14ac:dyDescent="0.3">
      <c r="J315">
        <v>292</v>
      </c>
      <c r="K315" s="10">
        <v>0.20924747696472934</v>
      </c>
      <c r="L315" s="10">
        <v>0.13502143218834733</v>
      </c>
    </row>
    <row r="316" spans="10:12" x14ac:dyDescent="0.3">
      <c r="J316">
        <v>293</v>
      </c>
      <c r="K316" s="10">
        <v>0.25604346702517422</v>
      </c>
      <c r="L316" s="10">
        <v>-1.6602492199144746E-3</v>
      </c>
    </row>
    <row r="317" spans="10:12" x14ac:dyDescent="0.3">
      <c r="J317">
        <v>294</v>
      </c>
      <c r="K317" s="10">
        <v>0.31333013805737053</v>
      </c>
      <c r="L317" s="10">
        <v>1.0184373842929178E-2</v>
      </c>
    </row>
    <row r="318" spans="10:12" x14ac:dyDescent="0.3">
      <c r="J318">
        <v>295</v>
      </c>
      <c r="K318" s="10">
        <v>0.21807934496795597</v>
      </c>
      <c r="L318" s="10">
        <v>2.6393393426325858E-2</v>
      </c>
    </row>
    <row r="319" spans="10:12" x14ac:dyDescent="0.3">
      <c r="J319">
        <v>296</v>
      </c>
      <c r="K319" s="10">
        <v>0.25719119521178652</v>
      </c>
      <c r="L319" s="10">
        <v>0.21168001191192751</v>
      </c>
    </row>
    <row r="320" spans="10:12" x14ac:dyDescent="0.3">
      <c r="J320">
        <v>297</v>
      </c>
      <c r="K320" s="10">
        <v>0.27156815648057575</v>
      </c>
      <c r="L320" s="10">
        <v>-3.6629253186229796E-2</v>
      </c>
    </row>
    <row r="321" spans="10:12" x14ac:dyDescent="0.3">
      <c r="J321">
        <v>298</v>
      </c>
      <c r="K321" s="10">
        <v>0.19694723253191915</v>
      </c>
      <c r="L321" s="10">
        <v>0.35222666224986304</v>
      </c>
    </row>
    <row r="322" spans="10:12" x14ac:dyDescent="0.3">
      <c r="J322">
        <v>299</v>
      </c>
      <c r="K322" s="10">
        <v>0.23605010420086603</v>
      </c>
      <c r="L322" s="10">
        <v>4.3644722862885149E-4</v>
      </c>
    </row>
    <row r="323" spans="10:12" x14ac:dyDescent="0.3">
      <c r="J323">
        <v>300</v>
      </c>
      <c r="K323" s="10">
        <v>0.25104716551660494</v>
      </c>
      <c r="L323" s="10">
        <v>0.23612562889072855</v>
      </c>
    </row>
    <row r="324" spans="10:12" x14ac:dyDescent="0.3">
      <c r="J324">
        <v>301</v>
      </c>
      <c r="K324" s="10">
        <v>0.24324037561563927</v>
      </c>
      <c r="L324" s="10">
        <v>-4.6592731379089765E-2</v>
      </c>
    </row>
    <row r="325" spans="10:12" x14ac:dyDescent="0.3">
      <c r="J325">
        <v>302</v>
      </c>
      <c r="K325" s="10">
        <v>0.19004576798460793</v>
      </c>
      <c r="L325" s="10">
        <v>0.34870509804188654</v>
      </c>
    </row>
    <row r="326" spans="10:12" x14ac:dyDescent="0.3">
      <c r="J326">
        <v>303</v>
      </c>
      <c r="K326" s="10">
        <v>0.20455808057698946</v>
      </c>
      <c r="L326" s="10">
        <v>0.5099826121883746</v>
      </c>
    </row>
    <row r="327" spans="10:12" x14ac:dyDescent="0.3">
      <c r="J327">
        <v>304</v>
      </c>
      <c r="K327" s="10">
        <v>0.19116210708489181</v>
      </c>
      <c r="L327" s="10">
        <v>0.24468211637439888</v>
      </c>
    </row>
    <row r="328" spans="10:12" x14ac:dyDescent="0.3">
      <c r="J328">
        <v>305</v>
      </c>
      <c r="K328" s="10">
        <v>0.22766692993140433</v>
      </c>
      <c r="L328" s="10">
        <v>-1.9957439656622999E-2</v>
      </c>
    </row>
    <row r="329" spans="10:12" x14ac:dyDescent="0.3">
      <c r="J329">
        <v>306</v>
      </c>
      <c r="K329" s="10">
        <v>0.20130220746630573</v>
      </c>
      <c r="L329" s="10">
        <v>0.28440949157595063</v>
      </c>
    </row>
    <row r="330" spans="10:12" x14ac:dyDescent="0.3">
      <c r="J330">
        <v>307</v>
      </c>
      <c r="K330" s="10">
        <v>0.19165020968911628</v>
      </c>
      <c r="L330" s="10">
        <v>0.37165397886283646</v>
      </c>
    </row>
    <row r="331" spans="10:12" x14ac:dyDescent="0.3">
      <c r="J331">
        <v>308</v>
      </c>
      <c r="K331" s="10">
        <v>0.25490809766310873</v>
      </c>
      <c r="L331" s="10">
        <v>0.74771498148882032</v>
      </c>
    </row>
    <row r="332" spans="10:12" x14ac:dyDescent="0.3">
      <c r="J332">
        <v>309</v>
      </c>
      <c r="K332" s="10">
        <v>0.21717543410198992</v>
      </c>
      <c r="L332" s="10">
        <v>6.1262162005750416E-2</v>
      </c>
    </row>
    <row r="333" spans="10:12" x14ac:dyDescent="0.3">
      <c r="J333">
        <v>310</v>
      </c>
      <c r="K333" s="10">
        <v>0.19002568280696883</v>
      </c>
      <c r="L333" s="10">
        <v>0.36338496233161399</v>
      </c>
    </row>
    <row r="334" spans="10:12" x14ac:dyDescent="0.3">
      <c r="J334">
        <v>311</v>
      </c>
      <c r="K334" s="10">
        <v>0.22591323346618392</v>
      </c>
      <c r="L334" s="10">
        <v>0.21324368713013533</v>
      </c>
    </row>
    <row r="335" spans="10:12" x14ac:dyDescent="0.3">
      <c r="J335">
        <v>312</v>
      </c>
      <c r="K335" s="10">
        <v>0.23081550500823289</v>
      </c>
      <c r="L335" s="10">
        <v>0.13340318248600599</v>
      </c>
    </row>
    <row r="336" spans="10:12" x14ac:dyDescent="0.3">
      <c r="J336">
        <v>313</v>
      </c>
      <c r="K336" s="10">
        <v>0.22175449989645218</v>
      </c>
      <c r="L336" s="10">
        <v>0.19700448759827699</v>
      </c>
    </row>
    <row r="337" spans="10:12" x14ac:dyDescent="0.3">
      <c r="J337">
        <v>314</v>
      </c>
      <c r="K337" s="10">
        <v>0.190224276631204</v>
      </c>
      <c r="L337" s="10">
        <v>0.25667728725633787</v>
      </c>
    </row>
    <row r="338" spans="10:12" x14ac:dyDescent="0.3">
      <c r="J338">
        <v>315</v>
      </c>
      <c r="K338" s="10">
        <v>0.19818469961674171</v>
      </c>
      <c r="L338" s="10">
        <v>0.25144786510423262</v>
      </c>
    </row>
    <row r="339" spans="10:12" x14ac:dyDescent="0.3">
      <c r="J339">
        <v>316</v>
      </c>
      <c r="K339" s="10">
        <v>0.18927509610946175</v>
      </c>
      <c r="L339" s="10">
        <v>0.27401396573587139</v>
      </c>
    </row>
    <row r="340" spans="10:12" x14ac:dyDescent="0.3">
      <c r="J340">
        <v>317</v>
      </c>
      <c r="K340" s="10">
        <v>0.26608182393802254</v>
      </c>
      <c r="L340" s="10">
        <v>0.11095862967674067</v>
      </c>
    </row>
    <row r="341" spans="10:12" x14ac:dyDescent="0.3">
      <c r="J341">
        <v>318</v>
      </c>
      <c r="K341" s="10">
        <v>0.26057125150155952</v>
      </c>
      <c r="L341" s="10">
        <v>-8.3364253712562703E-2</v>
      </c>
    </row>
    <row r="342" spans="10:12" x14ac:dyDescent="0.3">
      <c r="J342">
        <v>319</v>
      </c>
      <c r="K342" s="10">
        <v>0.19983078142812974</v>
      </c>
      <c r="L342" s="10">
        <v>0.14331426405179043</v>
      </c>
    </row>
    <row r="343" spans="10:12" x14ac:dyDescent="0.3">
      <c r="J343">
        <v>320</v>
      </c>
      <c r="K343" s="10">
        <v>0.19410191606133423</v>
      </c>
      <c r="L343" s="10">
        <v>0.20149094018319516</v>
      </c>
    </row>
    <row r="344" spans="10:12" x14ac:dyDescent="0.3">
      <c r="J344">
        <v>321</v>
      </c>
      <c r="K344" s="10">
        <v>0.30118689819958344</v>
      </c>
      <c r="L344" s="10">
        <v>-8.0743210389904521E-2</v>
      </c>
    </row>
    <row r="345" spans="10:12" x14ac:dyDescent="0.3">
      <c r="J345">
        <v>322</v>
      </c>
      <c r="K345" s="10">
        <v>0.19048796053076233</v>
      </c>
      <c r="L345" s="10">
        <v>0.25800761560767294</v>
      </c>
    </row>
    <row r="346" spans="10:12" x14ac:dyDescent="0.3">
      <c r="J346">
        <v>323</v>
      </c>
      <c r="K346" s="10">
        <v>0.24401895638343035</v>
      </c>
      <c r="L346" s="10">
        <v>-6.1099075336417147E-2</v>
      </c>
    </row>
    <row r="347" spans="10:12" x14ac:dyDescent="0.3">
      <c r="J347">
        <v>324</v>
      </c>
      <c r="K347" s="10">
        <v>0.22700250377304582</v>
      </c>
      <c r="L347" s="10">
        <v>0.55856083235284182</v>
      </c>
    </row>
    <row r="348" spans="10:12" x14ac:dyDescent="0.3">
      <c r="J348">
        <v>325</v>
      </c>
      <c r="K348" s="10">
        <v>0.21610059267803203</v>
      </c>
      <c r="L348" s="10">
        <v>0.22203833067520401</v>
      </c>
    </row>
    <row r="349" spans="10:12" x14ac:dyDescent="0.3">
      <c r="J349">
        <v>326</v>
      </c>
      <c r="K349" s="10">
        <v>0.25658558425590156</v>
      </c>
      <c r="L349" s="10">
        <v>-3.0532845260611861E-2</v>
      </c>
    </row>
    <row r="350" spans="10:12" x14ac:dyDescent="0.3">
      <c r="J350">
        <v>327</v>
      </c>
      <c r="K350" s="10">
        <v>0.19169806504189135</v>
      </c>
      <c r="L350" s="10">
        <v>0.22064420327837353</v>
      </c>
    </row>
    <row r="351" spans="10:12" x14ac:dyDescent="0.3">
      <c r="J351">
        <v>328</v>
      </c>
      <c r="K351" s="10">
        <v>0.20403396805133026</v>
      </c>
      <c r="L351" s="10">
        <v>0.26022383434357155</v>
      </c>
    </row>
    <row r="352" spans="10:12" x14ac:dyDescent="0.3">
      <c r="J352">
        <v>329</v>
      </c>
      <c r="K352" s="10">
        <v>0.19738163977917128</v>
      </c>
      <c r="L352" s="10">
        <v>0.42317150293442929</v>
      </c>
    </row>
    <row r="353" spans="10:12" x14ac:dyDescent="0.3">
      <c r="J353">
        <v>330</v>
      </c>
      <c r="K353" s="10">
        <v>0.19198313366022909</v>
      </c>
      <c r="L353" s="10">
        <v>0.25597129117712569</v>
      </c>
    </row>
    <row r="354" spans="10:12" x14ac:dyDescent="0.3">
      <c r="J354">
        <v>331</v>
      </c>
      <c r="K354" s="10">
        <v>0.20581188233596584</v>
      </c>
      <c r="L354" s="10">
        <v>0.39491907034691803</v>
      </c>
    </row>
    <row r="355" spans="10:12" x14ac:dyDescent="0.3">
      <c r="J355">
        <v>332</v>
      </c>
      <c r="K355" s="10">
        <v>0.23549488754670844</v>
      </c>
      <c r="L355" s="10">
        <v>2.3418350242153441E-2</v>
      </c>
    </row>
    <row r="356" spans="10:12" x14ac:dyDescent="0.3">
      <c r="J356">
        <v>333</v>
      </c>
      <c r="K356" s="10">
        <v>0.20675388552326615</v>
      </c>
      <c r="L356" s="10">
        <v>0.3355554815264129</v>
      </c>
    </row>
    <row r="357" spans="10:12" x14ac:dyDescent="0.3">
      <c r="J357">
        <v>334</v>
      </c>
      <c r="K357" s="10">
        <v>0.19595526803191129</v>
      </c>
      <c r="L357" s="10">
        <v>0.29900993882807775</v>
      </c>
    </row>
    <row r="358" spans="10:12" x14ac:dyDescent="0.3">
      <c r="J358">
        <v>335</v>
      </c>
      <c r="K358" s="10">
        <v>0.19757579274271492</v>
      </c>
      <c r="L358" s="10">
        <v>0.16500058528701583</v>
      </c>
    </row>
    <row r="359" spans="10:12" x14ac:dyDescent="0.3">
      <c r="J359">
        <v>336</v>
      </c>
      <c r="K359" s="10">
        <v>0.19532421898229069</v>
      </c>
      <c r="L359" s="10">
        <v>0.33884838055946931</v>
      </c>
    </row>
    <row r="360" spans="10:12" x14ac:dyDescent="0.3">
      <c r="J360">
        <v>337</v>
      </c>
      <c r="K360" s="10">
        <v>0.19852579797864497</v>
      </c>
      <c r="L360" s="10">
        <v>0.27746044049934193</v>
      </c>
    </row>
    <row r="361" spans="10:12" x14ac:dyDescent="0.3">
      <c r="J361">
        <v>338</v>
      </c>
      <c r="K361" s="10">
        <v>0.20404844213985093</v>
      </c>
      <c r="L361" s="10">
        <v>0.29853666238735688</v>
      </c>
    </row>
    <row r="362" spans="10:12" x14ac:dyDescent="0.3">
      <c r="J362">
        <v>339</v>
      </c>
      <c r="K362" s="10">
        <v>0.22263679115643009</v>
      </c>
      <c r="L362" s="10">
        <v>0.1070212862347532</v>
      </c>
    </row>
    <row r="363" spans="10:12" x14ac:dyDescent="0.3">
      <c r="J363">
        <v>340</v>
      </c>
      <c r="K363" s="10">
        <v>0.25246313560325195</v>
      </c>
      <c r="L363" s="10">
        <v>-7.4700012726289525E-2</v>
      </c>
    </row>
    <row r="364" spans="10:12" x14ac:dyDescent="0.3">
      <c r="J364">
        <v>341</v>
      </c>
      <c r="K364" s="10">
        <v>0.21389195119552201</v>
      </c>
      <c r="L364" s="10">
        <v>0.33640220876115728</v>
      </c>
    </row>
    <row r="365" spans="10:12" x14ac:dyDescent="0.3">
      <c r="J365">
        <v>342</v>
      </c>
      <c r="K365" s="10">
        <v>0.23741168332027979</v>
      </c>
      <c r="L365" s="10">
        <v>0.27040783048811717</v>
      </c>
    </row>
    <row r="366" spans="10:12" x14ac:dyDescent="0.3">
      <c r="J366">
        <v>343</v>
      </c>
      <c r="K366" s="10">
        <v>0.20575690134885494</v>
      </c>
      <c r="L366" s="10">
        <v>0.50746939209951281</v>
      </c>
    </row>
    <row r="367" spans="10:12" x14ac:dyDescent="0.3">
      <c r="J367">
        <v>344</v>
      </c>
      <c r="K367" s="10">
        <v>0.19553326132455204</v>
      </c>
      <c r="L367" s="10">
        <v>0.20978033170851312</v>
      </c>
    </row>
    <row r="368" spans="10:12" x14ac:dyDescent="0.3">
      <c r="J368">
        <v>345</v>
      </c>
      <c r="K368" s="10">
        <v>0.21766864856910145</v>
      </c>
      <c r="L368" s="10">
        <v>0.43543251484386242</v>
      </c>
    </row>
    <row r="369" spans="10:12" x14ac:dyDescent="0.3">
      <c r="J369">
        <v>346</v>
      </c>
      <c r="K369" s="10">
        <v>0.19909039510965387</v>
      </c>
      <c r="L369" s="10">
        <v>0.3430207707562013</v>
      </c>
    </row>
    <row r="370" spans="10:12" x14ac:dyDescent="0.3">
      <c r="J370">
        <v>347</v>
      </c>
      <c r="K370" s="10">
        <v>0.20045774824666082</v>
      </c>
      <c r="L370" s="10">
        <v>0.19065416196774207</v>
      </c>
    </row>
    <row r="371" spans="10:12" x14ac:dyDescent="0.3">
      <c r="J371">
        <v>348</v>
      </c>
      <c r="K371" s="10">
        <v>0.19365213897526959</v>
      </c>
      <c r="L371" s="10">
        <v>0.35127975645891807</v>
      </c>
    </row>
    <row r="372" spans="10:12" x14ac:dyDescent="0.3">
      <c r="J372">
        <v>349</v>
      </c>
      <c r="K372" s="10">
        <v>0.20501006417215339</v>
      </c>
      <c r="L372" s="10">
        <v>0.25417966542385489</v>
      </c>
    </row>
    <row r="373" spans="10:12" x14ac:dyDescent="0.3">
      <c r="J373">
        <v>350</v>
      </c>
      <c r="K373" s="10">
        <v>0.21557919600788206</v>
      </c>
      <c r="L373" s="10">
        <v>7.55888586409387E-2</v>
      </c>
    </row>
    <row r="374" spans="10:12" x14ac:dyDescent="0.3">
      <c r="J374">
        <v>351</v>
      </c>
      <c r="K374" s="10">
        <v>0.22269384910760501</v>
      </c>
      <c r="L374" s="10">
        <v>1.5924940977821267E-2</v>
      </c>
    </row>
    <row r="375" spans="10:12" x14ac:dyDescent="0.3">
      <c r="J375">
        <v>352</v>
      </c>
      <c r="K375" s="10">
        <v>0.20457519603775406</v>
      </c>
      <c r="L375" s="10">
        <v>0.16830624374852521</v>
      </c>
    </row>
    <row r="376" spans="10:12" x14ac:dyDescent="0.3">
      <c r="J376">
        <v>353</v>
      </c>
      <c r="K376" s="10">
        <v>0.22027941322167821</v>
      </c>
      <c r="L376" s="10">
        <v>0.58965132154587285</v>
      </c>
    </row>
    <row r="377" spans="10:12" x14ac:dyDescent="0.3">
      <c r="J377">
        <v>354</v>
      </c>
      <c r="K377" s="10">
        <v>0.1964477214925332</v>
      </c>
      <c r="L377" s="10">
        <v>0.40611456270395874</v>
      </c>
    </row>
    <row r="378" spans="10:12" x14ac:dyDescent="0.3">
      <c r="J378">
        <v>355</v>
      </c>
      <c r="K378" s="10">
        <v>0.25349950054141496</v>
      </c>
      <c r="L378" s="10">
        <v>0.12465655221271793</v>
      </c>
    </row>
    <row r="379" spans="10:12" x14ac:dyDescent="0.3">
      <c r="J379">
        <v>356</v>
      </c>
      <c r="K379" s="10">
        <v>0.18892999444846756</v>
      </c>
      <c r="L379" s="10">
        <v>0.29573977658024614</v>
      </c>
    </row>
    <row r="380" spans="10:12" x14ac:dyDescent="0.3">
      <c r="J380">
        <v>357</v>
      </c>
      <c r="K380" s="10">
        <v>0.22618614308950474</v>
      </c>
      <c r="L380" s="10">
        <v>0.54608920914161441</v>
      </c>
    </row>
    <row r="381" spans="10:12" x14ac:dyDescent="0.3">
      <c r="J381">
        <v>358</v>
      </c>
      <c r="K381" s="10">
        <v>0.19659992303816293</v>
      </c>
      <c r="L381" s="10">
        <v>0.31312214905079744</v>
      </c>
    </row>
    <row r="382" spans="10:12" x14ac:dyDescent="0.3">
      <c r="J382">
        <v>359</v>
      </c>
      <c r="K382" s="10">
        <v>0.23999085742820536</v>
      </c>
      <c r="L382" s="10">
        <v>-5.6763873434320232E-2</v>
      </c>
    </row>
    <row r="383" spans="10:12" x14ac:dyDescent="0.3">
      <c r="J383">
        <v>360</v>
      </c>
      <c r="K383" s="10">
        <v>0.20639774863871785</v>
      </c>
      <c r="L383" s="10">
        <v>0.24839112590925522</v>
      </c>
    </row>
    <row r="384" spans="10:12" x14ac:dyDescent="0.3">
      <c r="J384">
        <v>361</v>
      </c>
      <c r="K384" s="10">
        <v>0.18877666460490852</v>
      </c>
      <c r="L384" s="10">
        <v>0.31247153148755963</v>
      </c>
    </row>
    <row r="385" spans="10:12" x14ac:dyDescent="0.3">
      <c r="J385">
        <v>362</v>
      </c>
      <c r="K385" s="10">
        <v>0.19775613844651002</v>
      </c>
      <c r="L385" s="10">
        <v>0.23655710830739454</v>
      </c>
    </row>
    <row r="386" spans="10:12" x14ac:dyDescent="0.3">
      <c r="J386">
        <v>363</v>
      </c>
      <c r="K386" s="10">
        <v>0.19652030989959596</v>
      </c>
      <c r="L386" s="10">
        <v>0.43538376754618568</v>
      </c>
    </row>
    <row r="387" spans="10:12" x14ac:dyDescent="0.3">
      <c r="J387">
        <v>364</v>
      </c>
      <c r="K387" s="10">
        <v>0.20850809219095467</v>
      </c>
      <c r="L387" s="10">
        <v>0.35974689649719915</v>
      </c>
    </row>
    <row r="388" spans="10:12" x14ac:dyDescent="0.3">
      <c r="J388">
        <v>365</v>
      </c>
      <c r="K388" s="10">
        <v>0.21509943451414126</v>
      </c>
      <c r="L388" s="10">
        <v>0.29967506334095473</v>
      </c>
    </row>
    <row r="389" spans="10:12" x14ac:dyDescent="0.3">
      <c r="J389">
        <v>366</v>
      </c>
      <c r="K389" s="10">
        <v>0.20313734351176682</v>
      </c>
      <c r="L389" s="10">
        <v>0.17765481183295848</v>
      </c>
    </row>
    <row r="390" spans="10:12" x14ac:dyDescent="0.3">
      <c r="J390">
        <v>367</v>
      </c>
      <c r="K390" s="10">
        <v>0.20425774902635505</v>
      </c>
      <c r="L390" s="10">
        <v>0.11738194570918969</v>
      </c>
    </row>
    <row r="391" spans="10:12" x14ac:dyDescent="0.3">
      <c r="J391">
        <v>368</v>
      </c>
      <c r="K391" s="10">
        <v>0.18915381766542444</v>
      </c>
      <c r="L391" s="10">
        <v>0.3141487838632735</v>
      </c>
    </row>
    <row r="392" spans="10:12" x14ac:dyDescent="0.3">
      <c r="J392">
        <v>369</v>
      </c>
      <c r="K392" s="10">
        <v>0.20907036490539443</v>
      </c>
      <c r="L392" s="10">
        <v>8.0697536817265519E-2</v>
      </c>
    </row>
    <row r="393" spans="10:12" x14ac:dyDescent="0.3">
      <c r="J393">
        <v>370</v>
      </c>
      <c r="K393" s="10">
        <v>0.20427126745131027</v>
      </c>
      <c r="L393" s="10">
        <v>0.20195337177494935</v>
      </c>
    </row>
    <row r="394" spans="10:12" x14ac:dyDescent="0.3">
      <c r="J394">
        <v>371</v>
      </c>
      <c r="K394" s="10">
        <v>0.19084245607237668</v>
      </c>
      <c r="L394" s="10">
        <v>0.23666187295897634</v>
      </c>
    </row>
    <row r="395" spans="10:12" x14ac:dyDescent="0.3">
      <c r="J395">
        <v>372</v>
      </c>
      <c r="K395" s="10">
        <v>0.27951277581280032</v>
      </c>
      <c r="L395" s="10">
        <v>-8.4213177583019799E-2</v>
      </c>
    </row>
    <row r="396" spans="10:12" x14ac:dyDescent="0.3">
      <c r="J396">
        <v>373</v>
      </c>
      <c r="K396" s="10">
        <v>0.20922756250053934</v>
      </c>
      <c r="L396" s="10">
        <v>0.44335773281697427</v>
      </c>
    </row>
    <row r="397" spans="10:12" x14ac:dyDescent="0.3">
      <c r="J397">
        <v>374</v>
      </c>
      <c r="K397" s="10">
        <v>0.1977063146948275</v>
      </c>
      <c r="L397" s="10">
        <v>0.17028129517043838</v>
      </c>
    </row>
    <row r="398" spans="10:12" x14ac:dyDescent="0.3">
      <c r="J398">
        <v>375</v>
      </c>
      <c r="K398" s="10">
        <v>0.20884276787488512</v>
      </c>
      <c r="L398" s="10">
        <v>0.40213352691351384</v>
      </c>
    </row>
    <row r="399" spans="10:12" x14ac:dyDescent="0.3">
      <c r="J399">
        <v>376</v>
      </c>
      <c r="K399" s="10">
        <v>0.19213795710193338</v>
      </c>
      <c r="L399" s="10">
        <v>0.22438731227547964</v>
      </c>
    </row>
    <row r="400" spans="10:12" x14ac:dyDescent="0.3">
      <c r="J400">
        <v>377</v>
      </c>
      <c r="K400" s="10">
        <v>0.20051640405628976</v>
      </c>
      <c r="L400" s="10">
        <v>0.22792706758873371</v>
      </c>
    </row>
    <row r="401" spans="10:12" x14ac:dyDescent="0.3">
      <c r="J401">
        <v>378</v>
      </c>
      <c r="K401" s="10">
        <v>0.29841078581634334</v>
      </c>
      <c r="L401" s="10">
        <v>3.3006950171190923E-2</v>
      </c>
    </row>
    <row r="402" spans="10:12" x14ac:dyDescent="0.3">
      <c r="J402">
        <v>379</v>
      </c>
      <c r="K402" s="10">
        <v>0.1960223195622503</v>
      </c>
      <c r="L402" s="10">
        <v>0.44373462870777741</v>
      </c>
    </row>
    <row r="403" spans="10:12" x14ac:dyDescent="0.3">
      <c r="J403">
        <v>380</v>
      </c>
      <c r="K403" s="10">
        <v>0.19663982761608692</v>
      </c>
      <c r="L403" s="10">
        <v>0.22891038452441356</v>
      </c>
    </row>
    <row r="404" spans="10:12" x14ac:dyDescent="0.3">
      <c r="J404">
        <v>381</v>
      </c>
      <c r="K404" s="10">
        <v>0.19148549884863825</v>
      </c>
      <c r="L404" s="10">
        <v>0.28086075434771501</v>
      </c>
    </row>
    <row r="405" spans="10:12" x14ac:dyDescent="0.3">
      <c r="J405">
        <v>382</v>
      </c>
      <c r="K405" s="10">
        <v>0.19847105863724307</v>
      </c>
      <c r="L405" s="10">
        <v>0.25804909639565321</v>
      </c>
    </row>
    <row r="406" spans="10:12" x14ac:dyDescent="0.3">
      <c r="J406">
        <v>383</v>
      </c>
      <c r="K406" s="10">
        <v>0.19470713581647356</v>
      </c>
      <c r="L406" s="10">
        <v>0.19334009108093719</v>
      </c>
    </row>
    <row r="407" spans="10:12" x14ac:dyDescent="0.3">
      <c r="J407">
        <v>384</v>
      </c>
      <c r="K407" s="10">
        <v>0.19408763868473197</v>
      </c>
      <c r="L407" s="10">
        <v>0.41873242638896246</v>
      </c>
    </row>
    <row r="408" spans="10:12" x14ac:dyDescent="0.3">
      <c r="J408">
        <v>385</v>
      </c>
      <c r="K408" s="10">
        <v>0.24960218422503336</v>
      </c>
      <c r="L408" s="10">
        <v>-8.8326030376970274E-2</v>
      </c>
    </row>
    <row r="409" spans="10:12" x14ac:dyDescent="0.3">
      <c r="J409">
        <v>386</v>
      </c>
      <c r="K409" s="10">
        <v>0.20494984718585696</v>
      </c>
      <c r="L409" s="10">
        <v>0.37914208527128967</v>
      </c>
    </row>
    <row r="410" spans="10:12" x14ac:dyDescent="0.3">
      <c r="J410">
        <v>387</v>
      </c>
      <c r="K410" s="10">
        <v>0.23156223899924638</v>
      </c>
      <c r="L410" s="10">
        <v>0.64983931761676783</v>
      </c>
    </row>
    <row r="411" spans="10:12" x14ac:dyDescent="0.3">
      <c r="J411">
        <v>388</v>
      </c>
      <c r="K411" s="10">
        <v>0.20059955896892992</v>
      </c>
      <c r="L411" s="10">
        <v>0.19948537613406661</v>
      </c>
    </row>
    <row r="412" spans="10:12" x14ac:dyDescent="0.3">
      <c r="J412">
        <v>389</v>
      </c>
      <c r="K412" s="10">
        <v>0.20315678705404858</v>
      </c>
      <c r="L412" s="10">
        <v>0.11683242533975835</v>
      </c>
    </row>
    <row r="413" spans="10:12" x14ac:dyDescent="0.3">
      <c r="J413">
        <v>390</v>
      </c>
      <c r="K413" s="10">
        <v>0.22389560035457579</v>
      </c>
      <c r="L413" s="10">
        <v>0.1518099056590399</v>
      </c>
    </row>
    <row r="414" spans="10:12" x14ac:dyDescent="0.3">
      <c r="J414">
        <v>391</v>
      </c>
      <c r="K414" s="10">
        <v>0.23591715812840067</v>
      </c>
      <c r="L414" s="10">
        <v>0.31969391619732324</v>
      </c>
    </row>
    <row r="415" spans="10:12" x14ac:dyDescent="0.3">
      <c r="J415">
        <v>392</v>
      </c>
      <c r="K415" s="10">
        <v>0.21627043884194608</v>
      </c>
      <c r="L415" s="10">
        <v>0.2221470871606902</v>
      </c>
    </row>
    <row r="416" spans="10:12" x14ac:dyDescent="0.3">
      <c r="J416">
        <v>393</v>
      </c>
      <c r="K416" s="10">
        <v>0.23793501285367341</v>
      </c>
      <c r="L416" s="10">
        <v>-5.8373703972832022E-2</v>
      </c>
    </row>
    <row r="417" spans="10:12" x14ac:dyDescent="0.3">
      <c r="J417">
        <v>394</v>
      </c>
      <c r="K417" s="10">
        <v>0.21145598416606956</v>
      </c>
      <c r="L417" s="10">
        <v>0.33749223724454719</v>
      </c>
    </row>
    <row r="418" spans="10:12" x14ac:dyDescent="0.3">
      <c r="J418">
        <v>395</v>
      </c>
      <c r="K418" s="10">
        <v>0.20336526501532579</v>
      </c>
      <c r="L418" s="10">
        <v>0.16601122888747849</v>
      </c>
    </row>
    <row r="419" spans="10:12" x14ac:dyDescent="0.3">
      <c r="J419">
        <v>396</v>
      </c>
      <c r="K419" s="10">
        <v>0.23858511718978181</v>
      </c>
      <c r="L419" s="10">
        <v>-5.1265466207556842E-2</v>
      </c>
    </row>
    <row r="420" spans="10:12" x14ac:dyDescent="0.3">
      <c r="J420">
        <v>397</v>
      </c>
      <c r="K420" s="10">
        <v>0.21058051437998054</v>
      </c>
      <c r="L420" s="10">
        <v>0.45155465271253314</v>
      </c>
    </row>
    <row r="421" spans="10:12" x14ac:dyDescent="0.3">
      <c r="J421">
        <v>398</v>
      </c>
      <c r="K421" s="10">
        <v>0.18896920992427371</v>
      </c>
      <c r="L421" s="10">
        <v>0.31924414939692114</v>
      </c>
    </row>
    <row r="422" spans="10:12" x14ac:dyDescent="0.3">
      <c r="J422">
        <v>399</v>
      </c>
      <c r="K422" s="10">
        <v>0.21700732346000268</v>
      </c>
      <c r="L422" s="10">
        <v>0.28114075559807955</v>
      </c>
    </row>
    <row r="423" spans="10:12" x14ac:dyDescent="0.3">
      <c r="J423">
        <v>400</v>
      </c>
      <c r="K423" s="10">
        <v>0.24109260411413247</v>
      </c>
      <c r="L423" s="10">
        <v>-1.5016696845014402E-2</v>
      </c>
    </row>
    <row r="424" spans="10:12" x14ac:dyDescent="0.3">
      <c r="J424">
        <v>401</v>
      </c>
      <c r="K424" s="10">
        <v>0.19408581809052286</v>
      </c>
      <c r="L424" s="10">
        <v>0.30339966669840074</v>
      </c>
    </row>
    <row r="425" spans="10:12" x14ac:dyDescent="0.3">
      <c r="J425">
        <v>402</v>
      </c>
      <c r="K425" s="10">
        <v>0.2105312790421118</v>
      </c>
      <c r="L425" s="10">
        <v>7.1906377653067344E-2</v>
      </c>
    </row>
    <row r="426" spans="10:12" x14ac:dyDescent="0.3">
      <c r="J426">
        <v>403</v>
      </c>
      <c r="K426" s="10">
        <v>0.22348155408117013</v>
      </c>
      <c r="L426" s="10">
        <v>8.5820983596516909E-2</v>
      </c>
    </row>
    <row r="427" spans="10:12" x14ac:dyDescent="0.3">
      <c r="J427">
        <v>404</v>
      </c>
      <c r="K427" s="10">
        <v>0.19370623668397044</v>
      </c>
      <c r="L427" s="10">
        <v>0.21200291822843367</v>
      </c>
    </row>
    <row r="428" spans="10:12" x14ac:dyDescent="0.3">
      <c r="J428">
        <v>405</v>
      </c>
      <c r="K428" s="10">
        <v>0.1950103876842329</v>
      </c>
      <c r="L428" s="10">
        <v>0.43301094737684598</v>
      </c>
    </row>
    <row r="429" spans="10:12" x14ac:dyDescent="0.3">
      <c r="J429">
        <v>406</v>
      </c>
      <c r="K429" s="10">
        <v>0.21789885769179784</v>
      </c>
      <c r="L429" s="10">
        <v>0.53154627403149768</v>
      </c>
    </row>
    <row r="430" spans="10:12" x14ac:dyDescent="0.3">
      <c r="J430">
        <v>407</v>
      </c>
      <c r="K430" s="10">
        <v>0.21307928300039791</v>
      </c>
      <c r="L430" s="10">
        <v>0.55015651161775425</v>
      </c>
    </row>
    <row r="431" spans="10:12" x14ac:dyDescent="0.3">
      <c r="J431">
        <v>408</v>
      </c>
      <c r="K431" s="10">
        <v>0.188903722844353</v>
      </c>
      <c r="L431" s="10">
        <v>0.2951452903876034</v>
      </c>
    </row>
    <row r="432" spans="10:12" x14ac:dyDescent="0.3">
      <c r="J432">
        <v>409</v>
      </c>
      <c r="K432" s="10">
        <v>0.20783533724987252</v>
      </c>
      <c r="L432" s="10">
        <v>0.12544598078610997</v>
      </c>
    </row>
    <row r="433" spans="10:12" x14ac:dyDescent="0.3">
      <c r="J433">
        <v>410</v>
      </c>
      <c r="K433" s="10">
        <v>0.20415008345829039</v>
      </c>
      <c r="L433" s="10">
        <v>0.18957322603382243</v>
      </c>
    </row>
    <row r="434" spans="10:12" x14ac:dyDescent="0.3">
      <c r="J434">
        <v>411</v>
      </c>
      <c r="K434" s="10">
        <v>0.20118943983414958</v>
      </c>
      <c r="L434" s="10">
        <v>0.39141202556981319</v>
      </c>
    </row>
    <row r="435" spans="10:12" x14ac:dyDescent="0.3">
      <c r="J435">
        <v>412</v>
      </c>
      <c r="K435" s="10">
        <v>0.19006633352784991</v>
      </c>
      <c r="L435" s="10">
        <v>0.33731400739691836</v>
      </c>
    </row>
    <row r="436" spans="10:12" x14ac:dyDescent="0.3">
      <c r="J436">
        <v>413</v>
      </c>
      <c r="K436" s="10">
        <v>0.24463239213017618</v>
      </c>
      <c r="L436" s="10">
        <v>-4.6781912618140978E-2</v>
      </c>
    </row>
    <row r="437" spans="10:12" x14ac:dyDescent="0.3">
      <c r="J437">
        <v>414</v>
      </c>
      <c r="K437" s="10">
        <v>0.20924390787380184</v>
      </c>
      <c r="L437" s="10">
        <v>0.37691684022035643</v>
      </c>
    </row>
    <row r="438" spans="10:12" x14ac:dyDescent="0.3">
      <c r="J438">
        <v>415</v>
      </c>
      <c r="K438" s="10">
        <v>0.19601975246651482</v>
      </c>
      <c r="L438" s="10">
        <v>0.30360211787664032</v>
      </c>
    </row>
    <row r="439" spans="10:12" x14ac:dyDescent="0.3">
      <c r="J439">
        <v>416</v>
      </c>
      <c r="K439" s="10">
        <v>0.19307872955154143</v>
      </c>
      <c r="L439" s="10">
        <v>0.26809137140174349</v>
      </c>
    </row>
    <row r="440" spans="10:12" x14ac:dyDescent="0.3">
      <c r="J440">
        <v>417</v>
      </c>
      <c r="K440" s="10">
        <v>0.22884693723400815</v>
      </c>
      <c r="L440" s="10">
        <v>0.63935324711886654</v>
      </c>
    </row>
    <row r="441" spans="10:12" x14ac:dyDescent="0.3">
      <c r="J441">
        <v>418</v>
      </c>
      <c r="K441" s="10">
        <v>0.2138691946589388</v>
      </c>
      <c r="L441" s="10">
        <v>0.15141471297117884</v>
      </c>
    </row>
    <row r="442" spans="10:12" x14ac:dyDescent="0.3">
      <c r="J442">
        <v>419</v>
      </c>
      <c r="K442" s="10">
        <v>0.19898256067061895</v>
      </c>
      <c r="L442" s="10">
        <v>0.23519839217499999</v>
      </c>
    </row>
    <row r="443" spans="10:12" x14ac:dyDescent="0.3">
      <c r="J443">
        <v>420</v>
      </c>
      <c r="K443" s="10">
        <v>0.19197827426723832</v>
      </c>
      <c r="L443" s="10">
        <v>0.2332369345692531</v>
      </c>
    </row>
    <row r="444" spans="10:12" x14ac:dyDescent="0.3">
      <c r="J444">
        <v>421</v>
      </c>
      <c r="K444" s="10">
        <v>0.19113440726137221</v>
      </c>
      <c r="L444" s="10">
        <v>0.25208654097307226</v>
      </c>
    </row>
    <row r="445" spans="10:12" x14ac:dyDescent="0.3">
      <c r="J445">
        <v>422</v>
      </c>
      <c r="K445" s="10">
        <v>0.22697340969652396</v>
      </c>
      <c r="L445" s="10">
        <v>0.2590255348522254</v>
      </c>
    </row>
    <row r="446" spans="10:12" x14ac:dyDescent="0.3">
      <c r="J446">
        <v>423</v>
      </c>
      <c r="K446" s="10">
        <v>0.19641643973619766</v>
      </c>
      <c r="L446" s="10">
        <v>0.37616409286345015</v>
      </c>
    </row>
    <row r="447" spans="10:12" x14ac:dyDescent="0.3">
      <c r="J447">
        <v>424</v>
      </c>
      <c r="K447" s="10">
        <v>0.2376861133362021</v>
      </c>
      <c r="L447" s="10">
        <v>0.20639337149607642</v>
      </c>
    </row>
    <row r="448" spans="10:12" x14ac:dyDescent="0.3">
      <c r="J448">
        <v>425</v>
      </c>
      <c r="K448" s="10">
        <v>0.19134411860699985</v>
      </c>
      <c r="L448" s="10">
        <v>0.25649455693910272</v>
      </c>
    </row>
    <row r="449" spans="10:12" x14ac:dyDescent="0.3">
      <c r="J449">
        <v>426</v>
      </c>
      <c r="K449" s="10">
        <v>0.22308076583959713</v>
      </c>
      <c r="L449" s="10">
        <v>0.37731095797380931</v>
      </c>
    </row>
    <row r="450" spans="10:12" x14ac:dyDescent="0.3">
      <c r="J450">
        <v>427</v>
      </c>
      <c r="K450" s="10">
        <v>0.22299990644719669</v>
      </c>
      <c r="L450" s="10">
        <v>8.970785939845502E-3</v>
      </c>
    </row>
    <row r="451" spans="10:12" x14ac:dyDescent="0.3">
      <c r="J451">
        <v>428</v>
      </c>
      <c r="K451" s="10">
        <v>0.22641594602462242</v>
      </c>
      <c r="L451" s="10">
        <v>0.28066253708694677</v>
      </c>
    </row>
    <row r="452" spans="10:12" x14ac:dyDescent="0.3">
      <c r="J452">
        <v>429</v>
      </c>
      <c r="K452" s="10">
        <v>0.19246425407693166</v>
      </c>
      <c r="L452" s="10">
        <v>0.28020405354277444</v>
      </c>
    </row>
    <row r="453" spans="10:12" x14ac:dyDescent="0.3">
      <c r="J453">
        <v>430</v>
      </c>
      <c r="K453" s="10">
        <v>0.23576948906517645</v>
      </c>
      <c r="L453" s="10">
        <v>0.34978747193180432</v>
      </c>
    </row>
    <row r="454" spans="10:12" x14ac:dyDescent="0.3">
      <c r="J454">
        <v>431</v>
      </c>
      <c r="K454" s="10">
        <v>0.20979989549004777</v>
      </c>
      <c r="L454" s="10">
        <v>0.16115647349178536</v>
      </c>
    </row>
    <row r="455" spans="10:12" x14ac:dyDescent="0.3">
      <c r="J455">
        <v>432</v>
      </c>
      <c r="K455" s="10">
        <v>0.1989191498521487</v>
      </c>
      <c r="L455" s="10">
        <v>0.16448150132035066</v>
      </c>
    </row>
    <row r="456" spans="10:12" x14ac:dyDescent="0.3">
      <c r="J456">
        <v>433</v>
      </c>
      <c r="K456" s="10">
        <v>0.21046558459406522</v>
      </c>
      <c r="L456" s="10">
        <v>0.52996494290232476</v>
      </c>
    </row>
    <row r="457" spans="10:12" x14ac:dyDescent="0.3">
      <c r="J457">
        <v>434</v>
      </c>
      <c r="K457" s="10">
        <v>0.25349358580236919</v>
      </c>
      <c r="L457" s="10">
        <v>-3.0217548018804871E-3</v>
      </c>
    </row>
    <row r="458" spans="10:12" x14ac:dyDescent="0.3">
      <c r="J458">
        <v>435</v>
      </c>
      <c r="K458" s="10">
        <v>0.26999586466833153</v>
      </c>
      <c r="L458" s="10">
        <v>-6.8183207088946526E-2</v>
      </c>
    </row>
    <row r="459" spans="10:12" x14ac:dyDescent="0.3">
      <c r="J459">
        <v>436</v>
      </c>
      <c r="K459" s="10">
        <v>0.22535434922953101</v>
      </c>
      <c r="L459" s="10">
        <v>-9.2628107615162908E-3</v>
      </c>
    </row>
    <row r="460" spans="10:12" x14ac:dyDescent="0.3">
      <c r="J460">
        <v>437</v>
      </c>
      <c r="K460" s="10">
        <v>0.20437469797996782</v>
      </c>
      <c r="L460" s="10">
        <v>0.23080052769561385</v>
      </c>
    </row>
    <row r="461" spans="10:12" x14ac:dyDescent="0.3">
      <c r="J461">
        <v>438</v>
      </c>
      <c r="K461" s="10">
        <v>0.25411138927559801</v>
      </c>
      <c r="L461" s="10">
        <v>-2.031518246321562E-2</v>
      </c>
    </row>
    <row r="462" spans="10:12" x14ac:dyDescent="0.3">
      <c r="J462">
        <v>439</v>
      </c>
      <c r="K462" s="10">
        <v>0.21145508896956172</v>
      </c>
      <c r="L462" s="10">
        <v>6.3324967261375723E-2</v>
      </c>
    </row>
    <row r="463" spans="10:12" x14ac:dyDescent="0.3">
      <c r="J463">
        <v>440</v>
      </c>
      <c r="K463" s="10">
        <v>0.19734828183420572</v>
      </c>
      <c r="L463" s="10">
        <v>0.2021158626842357</v>
      </c>
    </row>
    <row r="464" spans="10:12" x14ac:dyDescent="0.3">
      <c r="J464">
        <v>441</v>
      </c>
      <c r="K464" s="10">
        <v>0.21024174848328217</v>
      </c>
      <c r="L464" s="10">
        <v>0.36423039671021396</v>
      </c>
    </row>
    <row r="465" spans="10:12" x14ac:dyDescent="0.3">
      <c r="J465">
        <v>442</v>
      </c>
      <c r="K465" s="10">
        <v>0.18985879959587254</v>
      </c>
      <c r="L465" s="10">
        <v>0.34879262729919747</v>
      </c>
    </row>
    <row r="466" spans="10:12" x14ac:dyDescent="0.3">
      <c r="J466">
        <v>443</v>
      </c>
      <c r="K466" s="10">
        <v>0.1915871435860011</v>
      </c>
      <c r="L466" s="10">
        <v>0.39205901236915147</v>
      </c>
    </row>
    <row r="467" spans="10:12" x14ac:dyDescent="0.3">
      <c r="J467">
        <v>444</v>
      </c>
      <c r="K467" s="10">
        <v>0.24325284807509115</v>
      </c>
      <c r="L467" s="10">
        <v>7.6149885683830312E-3</v>
      </c>
    </row>
    <row r="468" spans="10:12" x14ac:dyDescent="0.3">
      <c r="J468">
        <v>445</v>
      </c>
      <c r="K468" s="10">
        <v>0.2009650181825674</v>
      </c>
      <c r="L468" s="10">
        <v>0.14683806683163175</v>
      </c>
    </row>
    <row r="469" spans="10:12" x14ac:dyDescent="0.3">
      <c r="J469">
        <v>446</v>
      </c>
      <c r="K469" s="10">
        <v>0.19909654584923053</v>
      </c>
      <c r="L469" s="10">
        <v>0.32815923199863295</v>
      </c>
    </row>
    <row r="470" spans="10:12" x14ac:dyDescent="0.3">
      <c r="J470">
        <v>447</v>
      </c>
      <c r="K470" s="10">
        <v>0.24044194051201498</v>
      </c>
      <c r="L470" s="10">
        <v>-6.47436326259066E-2</v>
      </c>
    </row>
    <row r="471" spans="10:12" x14ac:dyDescent="0.3">
      <c r="J471">
        <v>448</v>
      </c>
      <c r="K471" s="10">
        <v>0.20043330590199124</v>
      </c>
      <c r="L471" s="10">
        <v>0.34244730885246244</v>
      </c>
    </row>
    <row r="472" spans="10:12" x14ac:dyDescent="0.3">
      <c r="J472">
        <v>449</v>
      </c>
      <c r="K472" s="10">
        <v>0.21701378030417939</v>
      </c>
      <c r="L472" s="10">
        <v>0.50040795966486684</v>
      </c>
    </row>
    <row r="473" spans="10:12" x14ac:dyDescent="0.3">
      <c r="J473">
        <v>450</v>
      </c>
      <c r="K473" s="10">
        <v>0.18897922638502687</v>
      </c>
      <c r="L473" s="10">
        <v>0.29384412927099002</v>
      </c>
    </row>
    <row r="474" spans="10:12" x14ac:dyDescent="0.3">
      <c r="J474">
        <v>451</v>
      </c>
      <c r="K474" s="10">
        <v>0.19477873274837706</v>
      </c>
      <c r="L474" s="10">
        <v>0.27442265412956934</v>
      </c>
    </row>
    <row r="475" spans="10:12" x14ac:dyDescent="0.3">
      <c r="J475">
        <v>452</v>
      </c>
      <c r="K475" s="10">
        <v>0.24516951937604581</v>
      </c>
      <c r="L475" s="10">
        <v>9.9466431005507339E-2</v>
      </c>
    </row>
    <row r="476" spans="10:12" x14ac:dyDescent="0.3">
      <c r="J476">
        <v>453</v>
      </c>
      <c r="K476" s="10">
        <v>0.1887403211591033</v>
      </c>
      <c r="L476" s="10">
        <v>0.29613176649927492</v>
      </c>
    </row>
    <row r="477" spans="10:12" x14ac:dyDescent="0.3">
      <c r="J477">
        <v>454</v>
      </c>
      <c r="K477" s="10">
        <v>0.23205533362144581</v>
      </c>
      <c r="L477" s="10">
        <v>0.15395889904585772</v>
      </c>
    </row>
    <row r="478" spans="10:12" x14ac:dyDescent="0.3">
      <c r="J478">
        <v>455</v>
      </c>
      <c r="K478" s="10">
        <v>0.22453505814404059</v>
      </c>
      <c r="L478" s="10">
        <v>1.982376152404576E-2</v>
      </c>
    </row>
    <row r="479" spans="10:12" x14ac:dyDescent="0.3">
      <c r="J479">
        <v>456</v>
      </c>
      <c r="K479" s="10">
        <v>0.19601964741924793</v>
      </c>
      <c r="L479" s="10">
        <v>0.40908360588909537</v>
      </c>
    </row>
    <row r="480" spans="10:12" x14ac:dyDescent="0.3">
      <c r="J480">
        <v>457</v>
      </c>
      <c r="K480" s="10">
        <v>0.21348487953754802</v>
      </c>
      <c r="L480" s="10">
        <v>0.52724058005388319</v>
      </c>
    </row>
    <row r="481" spans="10:12" x14ac:dyDescent="0.3">
      <c r="J481">
        <v>458</v>
      </c>
      <c r="K481" s="10">
        <v>0.2728705145228954</v>
      </c>
      <c r="L481" s="10">
        <v>-9.4593167773936573E-2</v>
      </c>
    </row>
    <row r="482" spans="10:12" x14ac:dyDescent="0.3">
      <c r="J482">
        <v>459</v>
      </c>
      <c r="K482" s="10">
        <v>0.19296131972632011</v>
      </c>
      <c r="L482" s="10">
        <v>0.38045749938817691</v>
      </c>
    </row>
    <row r="483" spans="10:12" x14ac:dyDescent="0.3">
      <c r="J483">
        <v>460</v>
      </c>
      <c r="K483" s="10">
        <v>0.25102510417004908</v>
      </c>
      <c r="L483" s="10">
        <v>-1.8647481339896965E-2</v>
      </c>
    </row>
    <row r="484" spans="10:12" x14ac:dyDescent="0.3">
      <c r="J484">
        <v>461</v>
      </c>
      <c r="K484" s="10">
        <v>0.2194692709680604</v>
      </c>
      <c r="L484" s="10">
        <v>8.8737154319114428E-2</v>
      </c>
    </row>
    <row r="485" spans="10:12" x14ac:dyDescent="0.3">
      <c r="J485">
        <v>462</v>
      </c>
      <c r="K485" s="10">
        <v>0.26475703160237735</v>
      </c>
      <c r="L485" s="10">
        <v>6.2346075290261732E-2</v>
      </c>
    </row>
    <row r="486" spans="10:12" x14ac:dyDescent="0.3">
      <c r="J486">
        <v>463</v>
      </c>
      <c r="K486" s="10">
        <v>0.24929578438432271</v>
      </c>
      <c r="L486" s="10">
        <v>0.13324539213007014</v>
      </c>
    </row>
    <row r="487" spans="10:12" x14ac:dyDescent="0.3">
      <c r="J487">
        <v>464</v>
      </c>
      <c r="K487" s="10">
        <v>0.26224868643044574</v>
      </c>
      <c r="L487" s="10">
        <v>0.14388251452170817</v>
      </c>
    </row>
    <row r="488" spans="10:12" x14ac:dyDescent="0.3">
      <c r="J488">
        <v>465</v>
      </c>
      <c r="K488" s="10">
        <v>0.20283524692133487</v>
      </c>
      <c r="L488" s="10">
        <v>0.2055641849366277</v>
      </c>
    </row>
    <row r="489" spans="10:12" x14ac:dyDescent="0.3">
      <c r="J489">
        <v>466</v>
      </c>
      <c r="K489" s="10">
        <v>0.2083377734470907</v>
      </c>
      <c r="L489" s="10">
        <v>0.28238113249230556</v>
      </c>
    </row>
    <row r="490" spans="10:12" x14ac:dyDescent="0.3">
      <c r="J490">
        <v>467</v>
      </c>
      <c r="K490" s="10">
        <v>0.25874115696816813</v>
      </c>
      <c r="L490" s="10">
        <v>5.3974426675657133E-2</v>
      </c>
    </row>
    <row r="491" spans="10:12" x14ac:dyDescent="0.3">
      <c r="J491">
        <v>468</v>
      </c>
      <c r="K491" s="10">
        <v>0.19645907520200781</v>
      </c>
      <c r="L491" s="10">
        <v>0.16660012919905362</v>
      </c>
    </row>
    <row r="492" spans="10:12" x14ac:dyDescent="0.3">
      <c r="J492">
        <v>469</v>
      </c>
      <c r="K492" s="10">
        <v>0.21723694456977127</v>
      </c>
      <c r="L492" s="10">
        <v>7.9900128708705609E-2</v>
      </c>
    </row>
    <row r="493" spans="10:12" x14ac:dyDescent="0.3">
      <c r="J493">
        <v>470</v>
      </c>
      <c r="K493" s="10">
        <v>0.26852724820318424</v>
      </c>
      <c r="L493" s="10">
        <v>0.18481068549605317</v>
      </c>
    </row>
    <row r="494" spans="10:12" x14ac:dyDescent="0.3">
      <c r="J494">
        <v>471</v>
      </c>
      <c r="K494" s="10">
        <v>0.25050945602584129</v>
      </c>
      <c r="L494" s="10">
        <v>-7.4895323770219346E-3</v>
      </c>
    </row>
    <row r="495" spans="10:12" x14ac:dyDescent="0.3">
      <c r="J495">
        <v>472</v>
      </c>
      <c r="K495" s="10">
        <v>0.20208212857078711</v>
      </c>
      <c r="L495" s="10">
        <v>0.45381986202299102</v>
      </c>
    </row>
    <row r="496" spans="10:12" x14ac:dyDescent="0.3">
      <c r="J496">
        <v>473</v>
      </c>
      <c r="K496" s="10">
        <v>0.198745883275848</v>
      </c>
      <c r="L496" s="10">
        <v>0.24883779116468011</v>
      </c>
    </row>
    <row r="497" spans="10:12" x14ac:dyDescent="0.3">
      <c r="J497">
        <v>474</v>
      </c>
      <c r="K497" s="10">
        <v>0.20011132054411793</v>
      </c>
      <c r="L497" s="10">
        <v>0.136206855755867</v>
      </c>
    </row>
    <row r="498" spans="10:12" x14ac:dyDescent="0.3">
      <c r="J498">
        <v>475</v>
      </c>
      <c r="K498" s="10">
        <v>0.20110436417402003</v>
      </c>
      <c r="L498" s="10">
        <v>0.25293317290686707</v>
      </c>
    </row>
    <row r="499" spans="10:12" x14ac:dyDescent="0.3">
      <c r="J499">
        <v>476</v>
      </c>
      <c r="K499" s="10">
        <v>0.24366548197869564</v>
      </c>
      <c r="L499" s="10">
        <v>-5.9560109440345399E-2</v>
      </c>
    </row>
    <row r="500" spans="10:12" x14ac:dyDescent="0.3">
      <c r="J500">
        <v>477</v>
      </c>
      <c r="K500" s="10">
        <v>0.20193152908835371</v>
      </c>
      <c r="L500" s="10">
        <v>0.22742277057227195</v>
      </c>
    </row>
    <row r="501" spans="10:12" x14ac:dyDescent="0.3">
      <c r="J501">
        <v>478</v>
      </c>
      <c r="K501" s="10">
        <v>0.20091946830522409</v>
      </c>
      <c r="L501" s="10">
        <v>0.17061746652831344</v>
      </c>
    </row>
    <row r="502" spans="10:12" x14ac:dyDescent="0.3">
      <c r="J502">
        <v>479</v>
      </c>
      <c r="K502" s="10">
        <v>0.18996742722058854</v>
      </c>
      <c r="L502" s="10">
        <v>0.28024540285859184</v>
      </c>
    </row>
    <row r="503" spans="10:12" x14ac:dyDescent="0.3">
      <c r="J503">
        <v>480</v>
      </c>
      <c r="K503" s="10">
        <v>0.19464066970770327</v>
      </c>
      <c r="L503" s="10">
        <v>0.2806330397809691</v>
      </c>
    </row>
    <row r="504" spans="10:12" x14ac:dyDescent="0.3">
      <c r="J504">
        <v>481</v>
      </c>
      <c r="K504" s="10">
        <v>0.19930035458651221</v>
      </c>
      <c r="L504" s="10">
        <v>0.21586774998948918</v>
      </c>
    </row>
    <row r="505" spans="10:12" x14ac:dyDescent="0.3">
      <c r="J505">
        <v>482</v>
      </c>
      <c r="K505" s="10">
        <v>0.23849881184280744</v>
      </c>
      <c r="L505" s="10">
        <v>-6.7439793484152397E-2</v>
      </c>
    </row>
    <row r="506" spans="10:12" x14ac:dyDescent="0.3">
      <c r="J506">
        <v>483</v>
      </c>
      <c r="K506" s="10">
        <v>0.2044140179760042</v>
      </c>
      <c r="L506" s="10">
        <v>0.26507739037843298</v>
      </c>
    </row>
    <row r="507" spans="10:12" x14ac:dyDescent="0.3">
      <c r="J507">
        <v>484</v>
      </c>
      <c r="K507" s="10">
        <v>0.22389930343040837</v>
      </c>
      <c r="L507" s="10">
        <v>4.096836246765332E-2</v>
      </c>
    </row>
    <row r="508" spans="10:12" x14ac:dyDescent="0.3">
      <c r="J508">
        <v>485</v>
      </c>
      <c r="K508" s="10">
        <v>0.21371120407029712</v>
      </c>
      <c r="L508" s="10">
        <v>0.51360588049737943</v>
      </c>
    </row>
    <row r="509" spans="10:12" x14ac:dyDescent="0.3">
      <c r="J509">
        <v>486</v>
      </c>
      <c r="K509" s="10">
        <v>0.24282572986694481</v>
      </c>
      <c r="L509" s="10">
        <v>0.22375453581394106</v>
      </c>
    </row>
    <row r="510" spans="10:12" x14ac:dyDescent="0.3">
      <c r="J510">
        <v>487</v>
      </c>
      <c r="K510" s="10">
        <v>0.21710541903532912</v>
      </c>
      <c r="L510" s="10">
        <v>0.5815479528594365</v>
      </c>
    </row>
    <row r="511" spans="10:12" x14ac:dyDescent="0.3">
      <c r="J511">
        <v>488</v>
      </c>
      <c r="K511" s="10">
        <v>0.1890105627049749</v>
      </c>
      <c r="L511" s="10">
        <v>0.2788894358400742</v>
      </c>
    </row>
    <row r="512" spans="10:12" x14ac:dyDescent="0.3">
      <c r="J512">
        <v>489</v>
      </c>
      <c r="K512" s="10">
        <v>0.22230061514183924</v>
      </c>
      <c r="L512" s="10">
        <v>0.29388798803329119</v>
      </c>
    </row>
    <row r="513" spans="10:12" x14ac:dyDescent="0.3">
      <c r="J513">
        <v>490</v>
      </c>
      <c r="K513" s="10">
        <v>0.20933962150659616</v>
      </c>
      <c r="L513" s="10">
        <v>7.5203480392074057E-2</v>
      </c>
    </row>
    <row r="514" spans="10:12" x14ac:dyDescent="0.3">
      <c r="J514">
        <v>491</v>
      </c>
      <c r="K514" s="10">
        <v>0.20018146642163873</v>
      </c>
      <c r="L514" s="10">
        <v>0.42784850814629238</v>
      </c>
    </row>
    <row r="515" spans="10:12" x14ac:dyDescent="0.3">
      <c r="J515">
        <v>492</v>
      </c>
      <c r="K515" s="10">
        <v>0.22327301539315017</v>
      </c>
      <c r="L515" s="10">
        <v>0.38517373942837574</v>
      </c>
    </row>
    <row r="516" spans="10:12" x14ac:dyDescent="0.3">
      <c r="J516">
        <v>493</v>
      </c>
      <c r="K516" s="10">
        <v>0.19244316493266228</v>
      </c>
      <c r="L516" s="10">
        <v>0.35498364072295147</v>
      </c>
    </row>
    <row r="517" spans="10:12" x14ac:dyDescent="0.3">
      <c r="J517">
        <v>494</v>
      </c>
      <c r="K517" s="10">
        <v>0.23467445684663843</v>
      </c>
      <c r="L517" s="10">
        <v>0.36398106540733011</v>
      </c>
    </row>
    <row r="518" spans="10:12" x14ac:dyDescent="0.3">
      <c r="J518">
        <v>495</v>
      </c>
      <c r="K518" s="10">
        <v>0.22413609160356471</v>
      </c>
      <c r="L518" s="10">
        <v>0.61651250957073234</v>
      </c>
    </row>
    <row r="519" spans="10:12" x14ac:dyDescent="0.3">
      <c r="J519">
        <v>496</v>
      </c>
      <c r="K519" s="10">
        <v>0.19154054959839034</v>
      </c>
      <c r="L519" s="10">
        <v>0.33300098542650186</v>
      </c>
    </row>
    <row r="520" spans="10:12" x14ac:dyDescent="0.3">
      <c r="J520">
        <v>497</v>
      </c>
      <c r="K520" s="10">
        <v>0.21857824414297877</v>
      </c>
      <c r="L520" s="10">
        <v>2.4312135626630899E-2</v>
      </c>
    </row>
    <row r="521" spans="10:12" x14ac:dyDescent="0.3">
      <c r="J521">
        <v>498</v>
      </c>
      <c r="K521" s="10">
        <v>0.210565437160493</v>
      </c>
      <c r="L521" s="10">
        <v>0.1407719442003898</v>
      </c>
    </row>
    <row r="522" spans="10:12" x14ac:dyDescent="0.3">
      <c r="J522">
        <v>499</v>
      </c>
      <c r="K522" s="10">
        <v>0.27583379734295688</v>
      </c>
      <c r="L522" s="10">
        <v>-6.9561673440874744E-2</v>
      </c>
    </row>
    <row r="523" spans="10:12" x14ac:dyDescent="0.3">
      <c r="J523">
        <v>500</v>
      </c>
      <c r="K523" s="10">
        <v>0.1942969507459103</v>
      </c>
      <c r="L523" s="10">
        <v>0.24986150296033641</v>
      </c>
    </row>
    <row r="524" spans="10:12" x14ac:dyDescent="0.3">
      <c r="J524">
        <v>501</v>
      </c>
      <c r="K524" s="10">
        <v>0.19542693861254429</v>
      </c>
      <c r="L524" s="10">
        <v>0.1794848460367014</v>
      </c>
    </row>
    <row r="525" spans="10:12" x14ac:dyDescent="0.3">
      <c r="J525">
        <v>502</v>
      </c>
      <c r="K525" s="10">
        <v>0.20957354282565147</v>
      </c>
      <c r="L525" s="10">
        <v>0.52556181908178456</v>
      </c>
    </row>
    <row r="526" spans="10:12" x14ac:dyDescent="0.3">
      <c r="J526">
        <v>503</v>
      </c>
      <c r="K526" s="10">
        <v>0.1912298680102858</v>
      </c>
      <c r="L526" s="10">
        <v>0.33744084280205178</v>
      </c>
    </row>
    <row r="527" spans="10:12" x14ac:dyDescent="0.3">
      <c r="J527">
        <v>504</v>
      </c>
      <c r="K527" s="10">
        <v>0.20475137360218823</v>
      </c>
      <c r="L527" s="10">
        <v>0.35638210975949508</v>
      </c>
    </row>
    <row r="528" spans="10:12" x14ac:dyDescent="0.3">
      <c r="J528">
        <v>505</v>
      </c>
      <c r="K528" s="10">
        <v>0.25987106854584618</v>
      </c>
      <c r="L528" s="10">
        <v>0.23173821202646228</v>
      </c>
    </row>
    <row r="529" spans="10:12" x14ac:dyDescent="0.3">
      <c r="J529">
        <v>506</v>
      </c>
      <c r="K529" s="10">
        <v>0.20190104896901775</v>
      </c>
      <c r="L529" s="10">
        <v>0.34151548077231109</v>
      </c>
    </row>
    <row r="530" spans="10:12" x14ac:dyDescent="0.3">
      <c r="J530">
        <v>507</v>
      </c>
      <c r="K530" s="10">
        <v>0.20048093183015153</v>
      </c>
      <c r="L530" s="10">
        <v>0.18306312664488064</v>
      </c>
    </row>
    <row r="531" spans="10:12" x14ac:dyDescent="0.3">
      <c r="J531">
        <v>508</v>
      </c>
      <c r="K531" s="10">
        <v>0.19028068608961823</v>
      </c>
      <c r="L531" s="10">
        <v>0.28818822107866038</v>
      </c>
    </row>
    <row r="532" spans="10:12" x14ac:dyDescent="0.3">
      <c r="J532">
        <v>509</v>
      </c>
      <c r="K532" s="10">
        <v>0.20536454467522461</v>
      </c>
      <c r="L532" s="10">
        <v>0.10506468453274814</v>
      </c>
    </row>
    <row r="533" spans="10:12" x14ac:dyDescent="0.3">
      <c r="J533">
        <v>510</v>
      </c>
      <c r="K533" s="10">
        <v>0.19802449609225642</v>
      </c>
      <c r="L533" s="10">
        <v>0.1922686181038038</v>
      </c>
    </row>
    <row r="534" spans="10:12" x14ac:dyDescent="0.3">
      <c r="J534">
        <v>511</v>
      </c>
      <c r="K534" s="10">
        <v>0.2807623304689848</v>
      </c>
      <c r="L534" s="10">
        <v>-4.8119170516274831E-2</v>
      </c>
    </row>
    <row r="535" spans="10:12" x14ac:dyDescent="0.3">
      <c r="J535">
        <v>512</v>
      </c>
      <c r="K535" s="10">
        <v>0.26269521590420997</v>
      </c>
      <c r="L535" s="10">
        <v>-8.1488395901575778E-2</v>
      </c>
    </row>
    <row r="536" spans="10:12" x14ac:dyDescent="0.3">
      <c r="J536">
        <v>513</v>
      </c>
      <c r="K536" s="10">
        <v>0.20153881668343684</v>
      </c>
      <c r="L536" s="10">
        <v>0.15758480836910244</v>
      </c>
    </row>
    <row r="537" spans="10:12" x14ac:dyDescent="0.3">
      <c r="J537">
        <v>514</v>
      </c>
      <c r="K537" s="10">
        <v>0.28827908796456936</v>
      </c>
      <c r="L537" s="10">
        <v>0.11479351326881732</v>
      </c>
    </row>
    <row r="538" spans="10:12" x14ac:dyDescent="0.3">
      <c r="J538">
        <v>515</v>
      </c>
      <c r="K538" s="10">
        <v>0.2780715807961599</v>
      </c>
      <c r="L538" s="10">
        <v>-8.0175877027956949E-2</v>
      </c>
    </row>
    <row r="539" spans="10:12" x14ac:dyDescent="0.3">
      <c r="J539">
        <v>516</v>
      </c>
      <c r="K539" s="10">
        <v>0.22426626868940991</v>
      </c>
      <c r="L539" s="10">
        <v>-7.2140034181907009E-4</v>
      </c>
    </row>
    <row r="540" spans="10:12" x14ac:dyDescent="0.3">
      <c r="J540">
        <v>517</v>
      </c>
      <c r="K540" s="10">
        <v>0.24870316270108933</v>
      </c>
      <c r="L540" s="10">
        <v>0.22247925225916854</v>
      </c>
    </row>
    <row r="541" spans="10:12" x14ac:dyDescent="0.3">
      <c r="J541">
        <v>518</v>
      </c>
      <c r="K541" s="10">
        <v>0.24659326334908424</v>
      </c>
      <c r="L541" s="10">
        <v>0.27107058766338377</v>
      </c>
    </row>
    <row r="542" spans="10:12" x14ac:dyDescent="0.3">
      <c r="J542">
        <v>519</v>
      </c>
      <c r="K542" s="10">
        <v>0.21055880273126004</v>
      </c>
      <c r="L542" s="10">
        <v>9.4306638443307611E-2</v>
      </c>
    </row>
    <row r="543" spans="10:12" x14ac:dyDescent="0.3">
      <c r="J543">
        <v>520</v>
      </c>
      <c r="K543" s="10">
        <v>0.19272349296747224</v>
      </c>
      <c r="L543" s="10">
        <v>0.20801982795267088</v>
      </c>
    </row>
    <row r="544" spans="10:12" x14ac:dyDescent="0.3">
      <c r="J544">
        <v>521</v>
      </c>
      <c r="K544" s="10">
        <v>0.22556697407764412</v>
      </c>
      <c r="L544" s="10">
        <v>0.4158115744955736</v>
      </c>
    </row>
    <row r="545" spans="10:12" x14ac:dyDescent="0.3">
      <c r="J545">
        <v>522</v>
      </c>
      <c r="K545" s="10">
        <v>0.24633581421253145</v>
      </c>
      <c r="L545" s="10">
        <v>0.22640936142176518</v>
      </c>
    </row>
    <row r="546" spans="10:12" x14ac:dyDescent="0.3">
      <c r="J546">
        <v>523</v>
      </c>
      <c r="K546" s="10">
        <v>0.19164725227418603</v>
      </c>
      <c r="L546" s="10">
        <v>0.38610964982632701</v>
      </c>
    </row>
    <row r="547" spans="10:12" x14ac:dyDescent="0.3">
      <c r="J547">
        <v>524</v>
      </c>
      <c r="K547" s="10">
        <v>0.20166629407924161</v>
      </c>
      <c r="L547" s="10">
        <v>0.17495569977031164</v>
      </c>
    </row>
    <row r="548" spans="10:12" x14ac:dyDescent="0.3">
      <c r="J548">
        <v>525</v>
      </c>
      <c r="K548" s="10">
        <v>0.24411240362689557</v>
      </c>
      <c r="L548" s="10">
        <v>-1.4815401641144685E-2</v>
      </c>
    </row>
    <row r="549" spans="10:12" x14ac:dyDescent="0.3">
      <c r="J549">
        <v>526</v>
      </c>
      <c r="K549" s="10">
        <v>0.19577480478871534</v>
      </c>
      <c r="L549" s="10">
        <v>0.4008689762406803</v>
      </c>
    </row>
    <row r="550" spans="10:12" x14ac:dyDescent="0.3">
      <c r="J550">
        <v>527</v>
      </c>
      <c r="K550" s="10">
        <v>0.23216068175713311</v>
      </c>
      <c r="L550" s="10">
        <v>0.35708325180628864</v>
      </c>
    </row>
    <row r="551" spans="10:12" x14ac:dyDescent="0.3">
      <c r="J551">
        <v>528</v>
      </c>
      <c r="K551" s="10">
        <v>0.24810576182681823</v>
      </c>
      <c r="L551" s="10">
        <v>1.4727883113240098E-2</v>
      </c>
    </row>
    <row r="552" spans="10:12" x14ac:dyDescent="0.3">
      <c r="J552">
        <v>529</v>
      </c>
      <c r="K552" s="10">
        <v>0.22228974561030884</v>
      </c>
      <c r="L552" s="10">
        <v>0.28645767596803384</v>
      </c>
    </row>
    <row r="553" spans="10:12" x14ac:dyDescent="0.3">
      <c r="J553">
        <v>530</v>
      </c>
      <c r="K553" s="10">
        <v>0.21184250916337244</v>
      </c>
      <c r="L553" s="10">
        <v>0.15970803656710988</v>
      </c>
    </row>
    <row r="554" spans="10:12" x14ac:dyDescent="0.3">
      <c r="J554">
        <v>531</v>
      </c>
      <c r="K554" s="10">
        <v>0.2604017786713313</v>
      </c>
      <c r="L554" s="10">
        <v>-3.0817481002446773E-2</v>
      </c>
    </row>
    <row r="555" spans="10:12" x14ac:dyDescent="0.3">
      <c r="J555">
        <v>532</v>
      </c>
      <c r="K555" s="10">
        <v>0.22203079265205972</v>
      </c>
      <c r="L555" s="10">
        <v>0.57109448145306385</v>
      </c>
    </row>
    <row r="556" spans="10:12" x14ac:dyDescent="0.3">
      <c r="J556">
        <v>533</v>
      </c>
      <c r="K556" s="10">
        <v>0.20268357036081289</v>
      </c>
      <c r="L556" s="10">
        <v>0.23497741453947951</v>
      </c>
    </row>
    <row r="557" spans="10:12" x14ac:dyDescent="0.3">
      <c r="J557">
        <v>534</v>
      </c>
      <c r="K557" s="10">
        <v>0.22775678308533209</v>
      </c>
      <c r="L557" s="10">
        <v>-1.888612709755836E-2</v>
      </c>
    </row>
    <row r="558" spans="10:12" x14ac:dyDescent="0.3">
      <c r="J558">
        <v>535</v>
      </c>
      <c r="K558" s="10">
        <v>0.24235551238239308</v>
      </c>
      <c r="L558" s="10">
        <v>-7.9063010693708816E-2</v>
      </c>
    </row>
    <row r="559" spans="10:12" x14ac:dyDescent="0.3">
      <c r="J559">
        <v>536</v>
      </c>
      <c r="K559" s="10">
        <v>0.23796532929985206</v>
      </c>
      <c r="L559" s="10">
        <v>-4.493399437386722E-2</v>
      </c>
    </row>
    <row r="560" spans="10:12" x14ac:dyDescent="0.3">
      <c r="J560">
        <v>537</v>
      </c>
      <c r="K560" s="10">
        <v>0.25108051800359116</v>
      </c>
      <c r="L560" s="10">
        <v>2.8133336866868891E-3</v>
      </c>
    </row>
    <row r="561" spans="10:12" x14ac:dyDescent="0.3">
      <c r="J561">
        <v>538</v>
      </c>
      <c r="K561" s="10">
        <v>0.19426002551515861</v>
      </c>
      <c r="L561" s="10">
        <v>0.42524504255863554</v>
      </c>
    </row>
    <row r="562" spans="10:12" x14ac:dyDescent="0.3">
      <c r="J562">
        <v>539</v>
      </c>
      <c r="K562" s="10">
        <v>0.21382999348400383</v>
      </c>
      <c r="L562" s="10">
        <v>0.23515536215178984</v>
      </c>
    </row>
    <row r="563" spans="10:12" x14ac:dyDescent="0.3">
      <c r="J563">
        <v>540</v>
      </c>
      <c r="K563" s="10">
        <v>0.2259975676990989</v>
      </c>
      <c r="L563" s="10">
        <v>2.6447756574724438E-2</v>
      </c>
    </row>
    <row r="564" spans="10:12" x14ac:dyDescent="0.3">
      <c r="J564">
        <v>541</v>
      </c>
      <c r="K564" s="10">
        <v>0.21674680999177509</v>
      </c>
      <c r="L564" s="10">
        <v>5.4720146888179527E-2</v>
      </c>
    </row>
    <row r="565" spans="10:12" x14ac:dyDescent="0.3">
      <c r="J565">
        <v>542</v>
      </c>
      <c r="K565" s="10">
        <v>0.19286177572022359</v>
      </c>
      <c r="L565" s="10">
        <v>0.30795242206286533</v>
      </c>
    </row>
    <row r="566" spans="10:12" x14ac:dyDescent="0.3">
      <c r="J566">
        <v>543</v>
      </c>
      <c r="K566" s="10">
        <v>0.2097110393204176</v>
      </c>
      <c r="L566" s="10">
        <v>0.50075176564510882</v>
      </c>
    </row>
    <row r="567" spans="10:12" x14ac:dyDescent="0.3">
      <c r="J567">
        <v>544</v>
      </c>
      <c r="K567" s="10">
        <v>0.26581734574381061</v>
      </c>
      <c r="L567" s="10">
        <v>9.7499402583089187E-2</v>
      </c>
    </row>
    <row r="568" spans="10:12" x14ac:dyDescent="0.3">
      <c r="J568">
        <v>545</v>
      </c>
      <c r="K568" s="10">
        <v>0.22674995497189149</v>
      </c>
      <c r="L568" s="10">
        <v>0.2805842168492329</v>
      </c>
    </row>
    <row r="569" spans="10:12" x14ac:dyDescent="0.3">
      <c r="J569">
        <v>546</v>
      </c>
      <c r="K569" s="10">
        <v>0.2469135128926043</v>
      </c>
      <c r="L569" s="10">
        <v>-6.5387422849364579E-2</v>
      </c>
    </row>
    <row r="570" spans="10:12" x14ac:dyDescent="0.3">
      <c r="J570">
        <v>547</v>
      </c>
      <c r="K570" s="10">
        <v>0.28866072720670277</v>
      </c>
      <c r="L570" s="10">
        <v>0.86865791696918027</v>
      </c>
    </row>
    <row r="571" spans="10:12" x14ac:dyDescent="0.3">
      <c r="J571">
        <v>548</v>
      </c>
      <c r="K571" s="10">
        <v>0.19068842590871168</v>
      </c>
      <c r="L571" s="10">
        <v>0.25768262781071843</v>
      </c>
    </row>
    <row r="572" spans="10:12" x14ac:dyDescent="0.3">
      <c r="J572">
        <v>549</v>
      </c>
      <c r="K572" s="10">
        <v>0.2004563879142981</v>
      </c>
      <c r="L572" s="10">
        <v>0.15953011338516065</v>
      </c>
    </row>
    <row r="573" spans="10:12" x14ac:dyDescent="0.3">
      <c r="J573">
        <v>550</v>
      </c>
      <c r="K573" s="10">
        <v>0.19818863950787058</v>
      </c>
      <c r="L573" s="10">
        <v>0.40152279181689643</v>
      </c>
    </row>
    <row r="574" spans="10:12" x14ac:dyDescent="0.3">
      <c r="J574">
        <v>551</v>
      </c>
      <c r="K574" s="10">
        <v>0.23439720277959372</v>
      </c>
      <c r="L574" s="10">
        <v>-3.8924622711159464E-2</v>
      </c>
    </row>
    <row r="575" spans="10:12" x14ac:dyDescent="0.3">
      <c r="J575">
        <v>552</v>
      </c>
      <c r="K575" s="10">
        <v>0.22962596781519012</v>
      </c>
      <c r="L575" s="10">
        <v>-2.9097057314647033E-2</v>
      </c>
    </row>
    <row r="576" spans="10:12" x14ac:dyDescent="0.3">
      <c r="J576">
        <v>553</v>
      </c>
      <c r="K576" s="10">
        <v>0.22195894922566747</v>
      </c>
      <c r="L576" s="10">
        <v>1.8147097328672548E-2</v>
      </c>
    </row>
    <row r="577" spans="10:12" x14ac:dyDescent="0.3">
      <c r="J577">
        <v>554</v>
      </c>
      <c r="K577" s="10">
        <v>0.19348360415218008</v>
      </c>
      <c r="L577" s="10">
        <v>0.24199809228738939</v>
      </c>
    </row>
    <row r="578" spans="10:12" x14ac:dyDescent="0.3">
      <c r="J578">
        <v>555</v>
      </c>
      <c r="K578" s="10">
        <v>0.1920432941969705</v>
      </c>
      <c r="L578" s="10">
        <v>0.31023009792766065</v>
      </c>
    </row>
    <row r="579" spans="10:12" x14ac:dyDescent="0.3">
      <c r="J579">
        <v>556</v>
      </c>
      <c r="K579" s="10">
        <v>0.19321346330659878</v>
      </c>
      <c r="L579" s="10">
        <v>0.23429636273470125</v>
      </c>
    </row>
    <row r="580" spans="10:12" x14ac:dyDescent="0.3">
      <c r="J580">
        <v>557</v>
      </c>
      <c r="K580" s="10">
        <v>0.21380479574288883</v>
      </c>
      <c r="L580" s="10">
        <v>0.29087897735870427</v>
      </c>
    </row>
    <row r="581" spans="10:12" x14ac:dyDescent="0.3">
      <c r="J581">
        <v>558</v>
      </c>
      <c r="K581" s="10">
        <v>0.25077854826369367</v>
      </c>
      <c r="L581" s="10">
        <v>1.6285345348161839E-2</v>
      </c>
    </row>
    <row r="582" spans="10:12" x14ac:dyDescent="0.3">
      <c r="J582">
        <v>559</v>
      </c>
      <c r="K582" s="10">
        <v>0.20191271479870709</v>
      </c>
      <c r="L582" s="10">
        <v>0.36741936140194281</v>
      </c>
    </row>
    <row r="583" spans="10:12" x14ac:dyDescent="0.3">
      <c r="J583">
        <v>560</v>
      </c>
      <c r="K583" s="10">
        <v>0.2205341562478117</v>
      </c>
      <c r="L583" s="10">
        <v>1.4445393273119979E-2</v>
      </c>
    </row>
    <row r="584" spans="10:12" x14ac:dyDescent="0.3">
      <c r="J584">
        <v>561</v>
      </c>
      <c r="K584" s="10">
        <v>0.20846381655864835</v>
      </c>
      <c r="L584" s="10">
        <v>0.27467640584130043</v>
      </c>
    </row>
    <row r="585" spans="10:12" x14ac:dyDescent="0.3">
      <c r="J585">
        <v>562</v>
      </c>
      <c r="K585" s="10">
        <v>0.22673465738578014</v>
      </c>
      <c r="L585" s="10">
        <v>0.28511377830842027</v>
      </c>
    </row>
    <row r="586" spans="10:12" x14ac:dyDescent="0.3">
      <c r="J586">
        <v>563</v>
      </c>
      <c r="K586" s="10">
        <v>0.19981161981960216</v>
      </c>
      <c r="L586" s="10">
        <v>0.22695379058338239</v>
      </c>
    </row>
    <row r="587" spans="10:12" x14ac:dyDescent="0.3">
      <c r="J587">
        <v>564</v>
      </c>
      <c r="K587" s="10">
        <v>0.22211927859298816</v>
      </c>
      <c r="L587" s="10">
        <v>6.4883830077367421E-3</v>
      </c>
    </row>
    <row r="588" spans="10:12" x14ac:dyDescent="0.3">
      <c r="J588">
        <v>565</v>
      </c>
      <c r="K588" s="10">
        <v>0.19409232343831734</v>
      </c>
      <c r="L588" s="10">
        <v>0.24015743714233492</v>
      </c>
    </row>
    <row r="589" spans="10:12" x14ac:dyDescent="0.3">
      <c r="J589">
        <v>566</v>
      </c>
      <c r="K589" s="10">
        <v>0.23296143160693306</v>
      </c>
      <c r="L589" s="10">
        <v>-4.194575363338935E-2</v>
      </c>
    </row>
    <row r="590" spans="10:12" x14ac:dyDescent="0.3">
      <c r="J590">
        <v>567</v>
      </c>
      <c r="K590" s="10">
        <v>0.21251438730370123</v>
      </c>
      <c r="L590" s="10">
        <v>0.50847872328830457</v>
      </c>
    </row>
    <row r="591" spans="10:12" x14ac:dyDescent="0.3">
      <c r="J591">
        <v>568</v>
      </c>
      <c r="K591" s="10">
        <v>0.1961169092788117</v>
      </c>
      <c r="L591" s="10">
        <v>0.28930112983289263</v>
      </c>
    </row>
    <row r="592" spans="10:12" x14ac:dyDescent="0.3">
      <c r="J592">
        <v>569</v>
      </c>
      <c r="K592" s="10">
        <v>0.23363146258111903</v>
      </c>
      <c r="L592" s="10">
        <v>2.8361511270995739E-2</v>
      </c>
    </row>
    <row r="593" spans="10:12" x14ac:dyDescent="0.3">
      <c r="J593">
        <v>570</v>
      </c>
      <c r="K593" s="10">
        <v>0.21407828827511285</v>
      </c>
      <c r="L593" s="10">
        <v>0.50493247700809762</v>
      </c>
    </row>
    <row r="594" spans="10:12" x14ac:dyDescent="0.3">
      <c r="J594">
        <v>571</v>
      </c>
      <c r="K594" s="10">
        <v>0.19533527495166478</v>
      </c>
      <c r="L594" s="10">
        <v>0.37760353876926533</v>
      </c>
    </row>
    <row r="595" spans="10:12" x14ac:dyDescent="0.3">
      <c r="J595">
        <v>572</v>
      </c>
      <c r="K595" s="10">
        <v>0.23958381295869652</v>
      </c>
      <c r="L595" s="10">
        <v>-5.8620493440056098E-2</v>
      </c>
    </row>
    <row r="596" spans="10:12" x14ac:dyDescent="0.3">
      <c r="J596">
        <v>573</v>
      </c>
      <c r="K596" s="10">
        <v>0.19957139108343497</v>
      </c>
      <c r="L596" s="10">
        <v>0.2307333400086683</v>
      </c>
    </row>
    <row r="597" spans="10:12" x14ac:dyDescent="0.3">
      <c r="J597">
        <v>574</v>
      </c>
      <c r="K597" s="10">
        <v>0.21274469247523878</v>
      </c>
      <c r="L597" s="10">
        <v>0.11972668305640428</v>
      </c>
    </row>
    <row r="598" spans="10:12" x14ac:dyDescent="0.3">
      <c r="J598">
        <v>575</v>
      </c>
      <c r="K598" s="10">
        <v>0.28738165861970144</v>
      </c>
      <c r="L598" s="10">
        <v>-6.1813611420838049E-2</v>
      </c>
    </row>
    <row r="599" spans="10:12" x14ac:dyDescent="0.3">
      <c r="J599">
        <v>576</v>
      </c>
      <c r="K599" s="10">
        <v>0.23676803707148056</v>
      </c>
      <c r="L599" s="10">
        <v>0.14236635100821296</v>
      </c>
    </row>
    <row r="600" spans="10:12" x14ac:dyDescent="0.3">
      <c r="J600">
        <v>577</v>
      </c>
      <c r="K600" s="10">
        <v>0.19535104884381932</v>
      </c>
      <c r="L600" s="10">
        <v>0.43353527227908772</v>
      </c>
    </row>
    <row r="601" spans="10:12" x14ac:dyDescent="0.3">
      <c r="J601">
        <v>578</v>
      </c>
      <c r="K601" s="10">
        <v>0.23622750111442856</v>
      </c>
      <c r="L601" s="10">
        <v>-5.1364155851471999E-2</v>
      </c>
    </row>
    <row r="602" spans="10:12" x14ac:dyDescent="0.3">
      <c r="J602">
        <v>579</v>
      </c>
      <c r="K602" s="10">
        <v>0.19096612801122823</v>
      </c>
      <c r="L602" s="10">
        <v>0.23434267618729177</v>
      </c>
    </row>
    <row r="603" spans="10:12" x14ac:dyDescent="0.3">
      <c r="J603">
        <v>580</v>
      </c>
      <c r="K603" s="10">
        <v>0.20899569698056597</v>
      </c>
      <c r="L603" s="10">
        <v>0.16022162762166259</v>
      </c>
    </row>
    <row r="604" spans="10:12" x14ac:dyDescent="0.3">
      <c r="J604">
        <v>581</v>
      </c>
      <c r="K604" s="10">
        <v>0.24150277711337426</v>
      </c>
      <c r="L604" s="10">
        <v>0.28226460101561091</v>
      </c>
    </row>
    <row r="605" spans="10:12" x14ac:dyDescent="0.3">
      <c r="J605">
        <v>582</v>
      </c>
      <c r="K605" s="10">
        <v>0.19671976882748263</v>
      </c>
      <c r="L605" s="10">
        <v>0.42358501572843044</v>
      </c>
    </row>
    <row r="606" spans="10:12" x14ac:dyDescent="0.3">
      <c r="J606">
        <v>583</v>
      </c>
      <c r="K606" s="10">
        <v>0.24323423783516729</v>
      </c>
      <c r="L606" s="10">
        <v>6.084557315614901E-2</v>
      </c>
    </row>
    <row r="607" spans="10:12" x14ac:dyDescent="0.3">
      <c r="J607">
        <v>584</v>
      </c>
      <c r="K607" s="10">
        <v>0.22123850353579172</v>
      </c>
      <c r="L607" s="10">
        <v>5.0554344739818374E-2</v>
      </c>
    </row>
    <row r="608" spans="10:12" x14ac:dyDescent="0.3">
      <c r="J608">
        <v>585</v>
      </c>
      <c r="K608" s="10">
        <v>0.201669037073158</v>
      </c>
      <c r="L608" s="10">
        <v>0.22743834713389882</v>
      </c>
    </row>
    <row r="609" spans="10:12" x14ac:dyDescent="0.3">
      <c r="J609">
        <v>586</v>
      </c>
      <c r="K609" s="10">
        <v>0.31447982292411564</v>
      </c>
      <c r="L609" s="10">
        <v>-7.4032975136713627E-2</v>
      </c>
    </row>
    <row r="610" spans="10:12" x14ac:dyDescent="0.3">
      <c r="J610">
        <v>587</v>
      </c>
      <c r="K610" s="10">
        <v>0.20953499356222394</v>
      </c>
      <c r="L610" s="10">
        <v>0.13692272264764777</v>
      </c>
    </row>
    <row r="611" spans="10:12" x14ac:dyDescent="0.3">
      <c r="J611">
        <v>588</v>
      </c>
      <c r="K611" s="10">
        <v>0.19336316690195515</v>
      </c>
      <c r="L611" s="10">
        <v>0.2938624716396645</v>
      </c>
    </row>
    <row r="612" spans="10:12" x14ac:dyDescent="0.3">
      <c r="J612">
        <v>589</v>
      </c>
      <c r="K612" s="10">
        <v>0.18970707245504859</v>
      </c>
      <c r="L612" s="10">
        <v>0.31163243153420489</v>
      </c>
    </row>
    <row r="613" spans="10:12" x14ac:dyDescent="0.3">
      <c r="J613">
        <v>590</v>
      </c>
      <c r="K613" s="10">
        <v>0.27128059690867268</v>
      </c>
      <c r="L613" s="10">
        <v>0.80705085107286756</v>
      </c>
    </row>
    <row r="614" spans="10:12" x14ac:dyDescent="0.3">
      <c r="J614">
        <v>591</v>
      </c>
      <c r="K614" s="10">
        <v>0.27303902288167226</v>
      </c>
      <c r="L614" s="10">
        <v>0.81439390867633898</v>
      </c>
    </row>
    <row r="615" spans="10:12" x14ac:dyDescent="0.3">
      <c r="J615">
        <v>592</v>
      </c>
      <c r="K615" s="10">
        <v>0.25206842084139519</v>
      </c>
      <c r="L615" s="10">
        <v>0.22185611559966553</v>
      </c>
    </row>
    <row r="616" spans="10:12" x14ac:dyDescent="0.3">
      <c r="J616">
        <v>593</v>
      </c>
      <c r="K616" s="10">
        <v>0.19668864084085694</v>
      </c>
      <c r="L616" s="10">
        <v>0.30302528045928778</v>
      </c>
    </row>
    <row r="617" spans="10:12" x14ac:dyDescent="0.3">
      <c r="J617">
        <v>594</v>
      </c>
      <c r="K617" s="10">
        <v>0.23805111423091238</v>
      </c>
      <c r="L617" s="10">
        <v>0.28625632459912187</v>
      </c>
    </row>
    <row r="618" spans="10:12" x14ac:dyDescent="0.3">
      <c r="J618">
        <v>595</v>
      </c>
      <c r="K618" s="10">
        <v>0.2076970094787419</v>
      </c>
      <c r="L618" s="10">
        <v>0.10508419382118868</v>
      </c>
    </row>
    <row r="619" spans="10:12" x14ac:dyDescent="0.3">
      <c r="J619">
        <v>596</v>
      </c>
      <c r="K619" s="10">
        <v>0.21535778050357673</v>
      </c>
      <c r="L619" s="10">
        <v>9.4762843237231678E-2</v>
      </c>
    </row>
    <row r="620" spans="10:12" x14ac:dyDescent="0.3">
      <c r="J620">
        <v>597</v>
      </c>
      <c r="K620" s="10">
        <v>0.19561738690227345</v>
      </c>
      <c r="L620" s="10">
        <v>0.1919873407412791</v>
      </c>
    </row>
    <row r="621" spans="10:12" x14ac:dyDescent="0.3">
      <c r="J621">
        <v>598</v>
      </c>
      <c r="K621" s="10">
        <v>0.22192177658039411</v>
      </c>
      <c r="L621" s="10">
        <v>0.10590404323413763</v>
      </c>
    </row>
    <row r="622" spans="10:12" x14ac:dyDescent="0.3">
      <c r="J622">
        <v>599</v>
      </c>
      <c r="K622" s="10">
        <v>0.20063849162666633</v>
      </c>
      <c r="L622" s="10">
        <v>0.47268218814785251</v>
      </c>
    </row>
    <row r="623" spans="10:12" x14ac:dyDescent="0.3">
      <c r="J623">
        <v>600</v>
      </c>
      <c r="K623" s="10">
        <v>0.2202538806936632</v>
      </c>
      <c r="L623" s="10">
        <v>0.54388395617621588</v>
      </c>
    </row>
    <row r="624" spans="10:12" x14ac:dyDescent="0.3">
      <c r="J624">
        <v>601</v>
      </c>
      <c r="K624" s="10">
        <v>0.1971199933571367</v>
      </c>
      <c r="L624" s="10">
        <v>0.21785476833655482</v>
      </c>
    </row>
    <row r="625" spans="10:12" x14ac:dyDescent="0.3">
      <c r="J625">
        <v>602</v>
      </c>
      <c r="K625" s="10">
        <v>0.19932785519655663</v>
      </c>
      <c r="L625" s="10">
        <v>0.4648143191527237</v>
      </c>
    </row>
    <row r="626" spans="10:12" x14ac:dyDescent="0.3">
      <c r="J626">
        <v>603</v>
      </c>
      <c r="K626" s="10">
        <v>0.19574307502230615</v>
      </c>
      <c r="L626" s="10">
        <v>0.22962671465337603</v>
      </c>
    </row>
    <row r="627" spans="10:12" x14ac:dyDescent="0.3">
      <c r="J627">
        <v>604</v>
      </c>
      <c r="K627" s="10">
        <v>0.19161990110899788</v>
      </c>
      <c r="L627" s="10">
        <v>0.31455180334494592</v>
      </c>
    </row>
    <row r="628" spans="10:12" x14ac:dyDescent="0.3">
      <c r="J628">
        <v>605</v>
      </c>
      <c r="K628" s="10">
        <v>0.21385635490111737</v>
      </c>
      <c r="L628" s="10">
        <v>0.19076674219155643</v>
      </c>
    </row>
    <row r="629" spans="10:12" x14ac:dyDescent="0.3">
      <c r="J629">
        <v>606</v>
      </c>
      <c r="K629" s="10">
        <v>0.19855190426307867</v>
      </c>
      <c r="L629" s="10">
        <v>0.34726900818515749</v>
      </c>
    </row>
    <row r="630" spans="10:12" x14ac:dyDescent="0.3">
      <c r="J630">
        <v>607</v>
      </c>
      <c r="K630" s="10">
        <v>0.20032251048957672</v>
      </c>
      <c r="L630" s="10">
        <v>0.47227504674632853</v>
      </c>
    </row>
    <row r="631" spans="10:12" x14ac:dyDescent="0.3">
      <c r="J631">
        <v>608</v>
      </c>
      <c r="K631" s="10">
        <v>0.19593049606874513</v>
      </c>
      <c r="L631" s="10">
        <v>0.31318963432410679</v>
      </c>
    </row>
    <row r="632" spans="10:12" x14ac:dyDescent="0.3">
      <c r="J632">
        <v>609</v>
      </c>
      <c r="K632" s="10">
        <v>0.19948545258888858</v>
      </c>
      <c r="L632" s="10">
        <v>0.44930583378555083</v>
      </c>
    </row>
    <row r="633" spans="10:12" x14ac:dyDescent="0.3">
      <c r="J633">
        <v>610</v>
      </c>
      <c r="K633" s="10">
        <v>0.21108446341588602</v>
      </c>
      <c r="L633" s="10">
        <v>0.26363813183520429</v>
      </c>
    </row>
    <row r="634" spans="10:12" x14ac:dyDescent="0.3">
      <c r="J634">
        <v>611</v>
      </c>
      <c r="K634" s="10">
        <v>0.19143488967867994</v>
      </c>
      <c r="L634" s="10">
        <v>0.34363774731535057</v>
      </c>
    </row>
    <row r="635" spans="10:12" x14ac:dyDescent="0.3">
      <c r="J635">
        <v>612</v>
      </c>
      <c r="K635" s="10">
        <v>0.28086251345976276</v>
      </c>
      <c r="L635" s="10">
        <v>6.789190176098632E-2</v>
      </c>
    </row>
    <row r="636" spans="10:12" x14ac:dyDescent="0.3">
      <c r="J636">
        <v>613</v>
      </c>
      <c r="K636" s="10">
        <v>0.21722297636164489</v>
      </c>
      <c r="L636" s="10">
        <v>0.22099405412936135</v>
      </c>
    </row>
    <row r="637" spans="10:12" x14ac:dyDescent="0.3">
      <c r="J637">
        <v>614</v>
      </c>
      <c r="K637" s="10">
        <v>0.193283209782903</v>
      </c>
      <c r="L637" s="10">
        <v>0.19953756986513441</v>
      </c>
    </row>
    <row r="638" spans="10:12" x14ac:dyDescent="0.3">
      <c r="J638">
        <v>615</v>
      </c>
      <c r="K638" s="10">
        <v>0.195973707883566</v>
      </c>
      <c r="L638" s="10">
        <v>0.33887745865327101</v>
      </c>
    </row>
    <row r="639" spans="10:12" x14ac:dyDescent="0.3">
      <c r="J639">
        <v>616</v>
      </c>
      <c r="K639" s="10">
        <v>0.24325322969353891</v>
      </c>
      <c r="L639" s="10">
        <v>0.69762090972926349</v>
      </c>
    </row>
    <row r="640" spans="10:12" x14ac:dyDescent="0.3">
      <c r="J640">
        <v>617</v>
      </c>
      <c r="K640" s="10">
        <v>0.21334487361518173</v>
      </c>
      <c r="L640" s="10">
        <v>0.523628277425081</v>
      </c>
    </row>
    <row r="641" spans="10:12" x14ac:dyDescent="0.3">
      <c r="J641">
        <v>618</v>
      </c>
      <c r="K641" s="10">
        <v>0.25969699202902152</v>
      </c>
      <c r="L641" s="10">
        <v>0.76506456818614266</v>
      </c>
    </row>
    <row r="642" spans="10:12" x14ac:dyDescent="0.3">
      <c r="J642">
        <v>619</v>
      </c>
      <c r="K642" s="10">
        <v>0.20632729168623881</v>
      </c>
      <c r="L642" s="10">
        <v>0.50323005244887375</v>
      </c>
    </row>
    <row r="643" spans="10:12" x14ac:dyDescent="0.3">
      <c r="J643">
        <v>620</v>
      </c>
      <c r="K643" s="10">
        <v>0.22003231002985646</v>
      </c>
      <c r="L643" s="10">
        <v>8.1761299892539968E-2</v>
      </c>
    </row>
    <row r="644" spans="10:12" x14ac:dyDescent="0.3">
      <c r="J644">
        <v>621</v>
      </c>
      <c r="K644" s="10">
        <v>0.21707198073587539</v>
      </c>
      <c r="L644" s="10">
        <v>0.5827072830486929</v>
      </c>
    </row>
    <row r="645" spans="10:12" x14ac:dyDescent="0.3">
      <c r="J645">
        <v>622</v>
      </c>
      <c r="K645" s="10">
        <v>0.22347990002371812</v>
      </c>
      <c r="L645" s="10">
        <v>0.53351370744106696</v>
      </c>
    </row>
    <row r="646" spans="10:12" x14ac:dyDescent="0.3">
      <c r="J646">
        <v>623</v>
      </c>
      <c r="K646" s="10">
        <v>0.21998625328206262</v>
      </c>
      <c r="L646" s="10">
        <v>0.12289006878938843</v>
      </c>
    </row>
    <row r="647" spans="10:12" x14ac:dyDescent="0.3">
      <c r="J647">
        <v>624</v>
      </c>
      <c r="K647" s="10">
        <v>0.23756321141309267</v>
      </c>
      <c r="L647" s="10">
        <v>0.11523340882651799</v>
      </c>
    </row>
    <row r="648" spans="10:12" x14ac:dyDescent="0.3">
      <c r="J648">
        <v>625</v>
      </c>
      <c r="K648" s="10">
        <v>0.19801449638674684</v>
      </c>
      <c r="L648" s="10">
        <v>0.39520483651401483</v>
      </c>
    </row>
    <row r="649" spans="10:12" x14ac:dyDescent="0.3">
      <c r="J649">
        <v>626</v>
      </c>
      <c r="K649" s="10">
        <v>0.21209065952070694</v>
      </c>
      <c r="L649" s="10">
        <v>0.335674688958296</v>
      </c>
    </row>
    <row r="650" spans="10:12" x14ac:dyDescent="0.3">
      <c r="J650">
        <v>627</v>
      </c>
      <c r="K650" s="10">
        <v>0.25610559930251148</v>
      </c>
      <c r="L650" s="10">
        <v>7.024295022332594E-2</v>
      </c>
    </row>
    <row r="651" spans="10:12" x14ac:dyDescent="0.3">
      <c r="J651">
        <v>628</v>
      </c>
      <c r="K651" s="10">
        <v>0.27595510526253531</v>
      </c>
      <c r="L651" s="10">
        <v>-4.2120530957010752E-2</v>
      </c>
    </row>
    <row r="652" spans="10:12" x14ac:dyDescent="0.3">
      <c r="J652">
        <v>629</v>
      </c>
      <c r="K652" s="10">
        <v>0.22926878896225486</v>
      </c>
      <c r="L652" s="10">
        <v>-2.6353094529260719E-2</v>
      </c>
    </row>
    <row r="653" spans="10:12" x14ac:dyDescent="0.3">
      <c r="J653">
        <v>630</v>
      </c>
      <c r="K653" s="10">
        <v>0.26728540171389342</v>
      </c>
      <c r="L653" s="10">
        <v>-9.2788122223827402E-2</v>
      </c>
    </row>
    <row r="654" spans="10:12" x14ac:dyDescent="0.3">
      <c r="J654">
        <v>631</v>
      </c>
      <c r="K654" s="10">
        <v>0.23666763914053432</v>
      </c>
      <c r="L654" s="10">
        <v>2.671064668434589E-2</v>
      </c>
    </row>
    <row r="655" spans="10:12" x14ac:dyDescent="0.3">
      <c r="J655">
        <v>632</v>
      </c>
      <c r="K655" s="10">
        <v>0.20625330915772566</v>
      </c>
      <c r="L655" s="10">
        <v>0.1106716039156589</v>
      </c>
    </row>
    <row r="656" spans="10:12" x14ac:dyDescent="0.3">
      <c r="J656">
        <v>633</v>
      </c>
      <c r="K656" s="10">
        <v>0.19481700800439178</v>
      </c>
      <c r="L656" s="10">
        <v>0.18347212552381026</v>
      </c>
    </row>
    <row r="657" spans="10:12" x14ac:dyDescent="0.3">
      <c r="J657">
        <v>634</v>
      </c>
      <c r="K657" s="10">
        <v>0.20940438179742921</v>
      </c>
      <c r="L657" s="10">
        <v>0.12269811838484476</v>
      </c>
    </row>
    <row r="658" spans="10:12" x14ac:dyDescent="0.3">
      <c r="J658">
        <v>635</v>
      </c>
      <c r="K658" s="10">
        <v>0.22288685917601761</v>
      </c>
      <c r="L658" s="10">
        <v>5.4945017627890322E-3</v>
      </c>
    </row>
    <row r="659" spans="10:12" x14ac:dyDescent="0.3">
      <c r="J659">
        <v>636</v>
      </c>
      <c r="K659" s="10">
        <v>0.19480426957655339</v>
      </c>
      <c r="L659" s="10">
        <v>0.37476590881811195</v>
      </c>
    </row>
    <row r="660" spans="10:12" x14ac:dyDescent="0.3">
      <c r="J660">
        <v>637</v>
      </c>
      <c r="K660" s="10">
        <v>0.19667584562752286</v>
      </c>
      <c r="L660" s="10">
        <v>0.24884580295846892</v>
      </c>
    </row>
    <row r="661" spans="10:12" x14ac:dyDescent="0.3">
      <c r="J661">
        <v>638</v>
      </c>
      <c r="K661" s="10">
        <v>0.20309851232718104</v>
      </c>
      <c r="L661" s="10">
        <v>0.13817208137592368</v>
      </c>
    </row>
    <row r="662" spans="10:12" x14ac:dyDescent="0.3">
      <c r="J662">
        <v>639</v>
      </c>
      <c r="K662" s="10">
        <v>0.1949927493160126</v>
      </c>
      <c r="L662" s="10">
        <v>0.25736271755138151</v>
      </c>
    </row>
    <row r="663" spans="10:12" x14ac:dyDescent="0.3">
      <c r="J663">
        <v>640</v>
      </c>
      <c r="K663" s="10">
        <v>0.22745704529530178</v>
      </c>
      <c r="L663" s="10">
        <v>0.18013020826134524</v>
      </c>
    </row>
    <row r="664" spans="10:12" x14ac:dyDescent="0.3">
      <c r="J664">
        <v>641</v>
      </c>
      <c r="K664" s="10">
        <v>0.18991258901983352</v>
      </c>
      <c r="L664" s="10">
        <v>0.28269734723056011</v>
      </c>
    </row>
    <row r="665" spans="10:12" x14ac:dyDescent="0.3">
      <c r="J665">
        <v>642</v>
      </c>
      <c r="K665" s="10">
        <v>0.19039821657512515</v>
      </c>
      <c r="L665" s="10">
        <v>0.36437070220738293</v>
      </c>
    </row>
    <row r="666" spans="10:12" x14ac:dyDescent="0.3">
      <c r="J666">
        <v>643</v>
      </c>
      <c r="K666" s="10">
        <v>0.19858768557362375</v>
      </c>
      <c r="L666" s="10">
        <v>0.15858582079898575</v>
      </c>
    </row>
    <row r="667" spans="10:12" x14ac:dyDescent="0.3">
      <c r="J667">
        <v>644</v>
      </c>
      <c r="K667" s="10">
        <v>0.23027419553176326</v>
      </c>
      <c r="L667" s="10">
        <v>3.6315695645592644E-2</v>
      </c>
    </row>
    <row r="668" spans="10:12" x14ac:dyDescent="0.3">
      <c r="J668">
        <v>645</v>
      </c>
      <c r="K668" s="10">
        <v>0.21223519746067832</v>
      </c>
      <c r="L668" s="10">
        <v>0.25206626413555749</v>
      </c>
    </row>
    <row r="669" spans="10:12" x14ac:dyDescent="0.3">
      <c r="J669">
        <v>646</v>
      </c>
      <c r="K669" s="10">
        <v>0.21626680601464118</v>
      </c>
      <c r="L669" s="10">
        <v>0.13024026848819872</v>
      </c>
    </row>
    <row r="670" spans="10:12" x14ac:dyDescent="0.3">
      <c r="J670">
        <v>647</v>
      </c>
      <c r="K670" s="10">
        <v>0.19067998792524396</v>
      </c>
      <c r="L670" s="10">
        <v>0.2530129090236638</v>
      </c>
    </row>
    <row r="671" spans="10:12" x14ac:dyDescent="0.3">
      <c r="J671">
        <v>648</v>
      </c>
      <c r="K671" s="10">
        <v>0.29649832087297517</v>
      </c>
      <c r="L671" s="10">
        <v>3.2964595829421676E-2</v>
      </c>
    </row>
    <row r="672" spans="10:12" x14ac:dyDescent="0.3">
      <c r="J672">
        <v>649</v>
      </c>
      <c r="K672" s="10">
        <v>0.20104682062745133</v>
      </c>
      <c r="L672" s="10">
        <v>0.48331921057786087</v>
      </c>
    </row>
    <row r="673" spans="10:12" x14ac:dyDescent="0.3">
      <c r="J673">
        <v>650</v>
      </c>
      <c r="K673" s="10">
        <v>0.24818970765574797</v>
      </c>
      <c r="L673" s="10">
        <v>-5.536069332921862E-2</v>
      </c>
    </row>
    <row r="674" spans="10:12" x14ac:dyDescent="0.3">
      <c r="J674">
        <v>651</v>
      </c>
      <c r="K674" s="10">
        <v>0.20703472462549927</v>
      </c>
      <c r="L674" s="10">
        <v>0.18723097389644866</v>
      </c>
    </row>
    <row r="675" spans="10:12" x14ac:dyDescent="0.3">
      <c r="J675">
        <v>652</v>
      </c>
      <c r="K675" s="10">
        <v>0.1997184472471234</v>
      </c>
      <c r="L675" s="10">
        <v>0.44808675835958517</v>
      </c>
    </row>
    <row r="676" spans="10:12" x14ac:dyDescent="0.3">
      <c r="J676">
        <v>653</v>
      </c>
      <c r="K676" s="10">
        <v>0.21981938041867788</v>
      </c>
      <c r="L676" s="10">
        <v>0.59074435303003558</v>
      </c>
    </row>
    <row r="677" spans="10:12" x14ac:dyDescent="0.3">
      <c r="J677">
        <v>654</v>
      </c>
      <c r="K677" s="10">
        <v>0.19288633767689689</v>
      </c>
      <c r="L677" s="10">
        <v>0.29590127458484922</v>
      </c>
    </row>
    <row r="678" spans="10:12" x14ac:dyDescent="0.3">
      <c r="J678">
        <v>655</v>
      </c>
      <c r="K678" s="10">
        <v>0.23750883456298064</v>
      </c>
      <c r="L678" s="10">
        <v>-5.9995566647612436E-2</v>
      </c>
    </row>
    <row r="679" spans="10:12" x14ac:dyDescent="0.3">
      <c r="J679">
        <v>656</v>
      </c>
      <c r="K679" s="10">
        <v>0.23648865921154927</v>
      </c>
      <c r="L679" s="10">
        <v>2.0475845935588467E-2</v>
      </c>
    </row>
    <row r="680" spans="10:12" x14ac:dyDescent="0.3">
      <c r="J680">
        <v>657</v>
      </c>
      <c r="K680" s="10">
        <v>0.23374055789953552</v>
      </c>
      <c r="L680" s="10">
        <v>0.13956981809206775</v>
      </c>
    </row>
    <row r="681" spans="10:12" x14ac:dyDescent="0.3">
      <c r="J681">
        <v>658</v>
      </c>
      <c r="K681" s="10">
        <v>0.23256985316016793</v>
      </c>
      <c r="L681" s="10">
        <v>8.9509612057239785E-2</v>
      </c>
    </row>
    <row r="682" spans="10:12" x14ac:dyDescent="0.3">
      <c r="J682">
        <v>659</v>
      </c>
      <c r="K682" s="10">
        <v>0.21998624872001718</v>
      </c>
      <c r="L682" s="10">
        <v>0.45130900237778404</v>
      </c>
    </row>
    <row r="683" spans="10:12" x14ac:dyDescent="0.3">
      <c r="J683">
        <v>660</v>
      </c>
      <c r="K683" s="10">
        <v>0.24973013413004944</v>
      </c>
      <c r="L683" s="10">
        <v>0.72306828940718626</v>
      </c>
    </row>
    <row r="684" spans="10:12" x14ac:dyDescent="0.3">
      <c r="J684">
        <v>661</v>
      </c>
      <c r="K684" s="10">
        <v>0.21107383511073005</v>
      </c>
      <c r="L684" s="10">
        <v>0.34418014229693605</v>
      </c>
    </row>
    <row r="685" spans="10:12" x14ac:dyDescent="0.3">
      <c r="J685">
        <v>662</v>
      </c>
      <c r="K685" s="10">
        <v>0.19949017797224874</v>
      </c>
      <c r="L685" s="10">
        <v>0.15047669745263292</v>
      </c>
    </row>
    <row r="686" spans="10:12" x14ac:dyDescent="0.3">
      <c r="J686">
        <v>663</v>
      </c>
      <c r="K686" s="10">
        <v>0.20559732742445841</v>
      </c>
      <c r="L686" s="10">
        <v>0.12672322021294052</v>
      </c>
    </row>
    <row r="687" spans="10:12" x14ac:dyDescent="0.3">
      <c r="J687">
        <v>664</v>
      </c>
      <c r="K687" s="10">
        <v>0.20891043374558516</v>
      </c>
      <c r="L687" s="10">
        <v>0.52104089604953308</v>
      </c>
    </row>
    <row r="688" spans="10:12" x14ac:dyDescent="0.3">
      <c r="J688">
        <v>665</v>
      </c>
      <c r="K688" s="10">
        <v>0.20383827781340672</v>
      </c>
      <c r="L688" s="10">
        <v>0.27045540683895475</v>
      </c>
    </row>
    <row r="689" spans="10:12" x14ac:dyDescent="0.3">
      <c r="J689">
        <v>666</v>
      </c>
      <c r="K689" s="10">
        <v>0.19295178721084252</v>
      </c>
      <c r="L689" s="10">
        <v>0.28581862563863236</v>
      </c>
    </row>
    <row r="690" spans="10:12" x14ac:dyDescent="0.3">
      <c r="J690">
        <v>667</v>
      </c>
      <c r="K690" s="10">
        <v>0.21370824214654641</v>
      </c>
      <c r="L690" s="10">
        <v>0.2505353423858192</v>
      </c>
    </row>
    <row r="691" spans="10:12" x14ac:dyDescent="0.3">
      <c r="J691">
        <v>668</v>
      </c>
      <c r="K691" s="10">
        <v>0.22889697467202239</v>
      </c>
      <c r="L691" s="10">
        <v>0.10019872850686538</v>
      </c>
    </row>
    <row r="692" spans="10:12" x14ac:dyDescent="0.3">
      <c r="J692">
        <v>669</v>
      </c>
      <c r="K692" s="10">
        <v>0.27223212594590773</v>
      </c>
      <c r="L692" s="10">
        <v>-5.1375080715749935E-2</v>
      </c>
    </row>
    <row r="693" spans="10:12" x14ac:dyDescent="0.3">
      <c r="J693">
        <v>670</v>
      </c>
      <c r="K693" s="10">
        <v>0.22933453165458048</v>
      </c>
      <c r="L693" s="10">
        <v>0.41214941810721684</v>
      </c>
    </row>
    <row r="694" spans="10:12" x14ac:dyDescent="0.3">
      <c r="J694">
        <v>671</v>
      </c>
      <c r="K694" s="10">
        <v>0.24539203215031058</v>
      </c>
      <c r="L694" s="10">
        <v>0.70670068861965141</v>
      </c>
    </row>
    <row r="695" spans="10:12" x14ac:dyDescent="0.3">
      <c r="J695">
        <v>672</v>
      </c>
      <c r="K695" s="10">
        <v>0.19660536499208101</v>
      </c>
      <c r="L695" s="10">
        <v>0.17574210404979523</v>
      </c>
    </row>
    <row r="696" spans="10:12" x14ac:dyDescent="0.3">
      <c r="J696">
        <v>673</v>
      </c>
      <c r="K696" s="10">
        <v>0.20952611944553962</v>
      </c>
      <c r="L696" s="10">
        <v>0.13510883218984504</v>
      </c>
    </row>
    <row r="697" spans="10:12" x14ac:dyDescent="0.3">
      <c r="J697">
        <v>674</v>
      </c>
      <c r="K697" s="10">
        <v>0.21020540444290739</v>
      </c>
      <c r="L697" s="10">
        <v>0.23506255719590902</v>
      </c>
    </row>
    <row r="698" spans="10:12" x14ac:dyDescent="0.3">
      <c r="J698">
        <v>675</v>
      </c>
      <c r="K698" s="10">
        <v>0.18997226317107901</v>
      </c>
      <c r="L698" s="10">
        <v>0.25163074859262524</v>
      </c>
    </row>
    <row r="699" spans="10:12" x14ac:dyDescent="0.3">
      <c r="J699">
        <v>676</v>
      </c>
      <c r="K699" s="10">
        <v>0.21608487906532334</v>
      </c>
      <c r="L699" s="10">
        <v>0.17444539044354423</v>
      </c>
    </row>
    <row r="700" spans="10:12" x14ac:dyDescent="0.3">
      <c r="J700">
        <v>677</v>
      </c>
      <c r="K700" s="10">
        <v>0.21293046146652572</v>
      </c>
      <c r="L700" s="10">
        <v>0.11698747584372271</v>
      </c>
    </row>
    <row r="701" spans="10:12" x14ac:dyDescent="0.3">
      <c r="J701">
        <v>678</v>
      </c>
      <c r="K701" s="10">
        <v>0.21516094178389064</v>
      </c>
      <c r="L701" s="10">
        <v>0.11022626642519684</v>
      </c>
    </row>
    <row r="702" spans="10:12" x14ac:dyDescent="0.3">
      <c r="J702">
        <v>679</v>
      </c>
      <c r="K702" s="10">
        <v>0.19151203083972598</v>
      </c>
      <c r="L702" s="10">
        <v>0.22959860276093066</v>
      </c>
    </row>
    <row r="703" spans="10:12" x14ac:dyDescent="0.3">
      <c r="J703">
        <v>680</v>
      </c>
      <c r="K703" s="10">
        <v>0.19933712316617375</v>
      </c>
      <c r="L703" s="10">
        <v>0.38063893153682477</v>
      </c>
    </row>
    <row r="704" spans="10:12" x14ac:dyDescent="0.3">
      <c r="J704">
        <v>681</v>
      </c>
      <c r="K704" s="10">
        <v>0.20571358675595267</v>
      </c>
      <c r="L704" s="10">
        <v>0.18172975502221833</v>
      </c>
    </row>
    <row r="705" spans="10:12" x14ac:dyDescent="0.3">
      <c r="J705">
        <v>682</v>
      </c>
      <c r="K705" s="10">
        <v>0.20912099903187048</v>
      </c>
      <c r="L705" s="10">
        <v>0.1376716234888915</v>
      </c>
    </row>
    <row r="706" spans="10:12" x14ac:dyDescent="0.3">
      <c r="J706">
        <v>683</v>
      </c>
      <c r="K706" s="10">
        <v>0.20162442364792554</v>
      </c>
      <c r="L706" s="10">
        <v>0.24966286265665105</v>
      </c>
    </row>
    <row r="707" spans="10:12" x14ac:dyDescent="0.3">
      <c r="J707">
        <v>684</v>
      </c>
      <c r="K707" s="10">
        <v>0.19444529170990285</v>
      </c>
      <c r="L707" s="10">
        <v>0.33983295634958027</v>
      </c>
    </row>
    <row r="708" spans="10:12" x14ac:dyDescent="0.3">
      <c r="J708">
        <v>685</v>
      </c>
      <c r="K708" s="10">
        <v>0.24319413644311161</v>
      </c>
      <c r="L708" s="10">
        <v>3.3921894976292583E-2</v>
      </c>
    </row>
    <row r="709" spans="10:12" x14ac:dyDescent="0.3">
      <c r="J709">
        <v>686</v>
      </c>
      <c r="K709" s="10">
        <v>0.18910801049361975</v>
      </c>
      <c r="L709" s="10">
        <v>0.33715974642916391</v>
      </c>
    </row>
    <row r="710" spans="10:12" x14ac:dyDescent="0.3">
      <c r="J710">
        <v>687</v>
      </c>
      <c r="K710" s="10">
        <v>0.2076330476720612</v>
      </c>
      <c r="L710" s="10">
        <v>0.49431458879756196</v>
      </c>
    </row>
    <row r="711" spans="10:12" x14ac:dyDescent="0.3">
      <c r="J711">
        <v>688</v>
      </c>
      <c r="K711" s="10">
        <v>0.18969261396983106</v>
      </c>
      <c r="L711" s="10">
        <v>0.26581477973427753</v>
      </c>
    </row>
    <row r="712" spans="10:12" x14ac:dyDescent="0.3">
      <c r="J712">
        <v>689</v>
      </c>
      <c r="K712" s="10">
        <v>0.23200279337893653</v>
      </c>
      <c r="L712" s="10">
        <v>0.10367759306416724</v>
      </c>
    </row>
    <row r="713" spans="10:12" x14ac:dyDescent="0.3">
      <c r="J713">
        <v>690</v>
      </c>
      <c r="K713" s="10">
        <v>0.25852636819948538</v>
      </c>
      <c r="L713" s="10">
        <v>-8.7261779655458338E-2</v>
      </c>
    </row>
    <row r="714" spans="10:12" x14ac:dyDescent="0.3">
      <c r="J714">
        <v>691</v>
      </c>
      <c r="K714" s="10">
        <v>0.20621857238588581</v>
      </c>
      <c r="L714" s="10">
        <v>0.21859566272513942</v>
      </c>
    </row>
    <row r="715" spans="10:12" x14ac:dyDescent="0.3">
      <c r="J715">
        <v>692</v>
      </c>
      <c r="K715" s="10">
        <v>0.19187541116424758</v>
      </c>
      <c r="L715" s="10">
        <v>0.38635353206497597</v>
      </c>
    </row>
    <row r="716" spans="10:12" x14ac:dyDescent="0.3">
      <c r="J716">
        <v>693</v>
      </c>
      <c r="K716" s="10">
        <v>0.18874915991989016</v>
      </c>
      <c r="L716" s="10">
        <v>0.29779077257559161</v>
      </c>
    </row>
    <row r="717" spans="10:12" x14ac:dyDescent="0.3">
      <c r="J717">
        <v>694</v>
      </c>
      <c r="K717" s="10">
        <v>0.22250711816079477</v>
      </c>
      <c r="L717" s="10">
        <v>0.54195609958716717</v>
      </c>
    </row>
    <row r="718" spans="10:12" x14ac:dyDescent="0.3">
      <c r="J718">
        <v>695</v>
      </c>
      <c r="K718" s="10">
        <v>0.20050318035389794</v>
      </c>
      <c r="L718" s="10">
        <v>0.24356842164560519</v>
      </c>
    </row>
    <row r="719" spans="10:12" x14ac:dyDescent="0.3">
      <c r="J719">
        <v>696</v>
      </c>
      <c r="K719" s="10">
        <v>0.19156960539155299</v>
      </c>
      <c r="L719" s="10">
        <v>0.24301009214873606</v>
      </c>
    </row>
    <row r="720" spans="10:12" x14ac:dyDescent="0.3">
      <c r="J720">
        <v>697</v>
      </c>
      <c r="K720" s="10">
        <v>0.1910964183070579</v>
      </c>
      <c r="L720" s="10">
        <v>0.23632191907578715</v>
      </c>
    </row>
    <row r="721" spans="10:12" x14ac:dyDescent="0.3">
      <c r="J721">
        <v>698</v>
      </c>
      <c r="K721" s="10">
        <v>0.25933300296498607</v>
      </c>
      <c r="L721" s="10">
        <v>0.76439309424344226</v>
      </c>
    </row>
    <row r="722" spans="10:12" x14ac:dyDescent="0.3">
      <c r="J722">
        <v>699</v>
      </c>
      <c r="K722" s="10">
        <v>0.24220004516807167</v>
      </c>
      <c r="L722" s="10">
        <v>0.20123646884954186</v>
      </c>
    </row>
    <row r="723" spans="10:12" x14ac:dyDescent="0.3">
      <c r="J723">
        <v>700</v>
      </c>
      <c r="K723" s="10">
        <v>0.1917917757208997</v>
      </c>
      <c r="L723" s="10">
        <v>0.3922549604233404</v>
      </c>
    </row>
    <row r="724" spans="10:12" x14ac:dyDescent="0.3">
      <c r="J724">
        <v>701</v>
      </c>
      <c r="K724" s="10">
        <v>0.19717784919505449</v>
      </c>
      <c r="L724" s="10">
        <v>0.45429662370649376</v>
      </c>
    </row>
    <row r="725" spans="10:12" x14ac:dyDescent="0.3">
      <c r="J725">
        <v>702</v>
      </c>
      <c r="K725" s="10">
        <v>0.19882579875057893</v>
      </c>
      <c r="L725" s="10">
        <v>0.15829038842147602</v>
      </c>
    </row>
    <row r="726" spans="10:12" x14ac:dyDescent="0.3">
      <c r="J726">
        <v>703</v>
      </c>
      <c r="K726" s="10">
        <v>0.21527237073173688</v>
      </c>
      <c r="L726" s="10">
        <v>5.1627225834990277E-2</v>
      </c>
    </row>
    <row r="727" spans="10:12" x14ac:dyDescent="0.3">
      <c r="J727">
        <v>704</v>
      </c>
      <c r="K727" s="10">
        <v>0.2147644526275064</v>
      </c>
      <c r="L727" s="10">
        <v>0.11508007946784191</v>
      </c>
    </row>
    <row r="728" spans="10:12" x14ac:dyDescent="0.3">
      <c r="J728">
        <v>705</v>
      </c>
      <c r="K728" s="10">
        <v>0.22787443133983717</v>
      </c>
      <c r="L728" s="10">
        <v>3.8196344557118449E-2</v>
      </c>
    </row>
    <row r="729" spans="10:12" x14ac:dyDescent="0.3">
      <c r="J729">
        <v>706</v>
      </c>
      <c r="K729" s="10">
        <v>0.20377501959071756</v>
      </c>
      <c r="L729" s="10">
        <v>0.16410532478951997</v>
      </c>
    </row>
    <row r="730" spans="10:12" x14ac:dyDescent="0.3">
      <c r="J730">
        <v>707</v>
      </c>
      <c r="K730" s="10">
        <v>0.22203345393892246</v>
      </c>
      <c r="L730" s="10">
        <v>0.43216330912120549</v>
      </c>
    </row>
    <row r="731" spans="10:12" x14ac:dyDescent="0.3">
      <c r="J731">
        <v>708</v>
      </c>
      <c r="K731" s="10">
        <v>0.19805156726422257</v>
      </c>
      <c r="L731" s="10">
        <v>0.38618787624229167</v>
      </c>
    </row>
    <row r="732" spans="10:12" x14ac:dyDescent="0.3">
      <c r="J732">
        <v>709</v>
      </c>
      <c r="K732" s="10">
        <v>0.20598390231092772</v>
      </c>
      <c r="L732" s="10">
        <v>0.4739622613243572</v>
      </c>
    </row>
    <row r="733" spans="10:12" x14ac:dyDescent="0.3">
      <c r="J733">
        <v>710</v>
      </c>
      <c r="K733" s="10">
        <v>0.21664265682195988</v>
      </c>
      <c r="L733" s="10">
        <v>0.58078496833233251</v>
      </c>
    </row>
    <row r="734" spans="10:12" x14ac:dyDescent="0.3">
      <c r="J734">
        <v>711</v>
      </c>
      <c r="K734" s="10">
        <v>0.22252021242478612</v>
      </c>
      <c r="L734" s="10">
        <v>0.40860576444926205</v>
      </c>
    </row>
    <row r="735" spans="10:12" x14ac:dyDescent="0.3">
      <c r="J735">
        <v>712</v>
      </c>
      <c r="K735" s="10">
        <v>0.21725008807632795</v>
      </c>
      <c r="L735" s="10">
        <v>4.4418390093644095E-2</v>
      </c>
    </row>
    <row r="736" spans="10:12" x14ac:dyDescent="0.3">
      <c r="J736">
        <v>713</v>
      </c>
      <c r="K736" s="10">
        <v>0.1967720053970603</v>
      </c>
      <c r="L736" s="10">
        <v>0.31256949850472365</v>
      </c>
    </row>
    <row r="737" spans="10:12" x14ac:dyDescent="0.3">
      <c r="J737">
        <v>714</v>
      </c>
      <c r="K737" s="10">
        <v>0.1890048717568211</v>
      </c>
      <c r="L737" s="10">
        <v>0.30002445214945361</v>
      </c>
    </row>
    <row r="738" spans="10:12" x14ac:dyDescent="0.3">
      <c r="J738">
        <v>715</v>
      </c>
      <c r="K738" s="10">
        <v>0.24248069062825084</v>
      </c>
      <c r="L738" s="10">
        <v>-1.0244925012169663E-2</v>
      </c>
    </row>
    <row r="739" spans="10:12" x14ac:dyDescent="0.3">
      <c r="J739">
        <v>716</v>
      </c>
      <c r="K739" s="10">
        <v>0.24568417173063606</v>
      </c>
      <c r="L739" s="10">
        <v>3.856452777003179E-2</v>
      </c>
    </row>
    <row r="740" spans="10:12" x14ac:dyDescent="0.3">
      <c r="J740">
        <v>717</v>
      </c>
      <c r="K740" s="10">
        <v>0.19063403351652961</v>
      </c>
      <c r="L740" s="10">
        <v>0.27550936165975576</v>
      </c>
    </row>
    <row r="741" spans="10:12" x14ac:dyDescent="0.3">
      <c r="J741">
        <v>718</v>
      </c>
      <c r="K741" s="10">
        <v>0.20364942642541434</v>
      </c>
      <c r="L741" s="10">
        <v>0.34867797938192396</v>
      </c>
    </row>
    <row r="742" spans="10:12" x14ac:dyDescent="0.3">
      <c r="J742">
        <v>719</v>
      </c>
      <c r="K742" s="10">
        <v>0.19628976472240015</v>
      </c>
      <c r="L742" s="10">
        <v>0.17129059662110779</v>
      </c>
    </row>
    <row r="743" spans="10:12" x14ac:dyDescent="0.3">
      <c r="J743">
        <v>720</v>
      </c>
      <c r="K743" s="10">
        <v>0.19269605865019787</v>
      </c>
      <c r="L743" s="10">
        <v>0.22426682388430191</v>
      </c>
    </row>
    <row r="744" spans="10:12" x14ac:dyDescent="0.3">
      <c r="J744">
        <v>721</v>
      </c>
      <c r="K744" s="10">
        <v>0.19830253614297613</v>
      </c>
      <c r="L744" s="10">
        <v>0.40454122245805568</v>
      </c>
    </row>
    <row r="745" spans="10:12" x14ac:dyDescent="0.3">
      <c r="J745">
        <v>722</v>
      </c>
      <c r="K745" s="10">
        <v>0.18926682506242884</v>
      </c>
      <c r="L745" s="10">
        <v>0.28441984904191864</v>
      </c>
    </row>
    <row r="746" spans="10:12" x14ac:dyDescent="0.3">
      <c r="J746">
        <v>723</v>
      </c>
      <c r="K746" s="10">
        <v>0.2085060235716405</v>
      </c>
      <c r="L746" s="10">
        <v>0.29347073055272799</v>
      </c>
    </row>
    <row r="747" spans="10:12" x14ac:dyDescent="0.3">
      <c r="J747">
        <v>724</v>
      </c>
      <c r="K747" s="10">
        <v>0.23274891396328495</v>
      </c>
      <c r="L747" s="10">
        <v>-3.0608822226612133E-2</v>
      </c>
    </row>
    <row r="748" spans="10:12" x14ac:dyDescent="0.3">
      <c r="J748">
        <v>725</v>
      </c>
      <c r="K748" s="10">
        <v>0.23440699461159184</v>
      </c>
      <c r="L748" s="10">
        <v>-3.5542856303697773E-2</v>
      </c>
    </row>
    <row r="749" spans="10:12" x14ac:dyDescent="0.3">
      <c r="J749">
        <v>726</v>
      </c>
      <c r="K749" s="10">
        <v>0.24451202716613504</v>
      </c>
      <c r="L749" s="10">
        <v>0.11543415906945304</v>
      </c>
    </row>
    <row r="750" spans="10:12" x14ac:dyDescent="0.3">
      <c r="J750">
        <v>727</v>
      </c>
      <c r="K750" s="10">
        <v>0.19251751380294904</v>
      </c>
      <c r="L750" s="10">
        <v>0.31294293814786001</v>
      </c>
    </row>
    <row r="751" spans="10:12" x14ac:dyDescent="0.3">
      <c r="J751">
        <v>728</v>
      </c>
      <c r="K751" s="10">
        <v>0.22569296984121553</v>
      </c>
      <c r="L751" s="10">
        <v>0.21311283461219308</v>
      </c>
    </row>
    <row r="752" spans="10:12" x14ac:dyDescent="0.3">
      <c r="J752">
        <v>729</v>
      </c>
      <c r="K752" s="10">
        <v>0.23456577055128372</v>
      </c>
      <c r="L752" s="10">
        <v>-2.1314948491431042E-2</v>
      </c>
    </row>
    <row r="753" spans="10:12" x14ac:dyDescent="0.3">
      <c r="J753">
        <v>730</v>
      </c>
      <c r="K753" s="10">
        <v>0.20459621436986014</v>
      </c>
      <c r="L753" s="10">
        <v>0.10708073453105041</v>
      </c>
    </row>
    <row r="754" spans="10:12" x14ac:dyDescent="0.3">
      <c r="J754">
        <v>731</v>
      </c>
      <c r="K754" s="10">
        <v>0.2263992187440195</v>
      </c>
      <c r="L754" s="10">
        <v>2.1768244392849669E-2</v>
      </c>
    </row>
    <row r="755" spans="10:12" x14ac:dyDescent="0.3">
      <c r="J755">
        <v>732</v>
      </c>
      <c r="K755" s="10">
        <v>0.21642854239073978</v>
      </c>
      <c r="L755" s="10">
        <v>0.41361161378070432</v>
      </c>
    </row>
    <row r="756" spans="10:12" x14ac:dyDescent="0.3">
      <c r="J756">
        <v>733</v>
      </c>
      <c r="K756" s="10">
        <v>0.34151477118272427</v>
      </c>
      <c r="L756" s="10">
        <v>-4.3839916114541758E-2</v>
      </c>
    </row>
    <row r="757" spans="10:12" x14ac:dyDescent="0.3">
      <c r="J757">
        <v>734</v>
      </c>
      <c r="K757" s="10">
        <v>0.23001538750307521</v>
      </c>
      <c r="L757" s="10">
        <v>0.16420951369641854</v>
      </c>
    </row>
    <row r="758" spans="10:12" x14ac:dyDescent="0.3">
      <c r="J758">
        <v>735</v>
      </c>
      <c r="K758" s="10">
        <v>0.21937859003078977</v>
      </c>
      <c r="L758" s="10">
        <v>5.1998028426695334E-2</v>
      </c>
    </row>
    <row r="759" spans="10:12" x14ac:dyDescent="0.3">
      <c r="J759">
        <v>736</v>
      </c>
      <c r="K759" s="10">
        <v>0.19311424838616514</v>
      </c>
      <c r="L759" s="10">
        <v>0.20226728009756703</v>
      </c>
    </row>
    <row r="760" spans="10:12" x14ac:dyDescent="0.3">
      <c r="J760">
        <v>737</v>
      </c>
      <c r="K760" s="10">
        <v>0.19738595383187177</v>
      </c>
      <c r="L760" s="10">
        <v>0.4062882646875684</v>
      </c>
    </row>
    <row r="761" spans="10:12" x14ac:dyDescent="0.3">
      <c r="J761">
        <v>738</v>
      </c>
      <c r="K761" s="10">
        <v>0.20524437495597952</v>
      </c>
      <c r="L761" s="10">
        <v>0.49220557280384786</v>
      </c>
    </row>
    <row r="762" spans="10:12" x14ac:dyDescent="0.3">
      <c r="J762">
        <v>739</v>
      </c>
      <c r="K762" s="10">
        <v>0.20936899204251486</v>
      </c>
      <c r="L762" s="10">
        <v>0.25224676156491388</v>
      </c>
    </row>
    <row r="763" spans="10:12" x14ac:dyDescent="0.3">
      <c r="J763">
        <v>740</v>
      </c>
      <c r="K763" s="10">
        <v>0.2050043475888203</v>
      </c>
      <c r="L763" s="10">
        <v>0.10254697245869362</v>
      </c>
    </row>
    <row r="764" spans="10:12" x14ac:dyDescent="0.3">
      <c r="J764">
        <v>741</v>
      </c>
      <c r="K764" s="10">
        <v>0.20557295536829687</v>
      </c>
      <c r="L764" s="10">
        <v>0.14104409907273058</v>
      </c>
    </row>
    <row r="765" spans="10:12" x14ac:dyDescent="0.3">
      <c r="J765">
        <v>742</v>
      </c>
      <c r="K765" s="10">
        <v>0.20412221253995597</v>
      </c>
      <c r="L765" s="10">
        <v>0.145495877410251</v>
      </c>
    </row>
    <row r="766" spans="10:12" x14ac:dyDescent="0.3">
      <c r="J766">
        <v>743</v>
      </c>
      <c r="K766" s="10">
        <v>0.23060427869662214</v>
      </c>
      <c r="L766" s="10">
        <v>0.64245432443468919</v>
      </c>
    </row>
    <row r="767" spans="10:12" x14ac:dyDescent="0.3">
      <c r="J767">
        <v>744</v>
      </c>
      <c r="K767" s="10">
        <v>0.23256052533996813</v>
      </c>
      <c r="L767" s="10">
        <v>0.25233444766122098</v>
      </c>
    </row>
    <row r="768" spans="10:12" x14ac:dyDescent="0.3">
      <c r="J768">
        <v>745</v>
      </c>
      <c r="K768" s="10">
        <v>0.20249687007325956</v>
      </c>
      <c r="L768" s="10">
        <v>0.31822804572336577</v>
      </c>
    </row>
    <row r="769" spans="10:12" x14ac:dyDescent="0.3">
      <c r="J769">
        <v>746</v>
      </c>
      <c r="K769" s="10">
        <v>0.18919049621124812</v>
      </c>
      <c r="L769" s="10">
        <v>0.29962768041691784</v>
      </c>
    </row>
    <row r="770" spans="10:12" x14ac:dyDescent="0.3">
      <c r="J770">
        <v>747</v>
      </c>
      <c r="K770" s="10">
        <v>0.229722031771249</v>
      </c>
      <c r="L770" s="10">
        <v>3.7478817117295081E-2</v>
      </c>
    </row>
    <row r="771" spans="10:12" x14ac:dyDescent="0.3">
      <c r="J771">
        <v>748</v>
      </c>
      <c r="K771" s="10">
        <v>0.19163211384807002</v>
      </c>
      <c r="L771" s="10">
        <v>0.26249386056786189</v>
      </c>
    </row>
    <row r="772" spans="10:12" x14ac:dyDescent="0.3">
      <c r="J772">
        <v>749</v>
      </c>
      <c r="K772" s="10">
        <v>0.22281270526290442</v>
      </c>
      <c r="L772" s="10">
        <v>0.5993763885874156</v>
      </c>
    </row>
    <row r="773" spans="10:12" x14ac:dyDescent="0.3">
      <c r="J773">
        <v>750</v>
      </c>
      <c r="K773" s="10">
        <v>0.19499933280458639</v>
      </c>
      <c r="L773" s="10">
        <v>0.27922373363683617</v>
      </c>
    </row>
    <row r="774" spans="10:12" x14ac:dyDescent="0.3">
      <c r="J774">
        <v>751</v>
      </c>
      <c r="K774" s="10">
        <v>0.1927502279237677</v>
      </c>
      <c r="L774" s="10">
        <v>0.32784698352443747</v>
      </c>
    </row>
    <row r="775" spans="10:12" x14ac:dyDescent="0.3">
      <c r="J775">
        <v>752</v>
      </c>
      <c r="K775" s="10">
        <v>0.19470570125051617</v>
      </c>
      <c r="L775" s="10">
        <v>0.28142947585902978</v>
      </c>
    </row>
    <row r="776" spans="10:12" x14ac:dyDescent="0.3">
      <c r="J776">
        <v>753</v>
      </c>
      <c r="K776" s="10">
        <v>0.20621257271744137</v>
      </c>
      <c r="L776" s="10">
        <v>0.26032962818352096</v>
      </c>
    </row>
    <row r="777" spans="10:12" x14ac:dyDescent="0.3">
      <c r="J777">
        <v>754</v>
      </c>
      <c r="K777" s="10">
        <v>0.2290044939839179</v>
      </c>
      <c r="L777" s="10">
        <v>0.27200056647065751</v>
      </c>
    </row>
    <row r="778" spans="10:12" x14ac:dyDescent="0.3">
      <c r="J778">
        <v>755</v>
      </c>
      <c r="K778" s="10">
        <v>0.25906786396196424</v>
      </c>
      <c r="L778" s="10">
        <v>-8.9026597933105911E-2</v>
      </c>
    </row>
    <row r="779" spans="10:12" x14ac:dyDescent="0.3">
      <c r="J779">
        <v>756</v>
      </c>
      <c r="K779" s="10">
        <v>0.20161193879056391</v>
      </c>
      <c r="L779" s="10">
        <v>0.33346575094296738</v>
      </c>
    </row>
    <row r="780" spans="10:12" x14ac:dyDescent="0.3">
      <c r="J780">
        <v>757</v>
      </c>
      <c r="K780" s="10">
        <v>0.20191001771334646</v>
      </c>
      <c r="L780" s="10">
        <v>0.1244631026605615</v>
      </c>
    </row>
    <row r="781" spans="10:12" x14ac:dyDescent="0.3">
      <c r="J781">
        <v>758</v>
      </c>
      <c r="K781" s="10">
        <v>0.18976535479436935</v>
      </c>
      <c r="L781" s="10">
        <v>0.35222597602391703</v>
      </c>
    </row>
    <row r="782" spans="10:12" x14ac:dyDescent="0.3">
      <c r="J782">
        <v>759</v>
      </c>
      <c r="K782" s="10">
        <v>0.19562281337571769</v>
      </c>
      <c r="L782" s="10">
        <v>0.23486315717056899</v>
      </c>
    </row>
    <row r="783" spans="10:12" x14ac:dyDescent="0.3">
      <c r="J783">
        <v>760</v>
      </c>
      <c r="K783" s="10">
        <v>0.1996105062921624</v>
      </c>
      <c r="L783" s="10">
        <v>0.37498930813478987</v>
      </c>
    </row>
    <row r="784" spans="10:12" x14ac:dyDescent="0.3">
      <c r="J784">
        <v>761</v>
      </c>
      <c r="K784" s="10">
        <v>0.24779298818249826</v>
      </c>
      <c r="L784" s="10">
        <v>-9.2937744193423599E-2</v>
      </c>
    </row>
    <row r="785" spans="10:12" x14ac:dyDescent="0.3">
      <c r="J785">
        <v>762</v>
      </c>
      <c r="K785" s="10">
        <v>0.19552137986370971</v>
      </c>
      <c r="L785" s="10">
        <v>0.17845019980665355</v>
      </c>
    </row>
    <row r="786" spans="10:12" x14ac:dyDescent="0.3">
      <c r="J786">
        <v>763</v>
      </c>
      <c r="K786" s="10">
        <v>0.21478863095503969</v>
      </c>
      <c r="L786" s="10">
        <v>0.25156644723477983</v>
      </c>
    </row>
    <row r="787" spans="10:12" x14ac:dyDescent="0.3">
      <c r="J787">
        <v>764</v>
      </c>
      <c r="K787" s="10">
        <v>0.21803029066154916</v>
      </c>
      <c r="L787" s="10">
        <v>0.30825560139953911</v>
      </c>
    </row>
    <row r="788" spans="10:12" x14ac:dyDescent="0.3">
      <c r="J788">
        <v>765</v>
      </c>
      <c r="K788" s="10">
        <v>0.21858578335659662</v>
      </c>
      <c r="L788" s="10">
        <v>3.346558526291165E-2</v>
      </c>
    </row>
    <row r="789" spans="10:12" x14ac:dyDescent="0.3">
      <c r="J789">
        <v>766</v>
      </c>
      <c r="K789" s="10">
        <v>0.21271196127853434</v>
      </c>
      <c r="L789" s="10">
        <v>0.47284752898989496</v>
      </c>
    </row>
    <row r="790" spans="10:12" x14ac:dyDescent="0.3">
      <c r="J790">
        <v>767</v>
      </c>
      <c r="K790" s="10">
        <v>0.19019017951555009</v>
      </c>
      <c r="L790" s="10">
        <v>0.33684090390943078</v>
      </c>
    </row>
    <row r="791" spans="10:12" x14ac:dyDescent="0.3">
      <c r="J791">
        <v>768</v>
      </c>
      <c r="K791" s="10">
        <v>0.19905038767548308</v>
      </c>
      <c r="L791" s="10">
        <v>0.16655785388488459</v>
      </c>
    </row>
    <row r="792" spans="10:12" x14ac:dyDescent="0.3">
      <c r="J792">
        <v>769</v>
      </c>
      <c r="K792" s="10">
        <v>0.20785349081284085</v>
      </c>
      <c r="L792" s="10">
        <v>0.16854496098298255</v>
      </c>
    </row>
    <row r="793" spans="10:12" x14ac:dyDescent="0.3">
      <c r="J793">
        <v>770</v>
      </c>
      <c r="K793" s="10">
        <v>0.19357412162093157</v>
      </c>
      <c r="L793" s="10">
        <v>0.22008180194922233</v>
      </c>
    </row>
    <row r="794" spans="10:12" x14ac:dyDescent="0.3">
      <c r="J794">
        <v>771</v>
      </c>
      <c r="K794" s="10">
        <v>0.22807252632264924</v>
      </c>
      <c r="L794" s="10">
        <v>0.63550565066156428</v>
      </c>
    </row>
    <row r="795" spans="10:12" x14ac:dyDescent="0.3">
      <c r="J795">
        <v>772</v>
      </c>
      <c r="K795" s="10">
        <v>0.21738986136937971</v>
      </c>
      <c r="L795" s="10">
        <v>7.5517080964236608E-2</v>
      </c>
    </row>
    <row r="796" spans="10:12" x14ac:dyDescent="0.3">
      <c r="J796">
        <v>773</v>
      </c>
      <c r="K796" s="10">
        <v>0.19368022268599044</v>
      </c>
      <c r="L796" s="10">
        <v>0.24721857478363252</v>
      </c>
    </row>
    <row r="797" spans="10:12" x14ac:dyDescent="0.3">
      <c r="J797">
        <v>774</v>
      </c>
      <c r="K797" s="10">
        <v>0.22955308761691015</v>
      </c>
      <c r="L797" s="10">
        <v>0.40385792492199013</v>
      </c>
    </row>
    <row r="798" spans="10:12" x14ac:dyDescent="0.3">
      <c r="J798">
        <v>775</v>
      </c>
      <c r="K798" s="10">
        <v>0.23299806963961395</v>
      </c>
      <c r="L798" s="10">
        <v>0.65413933574715899</v>
      </c>
    </row>
    <row r="799" spans="10:12" x14ac:dyDescent="0.3">
      <c r="J799">
        <v>776</v>
      </c>
      <c r="K799" s="10">
        <v>0.20061640475115222</v>
      </c>
      <c r="L799" s="10">
        <v>0.29642340214771112</v>
      </c>
    </row>
    <row r="800" spans="10:12" x14ac:dyDescent="0.3">
      <c r="J800">
        <v>777</v>
      </c>
      <c r="K800" s="10">
        <v>0.19384872155777569</v>
      </c>
      <c r="L800" s="10">
        <v>0.32779678066365608</v>
      </c>
    </row>
    <row r="801" spans="10:12" x14ac:dyDescent="0.3">
      <c r="J801">
        <v>778</v>
      </c>
      <c r="K801" s="10">
        <v>0.19849700634885317</v>
      </c>
      <c r="L801" s="10">
        <v>0.38968330547016383</v>
      </c>
    </row>
    <row r="802" spans="10:12" x14ac:dyDescent="0.3">
      <c r="J802">
        <v>779</v>
      </c>
      <c r="K802" s="10">
        <v>0.20365087430891707</v>
      </c>
      <c r="L802" s="10">
        <v>0.13812324613757559</v>
      </c>
    </row>
    <row r="803" spans="10:12" x14ac:dyDescent="0.3">
      <c r="J803">
        <v>780</v>
      </c>
      <c r="K803" s="10">
        <v>0.19720004093249088</v>
      </c>
      <c r="L803" s="10">
        <v>0.40822091712934083</v>
      </c>
    </row>
    <row r="804" spans="10:12" x14ac:dyDescent="0.3">
      <c r="J804">
        <v>781</v>
      </c>
      <c r="K804" s="10">
        <v>0.21466119520394267</v>
      </c>
      <c r="L804" s="10">
        <v>0.45480291557457125</v>
      </c>
    </row>
    <row r="805" spans="10:12" x14ac:dyDescent="0.3">
      <c r="J805">
        <v>782</v>
      </c>
      <c r="K805" s="10">
        <v>0.19968517811478195</v>
      </c>
      <c r="L805" s="10">
        <v>0.27643629234816947</v>
      </c>
    </row>
    <row r="806" spans="10:12" x14ac:dyDescent="0.3">
      <c r="J806">
        <v>783</v>
      </c>
      <c r="K806" s="10">
        <v>0.20337391812896416</v>
      </c>
      <c r="L806" s="10">
        <v>0.44796124194320935</v>
      </c>
    </row>
    <row r="807" spans="10:12" x14ac:dyDescent="0.3">
      <c r="J807">
        <v>784</v>
      </c>
      <c r="K807" s="10">
        <v>0.22669435298858265</v>
      </c>
      <c r="L807" s="10">
        <v>0.58419811640317698</v>
      </c>
    </row>
    <row r="808" spans="10:12" x14ac:dyDescent="0.3">
      <c r="J808">
        <v>785</v>
      </c>
      <c r="K808" s="10">
        <v>0.19517121717796365</v>
      </c>
      <c r="L808" s="10">
        <v>0.21769771593237178</v>
      </c>
    </row>
    <row r="809" spans="10:12" x14ac:dyDescent="0.3">
      <c r="J809">
        <v>786</v>
      </c>
      <c r="K809" s="10">
        <v>0.18871390763585943</v>
      </c>
      <c r="L809" s="10">
        <v>0.31484487556436985</v>
      </c>
    </row>
    <row r="810" spans="10:12" x14ac:dyDescent="0.3">
      <c r="J810">
        <v>787</v>
      </c>
      <c r="K810" s="10">
        <v>0.21519523197957183</v>
      </c>
      <c r="L810" s="10">
        <v>0.55889316473275419</v>
      </c>
    </row>
    <row r="811" spans="10:12" x14ac:dyDescent="0.3">
      <c r="J811">
        <v>788</v>
      </c>
      <c r="K811" s="10">
        <v>0.19602567393915404</v>
      </c>
      <c r="L811" s="10">
        <v>0.1719480457230434</v>
      </c>
    </row>
    <row r="812" spans="10:12" x14ac:dyDescent="0.3">
      <c r="J812">
        <v>789</v>
      </c>
      <c r="K812" s="10">
        <v>0.19460246342212881</v>
      </c>
      <c r="L812" s="10">
        <v>0.32253161360481697</v>
      </c>
    </row>
    <row r="813" spans="10:12" x14ac:dyDescent="0.3">
      <c r="J813">
        <v>790</v>
      </c>
      <c r="K813" s="10">
        <v>0.19660118614182057</v>
      </c>
      <c r="L813" s="10">
        <v>0.43916837871276188</v>
      </c>
    </row>
    <row r="814" spans="10:12" x14ac:dyDescent="0.3">
      <c r="J814">
        <v>791</v>
      </c>
      <c r="K814" s="10">
        <v>0.25119655656788759</v>
      </c>
      <c r="L814" s="10">
        <v>5.735266264913183E-2</v>
      </c>
    </row>
    <row r="815" spans="10:12" x14ac:dyDescent="0.3">
      <c r="J815">
        <v>792</v>
      </c>
      <c r="K815" s="10">
        <v>0.22103875714168109</v>
      </c>
      <c r="L815" s="10">
        <v>0.14426490206041653</v>
      </c>
    </row>
    <row r="816" spans="10:12" x14ac:dyDescent="0.3">
      <c r="J816">
        <v>793</v>
      </c>
      <c r="K816" s="10">
        <v>0.21044884205812778</v>
      </c>
      <c r="L816" s="10">
        <v>0.38043174873082763</v>
      </c>
    </row>
    <row r="817" spans="10:12" x14ac:dyDescent="0.3">
      <c r="J817">
        <v>794</v>
      </c>
      <c r="K817" s="10">
        <v>0.22430798667530838</v>
      </c>
      <c r="L817" s="10">
        <v>5.022039528790094E-2</v>
      </c>
    </row>
    <row r="818" spans="10:12" x14ac:dyDescent="0.3">
      <c r="J818">
        <v>795</v>
      </c>
      <c r="K818" s="10">
        <v>0.23293952185858574</v>
      </c>
      <c r="L818" s="10">
        <v>1.8913148220694183E-2</v>
      </c>
    </row>
    <row r="819" spans="10:12" x14ac:dyDescent="0.3">
      <c r="J819">
        <v>796</v>
      </c>
      <c r="K819" s="10">
        <v>0.21616413972555995</v>
      </c>
      <c r="L819" s="10">
        <v>7.4785773805935957E-2</v>
      </c>
    </row>
    <row r="820" spans="10:12" x14ac:dyDescent="0.3">
      <c r="J820">
        <v>797</v>
      </c>
      <c r="K820" s="10">
        <v>0.20435021613265908</v>
      </c>
      <c r="L820" s="10">
        <v>0.16025873164798959</v>
      </c>
    </row>
    <row r="821" spans="10:12" x14ac:dyDescent="0.3">
      <c r="J821">
        <v>798</v>
      </c>
      <c r="K821" s="10">
        <v>0.19473824129534789</v>
      </c>
      <c r="L821" s="10">
        <v>0.42226019080250066</v>
      </c>
    </row>
    <row r="822" spans="10:12" x14ac:dyDescent="0.3">
      <c r="J822">
        <v>799</v>
      </c>
      <c r="K822" s="10">
        <v>0.22915909405891019</v>
      </c>
      <c r="L822" s="10">
        <v>0.36689346294847724</v>
      </c>
    </row>
    <row r="823" spans="10:12" x14ac:dyDescent="0.3">
      <c r="J823">
        <v>800</v>
      </c>
      <c r="K823" s="10">
        <v>0.21051669926135524</v>
      </c>
      <c r="L823" s="10">
        <v>0.30147364243945957</v>
      </c>
    </row>
    <row r="824" spans="10:12" x14ac:dyDescent="0.3">
      <c r="J824">
        <v>801</v>
      </c>
      <c r="K824" s="10">
        <v>0.22599624346402944</v>
      </c>
      <c r="L824" s="10">
        <v>3.7650873802114036E-2</v>
      </c>
    </row>
    <row r="825" spans="10:12" x14ac:dyDescent="0.3">
      <c r="J825">
        <v>802</v>
      </c>
      <c r="K825" s="10">
        <v>0.24565323659491947</v>
      </c>
      <c r="L825" s="10">
        <v>-6.9460415354193408E-3</v>
      </c>
    </row>
    <row r="826" spans="10:12" x14ac:dyDescent="0.3">
      <c r="J826">
        <v>803</v>
      </c>
      <c r="K826" s="10">
        <v>0.22493622791691492</v>
      </c>
      <c r="L826" s="10">
        <v>8.5188897853507584E-3</v>
      </c>
    </row>
    <row r="827" spans="10:12" x14ac:dyDescent="0.3">
      <c r="J827">
        <v>804</v>
      </c>
      <c r="K827" s="10">
        <v>0.18911499362295364</v>
      </c>
      <c r="L827" s="10">
        <v>0.29513929297503694</v>
      </c>
    </row>
    <row r="828" spans="10:12" x14ac:dyDescent="0.3">
      <c r="J828">
        <v>805</v>
      </c>
      <c r="K828" s="10">
        <v>0.19637549382726108</v>
      </c>
      <c r="L828" s="10">
        <v>0.35019103265568696</v>
      </c>
    </row>
    <row r="829" spans="10:12" x14ac:dyDescent="0.3">
      <c r="J829">
        <v>806</v>
      </c>
      <c r="K829" s="10">
        <v>0.19351707951931674</v>
      </c>
      <c r="L829" s="10">
        <v>0.23558952215739071</v>
      </c>
    </row>
    <row r="830" spans="10:12" x14ac:dyDescent="0.3">
      <c r="J830">
        <v>807</v>
      </c>
      <c r="K830" s="10">
        <v>0.20283470700823691</v>
      </c>
      <c r="L830" s="10">
        <v>0.25823541759242402</v>
      </c>
    </row>
    <row r="831" spans="10:12" x14ac:dyDescent="0.3">
      <c r="J831">
        <v>808</v>
      </c>
      <c r="K831" s="10">
        <v>0.2153306835966429</v>
      </c>
      <c r="L831" s="10">
        <v>0.1189968190388177</v>
      </c>
    </row>
    <row r="832" spans="10:12" x14ac:dyDescent="0.3">
      <c r="J832">
        <v>809</v>
      </c>
      <c r="K832" s="10">
        <v>0.19976174824635534</v>
      </c>
      <c r="L832" s="10">
        <v>0.23581966510076768</v>
      </c>
    </row>
    <row r="833" spans="10:12" x14ac:dyDescent="0.3">
      <c r="J833">
        <v>810</v>
      </c>
      <c r="K833" s="10">
        <v>0.23338374032295486</v>
      </c>
      <c r="L833" s="10">
        <v>0.19502318860612636</v>
      </c>
    </row>
    <row r="834" spans="10:12" x14ac:dyDescent="0.3">
      <c r="J834">
        <v>811</v>
      </c>
      <c r="K834" s="10">
        <v>0.28365614272573131</v>
      </c>
      <c r="L834" s="10">
        <v>-7.2509836589362137E-2</v>
      </c>
    </row>
    <row r="835" spans="10:12" x14ac:dyDescent="0.3">
      <c r="J835">
        <v>812</v>
      </c>
      <c r="K835" s="10">
        <v>0.19656104607853081</v>
      </c>
      <c r="L835" s="10">
        <v>0.42844667669658304</v>
      </c>
    </row>
    <row r="836" spans="10:12" x14ac:dyDescent="0.3">
      <c r="J836">
        <v>813</v>
      </c>
      <c r="K836" s="10">
        <v>0.21130592196817213</v>
      </c>
      <c r="L836" s="10">
        <v>0.31224873064159742</v>
      </c>
    </row>
    <row r="837" spans="10:12" x14ac:dyDescent="0.3">
      <c r="J837">
        <v>814</v>
      </c>
      <c r="K837" s="10">
        <v>0.23096913529695787</v>
      </c>
      <c r="L837" s="10">
        <v>0.26034021074205277</v>
      </c>
    </row>
    <row r="838" spans="10:12" x14ac:dyDescent="0.3">
      <c r="J838">
        <v>815</v>
      </c>
      <c r="K838" s="10">
        <v>0.19360297767159368</v>
      </c>
      <c r="L838" s="10">
        <v>0.40737187270804015</v>
      </c>
    </row>
    <row r="839" spans="10:12" x14ac:dyDescent="0.3">
      <c r="J839">
        <v>816</v>
      </c>
      <c r="K839" s="10">
        <v>0.19835403774666618</v>
      </c>
      <c r="L839" s="10">
        <v>0.29114198709439437</v>
      </c>
    </row>
    <row r="840" spans="10:12" x14ac:dyDescent="0.3">
      <c r="J840">
        <v>817</v>
      </c>
      <c r="K840" s="10">
        <v>0.19959474959220089</v>
      </c>
      <c r="L840" s="10">
        <v>0.22499975302171571</v>
      </c>
    </row>
    <row r="841" spans="10:12" x14ac:dyDescent="0.3">
      <c r="J841">
        <v>818</v>
      </c>
      <c r="K841" s="10">
        <v>0.21925504178057581</v>
      </c>
      <c r="L841" s="10">
        <v>4.2703078355103959E-2</v>
      </c>
    </row>
    <row r="842" spans="10:12" x14ac:dyDescent="0.3">
      <c r="J842">
        <v>819</v>
      </c>
      <c r="K842" s="10">
        <v>0.2037899955267562</v>
      </c>
      <c r="L842" s="10">
        <v>0.23102594385398934</v>
      </c>
    </row>
    <row r="843" spans="10:12" x14ac:dyDescent="0.3">
      <c r="J843">
        <v>820</v>
      </c>
      <c r="K843" s="10">
        <v>0.26009562586158047</v>
      </c>
      <c r="L843" s="10">
        <v>0.14416059779430745</v>
      </c>
    </row>
    <row r="844" spans="10:12" x14ac:dyDescent="0.3">
      <c r="J844">
        <v>821</v>
      </c>
      <c r="K844" s="10">
        <v>0.25635128666912665</v>
      </c>
      <c r="L844" s="10">
        <v>-7.8798865165860696E-2</v>
      </c>
    </row>
    <row r="845" spans="10:12" x14ac:dyDescent="0.3">
      <c r="J845">
        <v>822</v>
      </c>
      <c r="K845" s="10">
        <v>0.19910100867356578</v>
      </c>
      <c r="L845" s="10">
        <v>0.2117819376562525</v>
      </c>
    </row>
    <row r="846" spans="10:12" x14ac:dyDescent="0.3">
      <c r="J846">
        <v>823</v>
      </c>
      <c r="K846" s="10">
        <v>0.19588481533868041</v>
      </c>
      <c r="L846" s="10">
        <v>0.25301210299502158</v>
      </c>
    </row>
    <row r="847" spans="10:12" x14ac:dyDescent="0.3">
      <c r="J847">
        <v>824</v>
      </c>
      <c r="K847" s="10">
        <v>0.22530835790631212</v>
      </c>
      <c r="L847" s="10">
        <v>0.4003152523364979</v>
      </c>
    </row>
    <row r="848" spans="10:12" x14ac:dyDescent="0.3">
      <c r="J848">
        <v>825</v>
      </c>
      <c r="K848" s="10">
        <v>0.19564385519371322</v>
      </c>
      <c r="L848" s="10">
        <v>0.38863269287307728</v>
      </c>
    </row>
    <row r="849" spans="10:12" x14ac:dyDescent="0.3">
      <c r="J849">
        <v>826</v>
      </c>
      <c r="K849" s="10">
        <v>0.2298364933745517</v>
      </c>
      <c r="L849" s="10">
        <v>0.18498449380315826</v>
      </c>
    </row>
    <row r="850" spans="10:12" x14ac:dyDescent="0.3">
      <c r="J850">
        <v>827</v>
      </c>
      <c r="K850" s="10">
        <v>0.20281755911396121</v>
      </c>
      <c r="L850" s="10">
        <v>0.19438655355568726</v>
      </c>
    </row>
    <row r="851" spans="10:12" x14ac:dyDescent="0.3">
      <c r="J851">
        <v>828</v>
      </c>
      <c r="K851" s="10">
        <v>0.21074574287639602</v>
      </c>
      <c r="L851" s="10">
        <v>0.20485649175081092</v>
      </c>
    </row>
    <row r="852" spans="10:12" x14ac:dyDescent="0.3">
      <c r="J852">
        <v>829</v>
      </c>
      <c r="K852" s="10">
        <v>0.20932770940485146</v>
      </c>
      <c r="L852" s="10">
        <v>0.46818459868106871</v>
      </c>
    </row>
    <row r="853" spans="10:12" x14ac:dyDescent="0.3">
      <c r="J853">
        <v>830</v>
      </c>
      <c r="K853" s="10">
        <v>0.19394111006408443</v>
      </c>
      <c r="L853" s="10">
        <v>0.26500836149819795</v>
      </c>
    </row>
    <row r="854" spans="10:12" x14ac:dyDescent="0.3">
      <c r="J854">
        <v>831</v>
      </c>
      <c r="K854" s="10">
        <v>0.2603812720714917</v>
      </c>
      <c r="L854" s="10">
        <v>-6.8732276694084854E-2</v>
      </c>
    </row>
    <row r="855" spans="10:12" x14ac:dyDescent="0.3">
      <c r="J855">
        <v>832</v>
      </c>
      <c r="K855" s="10">
        <v>0.24823129705198629</v>
      </c>
      <c r="L855" s="10">
        <v>-5.8784238032966306E-2</v>
      </c>
    </row>
    <row r="856" spans="10:12" x14ac:dyDescent="0.3">
      <c r="J856">
        <v>833</v>
      </c>
      <c r="K856" s="10">
        <v>0.20929087608921729</v>
      </c>
      <c r="L856" s="10">
        <v>0.43445564500398981</v>
      </c>
    </row>
    <row r="857" spans="10:12" x14ac:dyDescent="0.3">
      <c r="J857">
        <v>834</v>
      </c>
      <c r="K857" s="10">
        <v>0.19413928479625239</v>
      </c>
      <c r="L857" s="10">
        <v>0.24658037013831199</v>
      </c>
    </row>
    <row r="858" spans="10:12" x14ac:dyDescent="0.3">
      <c r="J858">
        <v>835</v>
      </c>
      <c r="K858" s="10">
        <v>0.33453296106020014</v>
      </c>
      <c r="L858" s="10">
        <v>-2.7352239546171012E-2</v>
      </c>
    </row>
    <row r="859" spans="10:12" x14ac:dyDescent="0.3">
      <c r="J859">
        <v>836</v>
      </c>
      <c r="K859" s="10">
        <v>0.24142521470582437</v>
      </c>
      <c r="L859" s="10">
        <v>0.13374895267221235</v>
      </c>
    </row>
    <row r="860" spans="10:12" x14ac:dyDescent="0.3">
      <c r="J860">
        <v>837</v>
      </c>
      <c r="K860" s="10">
        <v>0.20857863974552349</v>
      </c>
      <c r="L860" s="10">
        <v>8.9298158074210959E-2</v>
      </c>
    </row>
    <row r="861" spans="10:12" x14ac:dyDescent="0.3">
      <c r="J861">
        <v>838</v>
      </c>
      <c r="K861" s="10">
        <v>0.22265715005455053</v>
      </c>
      <c r="L861" s="10">
        <v>5.3131091238598653E-2</v>
      </c>
    </row>
    <row r="862" spans="10:12" x14ac:dyDescent="0.3">
      <c r="J862">
        <v>839</v>
      </c>
      <c r="K862" s="10">
        <v>0.19253522843980492</v>
      </c>
      <c r="L862" s="10">
        <v>0.26161661952938609</v>
      </c>
    </row>
    <row r="863" spans="10:12" x14ac:dyDescent="0.3">
      <c r="J863">
        <v>840</v>
      </c>
      <c r="K863" s="10">
        <v>0.24297745358754685</v>
      </c>
      <c r="L863" s="10">
        <v>9.5858902986596384E-2</v>
      </c>
    </row>
    <row r="864" spans="10:12" x14ac:dyDescent="0.3">
      <c r="J864">
        <v>841</v>
      </c>
      <c r="K864" s="10">
        <v>0.24842025900829917</v>
      </c>
      <c r="L864" s="10">
        <v>6.092100266919246E-2</v>
      </c>
    </row>
    <row r="865" spans="10:12" x14ac:dyDescent="0.3">
      <c r="J865">
        <v>842</v>
      </c>
      <c r="K865" s="10">
        <v>0.26472281645657508</v>
      </c>
      <c r="L865" s="10">
        <v>0.10904066225530752</v>
      </c>
    </row>
    <row r="866" spans="10:12" x14ac:dyDescent="0.3">
      <c r="J866">
        <v>843</v>
      </c>
      <c r="K866" s="10">
        <v>0.20723681142246111</v>
      </c>
      <c r="L866" s="10">
        <v>0.33792541215140809</v>
      </c>
    </row>
    <row r="867" spans="10:12" x14ac:dyDescent="0.3">
      <c r="J867">
        <v>844</v>
      </c>
      <c r="K867" s="10">
        <v>0.22172536841643567</v>
      </c>
      <c r="L867" s="10">
        <v>0.59382539881419061</v>
      </c>
    </row>
    <row r="868" spans="10:12" x14ac:dyDescent="0.3">
      <c r="J868">
        <v>845</v>
      </c>
      <c r="K868" s="10">
        <v>0.25490372612291512</v>
      </c>
      <c r="L868" s="10">
        <v>-9.3253873413213589E-2</v>
      </c>
    </row>
    <row r="869" spans="10:12" x14ac:dyDescent="0.3">
      <c r="J869">
        <v>846</v>
      </c>
      <c r="K869" s="10">
        <v>0.19032093492818486</v>
      </c>
      <c r="L869" s="10">
        <v>0.24614896156795488</v>
      </c>
    </row>
    <row r="870" spans="10:12" x14ac:dyDescent="0.3">
      <c r="J870">
        <v>847</v>
      </c>
      <c r="K870" s="10">
        <v>0.23172983022326551</v>
      </c>
      <c r="L870" s="10">
        <v>-2.3688869716019384E-3</v>
      </c>
    </row>
    <row r="871" spans="10:12" x14ac:dyDescent="0.3">
      <c r="J871">
        <v>848</v>
      </c>
      <c r="K871" s="10">
        <v>0.29831599211080878</v>
      </c>
      <c r="L871" s="10">
        <v>-5.7940736818696589E-2</v>
      </c>
    </row>
    <row r="872" spans="10:12" x14ac:dyDescent="0.3">
      <c r="J872">
        <v>849</v>
      </c>
      <c r="K872" s="10">
        <v>0.21414566565581361</v>
      </c>
      <c r="L872" s="10">
        <v>6.6387780088357412E-2</v>
      </c>
    </row>
    <row r="873" spans="10:12" x14ac:dyDescent="0.3">
      <c r="J873">
        <v>850</v>
      </c>
      <c r="K873" s="10">
        <v>0.21831737626220865</v>
      </c>
      <c r="L873" s="10">
        <v>0.56668775476178079</v>
      </c>
    </row>
    <row r="874" spans="10:12" x14ac:dyDescent="0.3">
      <c r="J874">
        <v>851</v>
      </c>
      <c r="K874" s="10">
        <v>0.21586479224594862</v>
      </c>
      <c r="L874" s="10">
        <v>0.45997199325836496</v>
      </c>
    </row>
    <row r="875" spans="10:12" x14ac:dyDescent="0.3">
      <c r="J875">
        <v>852</v>
      </c>
      <c r="K875" s="10">
        <v>0.20061205314479055</v>
      </c>
      <c r="L875" s="10">
        <v>0.20893121211677837</v>
      </c>
    </row>
    <row r="876" spans="10:12" x14ac:dyDescent="0.3">
      <c r="J876">
        <v>853</v>
      </c>
      <c r="K876" s="10">
        <v>0.22628051058039539</v>
      </c>
      <c r="L876" s="10">
        <v>0.30896519215594642</v>
      </c>
    </row>
    <row r="877" spans="10:12" x14ac:dyDescent="0.3">
      <c r="J877">
        <v>854</v>
      </c>
      <c r="K877" s="10">
        <v>0.20812885061438527</v>
      </c>
      <c r="L877" s="10">
        <v>0.49039538991535608</v>
      </c>
    </row>
    <row r="878" spans="10:12" x14ac:dyDescent="0.3">
      <c r="J878">
        <v>855</v>
      </c>
      <c r="K878" s="10">
        <v>0.208388969881489</v>
      </c>
      <c r="L878" s="10">
        <v>0.23548190810824765</v>
      </c>
    </row>
    <row r="879" spans="10:12" x14ac:dyDescent="0.3">
      <c r="J879">
        <v>856</v>
      </c>
      <c r="K879" s="10">
        <v>0.19004383817974912</v>
      </c>
      <c r="L879" s="10">
        <v>0.27741141259321611</v>
      </c>
    </row>
    <row r="880" spans="10:12" x14ac:dyDescent="0.3">
      <c r="J880">
        <v>857</v>
      </c>
      <c r="K880" s="10">
        <v>0.25318050578883494</v>
      </c>
      <c r="L880" s="10">
        <v>-8.1674674749071516E-2</v>
      </c>
    </row>
    <row r="881" spans="10:12" x14ac:dyDescent="0.3">
      <c r="J881">
        <v>858</v>
      </c>
      <c r="K881" s="10">
        <v>0.19449462385399674</v>
      </c>
      <c r="L881" s="10">
        <v>0.24390614871955932</v>
      </c>
    </row>
    <row r="882" spans="10:12" x14ac:dyDescent="0.3">
      <c r="J882">
        <v>859</v>
      </c>
      <c r="K882" s="10">
        <v>0.19382629645565017</v>
      </c>
      <c r="L882" s="10">
        <v>0.40843175789239061</v>
      </c>
    </row>
    <row r="883" spans="10:12" x14ac:dyDescent="0.3">
      <c r="J883">
        <v>860</v>
      </c>
      <c r="K883" s="10">
        <v>0.23968766878141926</v>
      </c>
      <c r="L883" s="10">
        <v>-7.049467600380796E-2</v>
      </c>
    </row>
    <row r="884" spans="10:12" x14ac:dyDescent="0.3">
      <c r="J884">
        <v>861</v>
      </c>
      <c r="K884" s="10">
        <v>0.19004935562645073</v>
      </c>
      <c r="L884" s="10">
        <v>0.26662573864861211</v>
      </c>
    </row>
    <row r="885" spans="10:12" x14ac:dyDescent="0.3">
      <c r="J885">
        <v>862</v>
      </c>
      <c r="K885" s="10">
        <v>0.24089276031168411</v>
      </c>
      <c r="L885" s="10">
        <v>0.1513084869676358</v>
      </c>
    </row>
    <row r="886" spans="10:12" x14ac:dyDescent="0.3">
      <c r="J886">
        <v>863</v>
      </c>
      <c r="K886" s="10">
        <v>0.21583570606952693</v>
      </c>
      <c r="L886" s="10">
        <v>0.55570686308610495</v>
      </c>
    </row>
    <row r="887" spans="10:12" x14ac:dyDescent="0.3">
      <c r="J887">
        <v>864</v>
      </c>
      <c r="K887" s="10">
        <v>0.20057447018100222</v>
      </c>
      <c r="L887" s="10">
        <v>0.22286502189842122</v>
      </c>
    </row>
    <row r="888" spans="10:12" x14ac:dyDescent="0.3">
      <c r="J888">
        <v>865</v>
      </c>
      <c r="K888" s="10">
        <v>0.21780885307158968</v>
      </c>
      <c r="L888" s="10">
        <v>8.498121828418842E-2</v>
      </c>
    </row>
    <row r="889" spans="10:12" x14ac:dyDescent="0.3">
      <c r="J889">
        <v>866</v>
      </c>
      <c r="K889" s="10">
        <v>0.23409579557551533</v>
      </c>
      <c r="L889" s="10">
        <v>2.6785313505423125E-2</v>
      </c>
    </row>
    <row r="890" spans="10:12" x14ac:dyDescent="0.3">
      <c r="J890">
        <v>867</v>
      </c>
      <c r="K890" s="10">
        <v>0.20194726353856149</v>
      </c>
      <c r="L890" s="10">
        <v>0.19934350641775</v>
      </c>
    </row>
    <row r="891" spans="10:12" x14ac:dyDescent="0.3">
      <c r="J891">
        <v>868</v>
      </c>
      <c r="K891" s="10">
        <v>0.21938036494551588</v>
      </c>
      <c r="L891" s="10">
        <v>7.2842720379198117E-2</v>
      </c>
    </row>
    <row r="892" spans="10:12" x14ac:dyDescent="0.3">
      <c r="J892">
        <v>869</v>
      </c>
      <c r="K892" s="10">
        <v>0.19816979914736083</v>
      </c>
      <c r="L892" s="10">
        <v>0.16042296879942744</v>
      </c>
    </row>
    <row r="893" spans="10:12" x14ac:dyDescent="0.3">
      <c r="J893">
        <v>870</v>
      </c>
      <c r="K893" s="10">
        <v>0.24190936536927918</v>
      </c>
      <c r="L893" s="10">
        <v>4.5055381979880807E-3</v>
      </c>
    </row>
    <row r="894" spans="10:12" x14ac:dyDescent="0.3">
      <c r="J894">
        <v>871</v>
      </c>
      <c r="K894" s="10">
        <v>0.2031654408486423</v>
      </c>
      <c r="L894" s="10">
        <v>0.13451957200565309</v>
      </c>
    </row>
    <row r="895" spans="10:12" x14ac:dyDescent="0.3">
      <c r="J895">
        <v>872</v>
      </c>
      <c r="K895" s="10">
        <v>0.25381657711351691</v>
      </c>
      <c r="L895" s="10">
        <v>5.6706288426242507E-2</v>
      </c>
    </row>
    <row r="896" spans="10:12" x14ac:dyDescent="0.3">
      <c r="J896">
        <v>873</v>
      </c>
      <c r="K896" s="10">
        <v>0.22136759987837354</v>
      </c>
      <c r="L896" s="10">
        <v>0.52387386394828328</v>
      </c>
    </row>
    <row r="897" spans="10:12" x14ac:dyDescent="0.3">
      <c r="J897">
        <v>874</v>
      </c>
      <c r="K897" s="10">
        <v>0.21223711526863689</v>
      </c>
      <c r="L897" s="10">
        <v>0.46230704864104488</v>
      </c>
    </row>
    <row r="898" spans="10:12" x14ac:dyDescent="0.3">
      <c r="J898">
        <v>875</v>
      </c>
      <c r="K898" s="10">
        <v>0.2206055900824439</v>
      </c>
      <c r="L898" s="10">
        <v>0.60091077486598699</v>
      </c>
    </row>
    <row r="899" spans="10:12" x14ac:dyDescent="0.3">
      <c r="J899">
        <v>876</v>
      </c>
      <c r="K899" s="10">
        <v>0.19896097498353651</v>
      </c>
      <c r="L899" s="10">
        <v>0.22230687919191575</v>
      </c>
    </row>
    <row r="900" spans="10:12" x14ac:dyDescent="0.3">
      <c r="J900">
        <v>877</v>
      </c>
      <c r="K900" s="10">
        <v>0.21658822860427537</v>
      </c>
      <c r="L900" s="10">
        <v>0.58048593782609714</v>
      </c>
    </row>
    <row r="901" spans="10:12" x14ac:dyDescent="0.3">
      <c r="J901">
        <v>878</v>
      </c>
      <c r="K901" s="10">
        <v>0.21869961592526188</v>
      </c>
      <c r="L901" s="10">
        <v>0.30146962077960004</v>
      </c>
    </row>
    <row r="902" spans="10:12" x14ac:dyDescent="0.3">
      <c r="J902">
        <v>879</v>
      </c>
      <c r="K902" s="10">
        <v>0.18888649478450079</v>
      </c>
      <c r="L902" s="10">
        <v>0.32645354189873327</v>
      </c>
    </row>
    <row r="903" spans="10:12" x14ac:dyDescent="0.3">
      <c r="J903">
        <v>880</v>
      </c>
      <c r="K903" s="10">
        <v>0.19385934279175332</v>
      </c>
      <c r="L903" s="10">
        <v>0.23686421253479292</v>
      </c>
    </row>
    <row r="904" spans="10:12" x14ac:dyDescent="0.3">
      <c r="J904">
        <v>881</v>
      </c>
      <c r="K904" s="10">
        <v>0.24890511917454422</v>
      </c>
      <c r="L904" s="10">
        <v>3.4846515925405566E-3</v>
      </c>
    </row>
    <row r="905" spans="10:12" x14ac:dyDescent="0.3">
      <c r="J905">
        <v>882</v>
      </c>
      <c r="K905" s="10">
        <v>0.27851685987283387</v>
      </c>
      <c r="L905" s="10">
        <v>8.9511743601872112E-2</v>
      </c>
    </row>
    <row r="906" spans="10:12" x14ac:dyDescent="0.3">
      <c r="J906">
        <v>883</v>
      </c>
      <c r="K906" s="10">
        <v>0.2196949117189374</v>
      </c>
      <c r="L906" s="10">
        <v>0.31226878428206206</v>
      </c>
    </row>
    <row r="907" spans="10:12" x14ac:dyDescent="0.3">
      <c r="J907">
        <v>884</v>
      </c>
      <c r="K907" s="10">
        <v>0.21024707437225906</v>
      </c>
      <c r="L907" s="10">
        <v>0.13554594442791945</v>
      </c>
    </row>
    <row r="908" spans="10:12" x14ac:dyDescent="0.3">
      <c r="J908">
        <v>885</v>
      </c>
      <c r="K908" s="10">
        <v>0.27484436283625879</v>
      </c>
      <c r="L908" s="10">
        <v>0.14320578073912407</v>
      </c>
    </row>
    <row r="909" spans="10:12" x14ac:dyDescent="0.3">
      <c r="J909">
        <v>886</v>
      </c>
      <c r="K909" s="10">
        <v>0.20726742979045937</v>
      </c>
      <c r="L909" s="10">
        <v>0.23453360003490009</v>
      </c>
    </row>
    <row r="910" spans="10:12" x14ac:dyDescent="0.3">
      <c r="J910">
        <v>887</v>
      </c>
      <c r="K910" s="10">
        <v>0.23656752492780278</v>
      </c>
      <c r="L910" s="10">
        <v>8.3207385043680471E-2</v>
      </c>
    </row>
    <row r="911" spans="10:12" x14ac:dyDescent="0.3">
      <c r="J911">
        <v>888</v>
      </c>
      <c r="K911" s="10">
        <v>0.19063004718860246</v>
      </c>
      <c r="L911" s="10">
        <v>0.34782924063348519</v>
      </c>
    </row>
    <row r="912" spans="10:12" x14ac:dyDescent="0.3">
      <c r="J912">
        <v>889</v>
      </c>
      <c r="K912" s="10">
        <v>0.19622959867505038</v>
      </c>
      <c r="L912" s="10">
        <v>0.26312997327802168</v>
      </c>
    </row>
    <row r="913" spans="10:12" x14ac:dyDescent="0.3">
      <c r="J913">
        <v>890</v>
      </c>
      <c r="K913" s="10">
        <v>0.20778641866416039</v>
      </c>
      <c r="L913" s="10">
        <v>0.1181951165527893</v>
      </c>
    </row>
    <row r="914" spans="10:12" x14ac:dyDescent="0.3">
      <c r="J914">
        <v>891</v>
      </c>
      <c r="K914" s="10">
        <v>0.1904333916081081</v>
      </c>
      <c r="L914" s="10">
        <v>0.34773754066184864</v>
      </c>
    </row>
    <row r="915" spans="10:12" x14ac:dyDescent="0.3">
      <c r="J915">
        <v>892</v>
      </c>
      <c r="K915" s="10">
        <v>0.19317751654553331</v>
      </c>
      <c r="L915" s="10">
        <v>0.28195034941293085</v>
      </c>
    </row>
    <row r="916" spans="10:12" x14ac:dyDescent="0.3">
      <c r="J916">
        <v>893</v>
      </c>
      <c r="K916" s="10">
        <v>0.22699536721520283</v>
      </c>
      <c r="L916" s="10">
        <v>0.39530526000179161</v>
      </c>
    </row>
    <row r="917" spans="10:12" x14ac:dyDescent="0.3">
      <c r="J917">
        <v>894</v>
      </c>
      <c r="K917" s="10">
        <v>0.19819457548204816</v>
      </c>
      <c r="L917" s="10">
        <v>0.40748871940816889</v>
      </c>
    </row>
    <row r="918" spans="10:12" x14ac:dyDescent="0.3">
      <c r="J918">
        <v>895</v>
      </c>
      <c r="K918" s="10">
        <v>0.24039106659740925</v>
      </c>
      <c r="L918" s="10">
        <v>-7.011884248992753E-2</v>
      </c>
    </row>
    <row r="919" spans="10:12" x14ac:dyDescent="0.3">
      <c r="J919">
        <v>896</v>
      </c>
      <c r="K919" s="10">
        <v>0.21758834077033296</v>
      </c>
      <c r="L919" s="10">
        <v>0.17272647382372833</v>
      </c>
    </row>
    <row r="920" spans="10:12" x14ac:dyDescent="0.3">
      <c r="J920">
        <v>897</v>
      </c>
      <c r="K920" s="10">
        <v>0.24077810116539217</v>
      </c>
      <c r="L920" s="10">
        <v>-7.719758338764339E-2</v>
      </c>
    </row>
    <row r="921" spans="10:12" x14ac:dyDescent="0.3">
      <c r="J921">
        <v>898</v>
      </c>
      <c r="K921" s="10">
        <v>0.19000096789303073</v>
      </c>
      <c r="L921" s="10">
        <v>0.34344481342272543</v>
      </c>
    </row>
    <row r="922" spans="10:12" x14ac:dyDescent="0.3">
      <c r="J922">
        <v>899</v>
      </c>
      <c r="K922" s="10">
        <v>0.21906057798584283</v>
      </c>
      <c r="L922" s="10">
        <v>0.11697311040904682</v>
      </c>
    </row>
    <row r="923" spans="10:12" x14ac:dyDescent="0.3">
      <c r="J923">
        <v>900</v>
      </c>
      <c r="K923" s="10">
        <v>0.18984912480261693</v>
      </c>
      <c r="L923" s="10">
        <v>0.3388029774078013</v>
      </c>
    </row>
    <row r="924" spans="10:12" x14ac:dyDescent="0.3">
      <c r="J924">
        <v>901</v>
      </c>
      <c r="K924" s="10">
        <v>0.20677274595283904</v>
      </c>
      <c r="L924" s="10">
        <v>0.15881010451221456</v>
      </c>
    </row>
    <row r="925" spans="10:12" x14ac:dyDescent="0.3">
      <c r="J925">
        <v>902</v>
      </c>
      <c r="K925" s="10">
        <v>0.20782348064747871</v>
      </c>
      <c r="L925" s="10">
        <v>0.14081865320938464</v>
      </c>
    </row>
    <row r="926" spans="10:12" x14ac:dyDescent="0.3">
      <c r="J926">
        <v>903</v>
      </c>
      <c r="K926" s="10">
        <v>0.20626399457426722</v>
      </c>
      <c r="L926" s="10">
        <v>0.51508527888106759</v>
      </c>
    </row>
    <row r="927" spans="10:12" x14ac:dyDescent="0.3">
      <c r="J927">
        <v>904</v>
      </c>
      <c r="K927" s="10">
        <v>0.20659679437406564</v>
      </c>
      <c r="L927" s="10">
        <v>0.40920145505306493</v>
      </c>
    </row>
    <row r="928" spans="10:12" x14ac:dyDescent="0.3">
      <c r="J928">
        <v>905</v>
      </c>
      <c r="K928" s="10">
        <v>0.19701920583356919</v>
      </c>
      <c r="L928" s="10">
        <v>0.28455417213788403</v>
      </c>
    </row>
    <row r="929" spans="10:12" x14ac:dyDescent="0.3">
      <c r="J929">
        <v>906</v>
      </c>
      <c r="K929" s="10">
        <v>0.22787301839074064</v>
      </c>
      <c r="L929" s="10">
        <v>0.13898861326839443</v>
      </c>
    </row>
    <row r="930" spans="10:12" x14ac:dyDescent="0.3">
      <c r="J930">
        <v>907</v>
      </c>
      <c r="K930" s="10">
        <v>0.2050329126062907</v>
      </c>
      <c r="L930" s="10">
        <v>0.17082179799687222</v>
      </c>
    </row>
    <row r="931" spans="10:12" x14ac:dyDescent="0.3">
      <c r="J931">
        <v>908</v>
      </c>
      <c r="K931" s="10">
        <v>0.20146661315690587</v>
      </c>
      <c r="L931" s="10">
        <v>0.27560935466288572</v>
      </c>
    </row>
    <row r="932" spans="10:12" x14ac:dyDescent="0.3">
      <c r="J932">
        <v>909</v>
      </c>
      <c r="K932" s="10">
        <v>0.22812349645260308</v>
      </c>
      <c r="L932" s="10">
        <v>-7.800871738813081E-3</v>
      </c>
    </row>
    <row r="933" spans="10:12" x14ac:dyDescent="0.3">
      <c r="J933">
        <v>910</v>
      </c>
      <c r="K933" s="10">
        <v>0.20642043427095752</v>
      </c>
      <c r="L933" s="10">
        <v>0.23819962363373243</v>
      </c>
    </row>
    <row r="934" spans="10:12" x14ac:dyDescent="0.3">
      <c r="J934">
        <v>911</v>
      </c>
      <c r="K934" s="10">
        <v>0.20129714657957665</v>
      </c>
      <c r="L934" s="10">
        <v>0.48527806809639246</v>
      </c>
    </row>
    <row r="935" spans="10:12" x14ac:dyDescent="0.3">
      <c r="J935">
        <v>912</v>
      </c>
      <c r="K935" s="10">
        <v>0.22255442265233133</v>
      </c>
      <c r="L935" s="10">
        <v>0.60991574877181165</v>
      </c>
    </row>
    <row r="936" spans="10:12" x14ac:dyDescent="0.3">
      <c r="J936">
        <v>913</v>
      </c>
      <c r="K936" s="10">
        <v>0.19224155632467294</v>
      </c>
      <c r="L936" s="10">
        <v>0.22199117675707478</v>
      </c>
    </row>
    <row r="937" spans="10:12" x14ac:dyDescent="0.3">
      <c r="J937">
        <v>914</v>
      </c>
      <c r="K937" s="10">
        <v>0.22136272533176954</v>
      </c>
      <c r="L937" s="10">
        <v>0.39235425957377484</v>
      </c>
    </row>
    <row r="938" spans="10:12" x14ac:dyDescent="0.3">
      <c r="J938">
        <v>915</v>
      </c>
      <c r="K938" s="10">
        <v>0.20817014431156147</v>
      </c>
      <c r="L938" s="10">
        <v>0.13731854277043531</v>
      </c>
    </row>
    <row r="939" spans="10:12" x14ac:dyDescent="0.3">
      <c r="J939">
        <v>916</v>
      </c>
      <c r="K939" s="10">
        <v>0.21570453231446685</v>
      </c>
      <c r="L939" s="10">
        <v>0.128514077572844</v>
      </c>
    </row>
    <row r="940" spans="10:12" x14ac:dyDescent="0.3">
      <c r="J940">
        <v>917</v>
      </c>
      <c r="K940" s="10">
        <v>0.34513562965588418</v>
      </c>
      <c r="L940" s="10">
        <v>-8.9127833377244989E-2</v>
      </c>
    </row>
    <row r="941" spans="10:12" x14ac:dyDescent="0.3">
      <c r="J941">
        <v>918</v>
      </c>
      <c r="K941" s="10">
        <v>0.19793579799144936</v>
      </c>
      <c r="L941" s="10">
        <v>0.45698335295027365</v>
      </c>
    </row>
    <row r="942" spans="10:12" x14ac:dyDescent="0.3">
      <c r="J942">
        <v>919</v>
      </c>
      <c r="K942" s="10">
        <v>0.19380536281577226</v>
      </c>
      <c r="L942" s="10">
        <v>0.30507707188840483</v>
      </c>
    </row>
    <row r="943" spans="10:12" x14ac:dyDescent="0.3">
      <c r="J943">
        <v>920</v>
      </c>
      <c r="K943" s="10">
        <v>0.19425214518543035</v>
      </c>
      <c r="L943" s="10">
        <v>0.33571260984240631</v>
      </c>
    </row>
    <row r="944" spans="10:12" x14ac:dyDescent="0.3">
      <c r="J944">
        <v>921</v>
      </c>
      <c r="K944" s="10">
        <v>0.22581142865914147</v>
      </c>
      <c r="L944" s="10">
        <v>9.9592519328934828E-2</v>
      </c>
    </row>
    <row r="945" spans="10:12" x14ac:dyDescent="0.3">
      <c r="J945">
        <v>922</v>
      </c>
      <c r="K945" s="10">
        <v>0.19196578569230319</v>
      </c>
      <c r="L945" s="10">
        <v>0.22110879963698726</v>
      </c>
    </row>
    <row r="946" spans="10:12" x14ac:dyDescent="0.3">
      <c r="J946">
        <v>923</v>
      </c>
      <c r="K946" s="10">
        <v>0.18927515647476986</v>
      </c>
      <c r="L946" s="10">
        <v>0.33335316165640905</v>
      </c>
    </row>
    <row r="947" spans="10:12" x14ac:dyDescent="0.3">
      <c r="J947">
        <v>924</v>
      </c>
      <c r="K947" s="10">
        <v>0.20110372965796847</v>
      </c>
      <c r="L947" s="10">
        <v>0.37138400078532446</v>
      </c>
    </row>
    <row r="948" spans="10:12" x14ac:dyDescent="0.3">
      <c r="J948">
        <v>925</v>
      </c>
      <c r="K948" s="10">
        <v>0.19965015294432878</v>
      </c>
      <c r="L948" s="10">
        <v>0.18378942128408504</v>
      </c>
    </row>
    <row r="949" spans="10:12" x14ac:dyDescent="0.3">
      <c r="J949">
        <v>926</v>
      </c>
      <c r="K949" s="10">
        <v>0.19896041403411105</v>
      </c>
      <c r="L949" s="10">
        <v>0.46807929849651719</v>
      </c>
    </row>
    <row r="950" spans="10:12" x14ac:dyDescent="0.3">
      <c r="J950">
        <v>927</v>
      </c>
      <c r="K950" s="10">
        <v>0.22165919105586621</v>
      </c>
      <c r="L950" s="10">
        <v>0.16541068935303338</v>
      </c>
    </row>
    <row r="951" spans="10:12" x14ac:dyDescent="0.3">
      <c r="J951">
        <v>928</v>
      </c>
      <c r="K951" s="10">
        <v>0.19197438796373081</v>
      </c>
      <c r="L951" s="10">
        <v>0.31594511451501373</v>
      </c>
    </row>
    <row r="952" spans="10:12" x14ac:dyDescent="0.3">
      <c r="J952">
        <v>929</v>
      </c>
      <c r="K952" s="10">
        <v>0.22406127072789292</v>
      </c>
      <c r="L952" s="10">
        <v>0.22982762280527352</v>
      </c>
    </row>
    <row r="953" spans="10:12" x14ac:dyDescent="0.3">
      <c r="J953">
        <v>930</v>
      </c>
      <c r="K953" s="10">
        <v>0.21052940399319175</v>
      </c>
      <c r="L953" s="10">
        <v>7.7386080486614439E-2</v>
      </c>
    </row>
    <row r="954" spans="10:12" x14ac:dyDescent="0.3">
      <c r="J954">
        <v>931</v>
      </c>
      <c r="K954" s="10">
        <v>0.19970468093400606</v>
      </c>
      <c r="L954" s="10">
        <v>0.42217175246703892</v>
      </c>
    </row>
    <row r="955" spans="10:12" x14ac:dyDescent="0.3">
      <c r="J955">
        <v>932</v>
      </c>
      <c r="K955" s="10">
        <v>0.20820588950653229</v>
      </c>
      <c r="L955" s="10">
        <v>0.30058558806616592</v>
      </c>
    </row>
    <row r="956" spans="10:12" x14ac:dyDescent="0.3">
      <c r="J956">
        <v>933</v>
      </c>
      <c r="K956" s="10">
        <v>0.21616698528761458</v>
      </c>
      <c r="L956" s="10">
        <v>0.36451078716303614</v>
      </c>
    </row>
    <row r="957" spans="10:12" x14ac:dyDescent="0.3">
      <c r="J957">
        <v>934</v>
      </c>
      <c r="K957" s="10">
        <v>0.19072423509892542</v>
      </c>
      <c r="L957" s="10">
        <v>0.33231756035860405</v>
      </c>
    </row>
    <row r="958" spans="10:12" x14ac:dyDescent="0.3">
      <c r="J958">
        <v>935</v>
      </c>
      <c r="K958" s="10">
        <v>0.19309072120756293</v>
      </c>
      <c r="L958" s="10">
        <v>0.20471835740599051</v>
      </c>
    </row>
    <row r="959" spans="10:12" x14ac:dyDescent="0.3">
      <c r="J959">
        <v>936</v>
      </c>
      <c r="K959" s="10">
        <v>0.189587987637653</v>
      </c>
      <c r="L959" s="10">
        <v>0.31554231027418522</v>
      </c>
    </row>
    <row r="960" spans="10:12" x14ac:dyDescent="0.3">
      <c r="J960">
        <v>937</v>
      </c>
      <c r="K960" s="10">
        <v>0.21155407131044493</v>
      </c>
      <c r="L960" s="10">
        <v>0.13193000243880165</v>
      </c>
    </row>
    <row r="961" spans="10:12" x14ac:dyDescent="0.3">
      <c r="J961">
        <v>938</v>
      </c>
      <c r="K961" s="10">
        <v>0.21020628707245401</v>
      </c>
      <c r="L961" s="10">
        <v>9.9059310054764954E-2</v>
      </c>
    </row>
    <row r="962" spans="10:12" x14ac:dyDescent="0.3">
      <c r="J962">
        <v>939</v>
      </c>
      <c r="K962" s="10">
        <v>0.23505342315495745</v>
      </c>
      <c r="L962" s="10">
        <v>-1.4358643544579087E-2</v>
      </c>
    </row>
    <row r="963" spans="10:12" x14ac:dyDescent="0.3">
      <c r="J963">
        <v>940</v>
      </c>
      <c r="K963" s="10">
        <v>0.22766970526379315</v>
      </c>
      <c r="L963" s="10">
        <v>0.5957536288780807</v>
      </c>
    </row>
    <row r="964" spans="10:12" x14ac:dyDescent="0.3">
      <c r="J964">
        <v>941</v>
      </c>
      <c r="K964" s="10">
        <v>0.20567025316055407</v>
      </c>
      <c r="L964" s="10">
        <v>0.16030296169192026</v>
      </c>
    </row>
    <row r="965" spans="10:12" x14ac:dyDescent="0.3">
      <c r="J965">
        <v>942</v>
      </c>
      <c r="K965" s="10">
        <v>0.19548513870168155</v>
      </c>
      <c r="L965" s="10">
        <v>0.17766109962231333</v>
      </c>
    </row>
    <row r="966" spans="10:12" x14ac:dyDescent="0.3">
      <c r="J966">
        <v>943</v>
      </c>
      <c r="K966" s="10">
        <v>0.25186323491637436</v>
      </c>
      <c r="L966" s="10">
        <v>8.7762641326222093E-2</v>
      </c>
    </row>
    <row r="967" spans="10:12" x14ac:dyDescent="0.3">
      <c r="J967">
        <v>944</v>
      </c>
      <c r="K967" s="10">
        <v>0.19066338106473743</v>
      </c>
      <c r="L967" s="10">
        <v>0.3513665028339642</v>
      </c>
    </row>
    <row r="968" spans="10:12" x14ac:dyDescent="0.3">
      <c r="J968">
        <v>945</v>
      </c>
      <c r="K968" s="10">
        <v>0.18868596398709617</v>
      </c>
      <c r="L968" s="10">
        <v>0.30626881472237949</v>
      </c>
    </row>
    <row r="969" spans="10:12" x14ac:dyDescent="0.3">
      <c r="J969">
        <v>946</v>
      </c>
      <c r="K969" s="10">
        <v>0.21853584863525213</v>
      </c>
      <c r="L969" s="10">
        <v>0.29906919368730495</v>
      </c>
    </row>
    <row r="970" spans="10:12" x14ac:dyDescent="0.3">
      <c r="J970">
        <v>947</v>
      </c>
      <c r="K970" s="10">
        <v>0.20567728132662891</v>
      </c>
      <c r="L970" s="10">
        <v>0.51119545023841595</v>
      </c>
    </row>
    <row r="971" spans="10:12" x14ac:dyDescent="0.3">
      <c r="J971">
        <v>948</v>
      </c>
      <c r="K971" s="10">
        <v>0.22448425858694637</v>
      </c>
      <c r="L971" s="10">
        <v>0.61737199038148483</v>
      </c>
    </row>
    <row r="972" spans="10:12" x14ac:dyDescent="0.3">
      <c r="J972">
        <v>949</v>
      </c>
      <c r="K972" s="10">
        <v>0.19005953612174367</v>
      </c>
      <c r="L972" s="10">
        <v>0.2757620734058337</v>
      </c>
    </row>
    <row r="973" spans="10:12" x14ac:dyDescent="0.3">
      <c r="J973">
        <v>950</v>
      </c>
      <c r="K973" s="10">
        <v>0.18901681994300051</v>
      </c>
      <c r="L973" s="10">
        <v>0.330593548388319</v>
      </c>
    </row>
    <row r="974" spans="10:12" x14ac:dyDescent="0.3">
      <c r="J974">
        <v>951</v>
      </c>
      <c r="K974" s="10">
        <v>0.22504691855950315</v>
      </c>
      <c r="L974" s="10">
        <v>1.1936210327476132E-2</v>
      </c>
    </row>
    <row r="975" spans="10:12" x14ac:dyDescent="0.3">
      <c r="J975">
        <v>952</v>
      </c>
      <c r="K975" s="10">
        <v>0.22871023629815052</v>
      </c>
      <c r="L975" s="10">
        <v>0.6330544565934918</v>
      </c>
    </row>
    <row r="976" spans="10:12" x14ac:dyDescent="0.3">
      <c r="J976">
        <v>953</v>
      </c>
      <c r="K976" s="10">
        <v>0.2539564248358166</v>
      </c>
      <c r="L976" s="10">
        <v>0.10271900652807273</v>
      </c>
    </row>
    <row r="977" spans="10:12" x14ac:dyDescent="0.3">
      <c r="J977">
        <v>954</v>
      </c>
      <c r="K977" s="10">
        <v>0.2291931683236644</v>
      </c>
      <c r="L977" s="10">
        <v>9.3231362552486735E-2</v>
      </c>
    </row>
    <row r="978" spans="10:12" x14ac:dyDescent="0.3">
      <c r="J978">
        <v>955</v>
      </c>
      <c r="K978" s="10">
        <v>0.21783613633101739</v>
      </c>
      <c r="L978" s="10">
        <v>9.040424209071185E-2</v>
      </c>
    </row>
    <row r="979" spans="10:12" x14ac:dyDescent="0.3">
      <c r="J979">
        <v>956</v>
      </c>
      <c r="K979" s="10">
        <v>0.19608564208628212</v>
      </c>
      <c r="L979" s="10">
        <v>0.31815224795207392</v>
      </c>
    </row>
    <row r="980" spans="10:12" x14ac:dyDescent="0.3">
      <c r="J980">
        <v>957</v>
      </c>
      <c r="K980" s="10">
        <v>0.18992379535019707</v>
      </c>
      <c r="L980" s="10">
        <v>0.33265127460445004</v>
      </c>
    </row>
    <row r="981" spans="10:12" x14ac:dyDescent="0.3">
      <c r="J981">
        <v>958</v>
      </c>
      <c r="K981" s="10">
        <v>0.19552232326738347</v>
      </c>
      <c r="L981" s="10">
        <v>0.30230393765704655</v>
      </c>
    </row>
    <row r="982" spans="10:12" x14ac:dyDescent="0.3">
      <c r="J982">
        <v>959</v>
      </c>
      <c r="K982" s="10">
        <v>0.23493839724390658</v>
      </c>
      <c r="L982" s="10">
        <v>0.31081110677353846</v>
      </c>
    </row>
    <row r="983" spans="10:12" x14ac:dyDescent="0.3">
      <c r="J983">
        <v>960</v>
      </c>
      <c r="K983" s="10">
        <v>0.2158745906246409</v>
      </c>
      <c r="L983" s="10">
        <v>0.17647288970038466</v>
      </c>
    </row>
    <row r="984" spans="10:12" x14ac:dyDescent="0.3">
      <c r="J984">
        <v>961</v>
      </c>
      <c r="K984" s="10">
        <v>0.2271686149745093</v>
      </c>
      <c r="L984" s="10">
        <v>0.631049498741583</v>
      </c>
    </row>
    <row r="985" spans="10:12" x14ac:dyDescent="0.3">
      <c r="J985">
        <v>962</v>
      </c>
      <c r="K985" s="10">
        <v>0.21351186668008315</v>
      </c>
      <c r="L985" s="10">
        <v>0.20814769025630747</v>
      </c>
    </row>
    <row r="986" spans="10:12" x14ac:dyDescent="0.3">
      <c r="J986">
        <v>963</v>
      </c>
      <c r="K986" s="10">
        <v>0.2011358110593984</v>
      </c>
      <c r="L986" s="10">
        <v>0.41577051006568139</v>
      </c>
    </row>
    <row r="987" spans="10:12" x14ac:dyDescent="0.3">
      <c r="J987">
        <v>964</v>
      </c>
      <c r="K987" s="10">
        <v>0.21439295382815551</v>
      </c>
      <c r="L987" s="10">
        <v>0.17085353884200891</v>
      </c>
    </row>
    <row r="988" spans="10:12" x14ac:dyDescent="0.3">
      <c r="J988">
        <v>965</v>
      </c>
      <c r="K988" s="10">
        <v>0.19882934145292183</v>
      </c>
      <c r="L988" s="10">
        <v>0.25924583762831549</v>
      </c>
    </row>
    <row r="989" spans="10:12" x14ac:dyDescent="0.3">
      <c r="J989">
        <v>966</v>
      </c>
      <c r="K989" s="10">
        <v>0.30753274745082032</v>
      </c>
      <c r="L989" s="10">
        <v>-4.8776956305981153E-2</v>
      </c>
    </row>
    <row r="990" spans="10:12" x14ac:dyDescent="0.3">
      <c r="J990">
        <v>967</v>
      </c>
      <c r="K990" s="10">
        <v>0.21714388076601815</v>
      </c>
      <c r="L990" s="10">
        <v>4.7738546564512416E-2</v>
      </c>
    </row>
    <row r="991" spans="10:12" x14ac:dyDescent="0.3">
      <c r="J991">
        <v>968</v>
      </c>
      <c r="K991" s="10">
        <v>0.19292549614347151</v>
      </c>
      <c r="L991" s="10">
        <v>0.28258161452743052</v>
      </c>
    </row>
    <row r="992" spans="10:12" x14ac:dyDescent="0.3">
      <c r="J992">
        <v>969</v>
      </c>
      <c r="K992" s="10">
        <v>0.28757465738358562</v>
      </c>
      <c r="L992" s="10">
        <v>-5.6704031998097301E-2</v>
      </c>
    </row>
    <row r="993" spans="10:12" x14ac:dyDescent="0.3">
      <c r="J993">
        <v>970</v>
      </c>
      <c r="K993" s="10">
        <v>0.20345787697625645</v>
      </c>
      <c r="L993" s="10">
        <v>0.23993621652631408</v>
      </c>
    </row>
    <row r="994" spans="10:12" x14ac:dyDescent="0.3">
      <c r="J994">
        <v>971</v>
      </c>
      <c r="K994" s="10">
        <v>0.21219877135685641</v>
      </c>
      <c r="L994" s="10">
        <v>0.14489729030083146</v>
      </c>
    </row>
    <row r="995" spans="10:12" x14ac:dyDescent="0.3">
      <c r="J995">
        <v>972</v>
      </c>
      <c r="K995" s="10">
        <v>0.23882670881097928</v>
      </c>
      <c r="L995" s="10">
        <v>-6.6659111295039805E-2</v>
      </c>
    </row>
    <row r="996" spans="10:12" x14ac:dyDescent="0.3">
      <c r="J996">
        <v>973</v>
      </c>
      <c r="K996" s="10">
        <v>0.19004212547870353</v>
      </c>
      <c r="L996" s="10">
        <v>0.29547833306911164</v>
      </c>
    </row>
    <row r="997" spans="10:12" x14ac:dyDescent="0.3">
      <c r="J997">
        <v>974</v>
      </c>
      <c r="K997" s="10">
        <v>0.23109793502790474</v>
      </c>
      <c r="L997" s="10">
        <v>-3.5714805247565429E-2</v>
      </c>
    </row>
    <row r="998" spans="10:12" x14ac:dyDescent="0.3">
      <c r="J998">
        <v>975</v>
      </c>
      <c r="K998" s="10">
        <v>0.23214357125306598</v>
      </c>
      <c r="L998" s="10">
        <v>0.65098915084900688</v>
      </c>
    </row>
    <row r="999" spans="10:12" x14ac:dyDescent="0.3">
      <c r="J999">
        <v>976</v>
      </c>
      <c r="K999" s="10">
        <v>0.24416924584587063</v>
      </c>
      <c r="L999" s="10">
        <v>-8.9026384933511629E-2</v>
      </c>
    </row>
    <row r="1000" spans="10:12" x14ac:dyDescent="0.3">
      <c r="J1000">
        <v>977</v>
      </c>
      <c r="K1000" s="10">
        <v>0.25544238140133269</v>
      </c>
      <c r="L1000" s="10">
        <v>-2.6729527025351009E-2</v>
      </c>
    </row>
    <row r="1001" spans="10:12" x14ac:dyDescent="0.3">
      <c r="J1001">
        <v>978</v>
      </c>
      <c r="K1001" s="10">
        <v>0.22639948899336212</v>
      </c>
      <c r="L1001" s="10">
        <v>-1.4191635006124484E-2</v>
      </c>
    </row>
    <row r="1002" spans="10:12" x14ac:dyDescent="0.3">
      <c r="J1002">
        <v>979</v>
      </c>
      <c r="K1002" s="10">
        <v>0.20662519203830865</v>
      </c>
      <c r="L1002" s="10">
        <v>0.22845491126268458</v>
      </c>
    </row>
    <row r="1003" spans="10:12" x14ac:dyDescent="0.3">
      <c r="J1003">
        <v>980</v>
      </c>
      <c r="K1003" s="10">
        <v>0.19882361237131099</v>
      </c>
      <c r="L1003" s="10">
        <v>0.14656762325867689</v>
      </c>
    </row>
    <row r="1004" spans="10:12" x14ac:dyDescent="0.3">
      <c r="J1004">
        <v>981</v>
      </c>
      <c r="K1004" s="10">
        <v>0.20503100722841217</v>
      </c>
      <c r="L1004" s="10">
        <v>0.4506744905759083</v>
      </c>
    </row>
    <row r="1005" spans="10:12" x14ac:dyDescent="0.3">
      <c r="J1005">
        <v>982</v>
      </c>
      <c r="K1005" s="10">
        <v>0.2138042767761914</v>
      </c>
      <c r="L1005" s="10">
        <v>0.19062369899548665</v>
      </c>
    </row>
    <row r="1006" spans="10:12" x14ac:dyDescent="0.3">
      <c r="J1006">
        <v>983</v>
      </c>
      <c r="K1006" s="10">
        <v>0.2449184275609009</v>
      </c>
      <c r="L1006" s="10">
        <v>0.24414295957503934</v>
      </c>
    </row>
    <row r="1007" spans="10:12" x14ac:dyDescent="0.3">
      <c r="J1007">
        <v>984</v>
      </c>
      <c r="K1007" s="10">
        <v>0.22175395855275151</v>
      </c>
      <c r="L1007" s="10">
        <v>0.29705803512830198</v>
      </c>
    </row>
    <row r="1008" spans="10:12" x14ac:dyDescent="0.3">
      <c r="J1008">
        <v>985</v>
      </c>
      <c r="K1008" s="10">
        <v>0.19135378061095634</v>
      </c>
      <c r="L1008" s="10">
        <v>0.29075433400320227</v>
      </c>
    </row>
    <row r="1009" spans="10:12" x14ac:dyDescent="0.3">
      <c r="J1009">
        <v>986</v>
      </c>
      <c r="K1009" s="10">
        <v>0.22267522072277451</v>
      </c>
      <c r="L1009" s="10">
        <v>0.36525692997736492</v>
      </c>
    </row>
    <row r="1010" spans="10:12" x14ac:dyDescent="0.3">
      <c r="J1010">
        <v>987</v>
      </c>
      <c r="K1010" s="10">
        <v>0.20492674532107141</v>
      </c>
      <c r="L1010" s="10">
        <v>0.20083358828563164</v>
      </c>
    </row>
    <row r="1011" spans="10:12" x14ac:dyDescent="0.3">
      <c r="J1011">
        <v>988</v>
      </c>
      <c r="K1011" s="10">
        <v>0.20064863976459593</v>
      </c>
      <c r="L1011" s="10">
        <v>0.15858971396858532</v>
      </c>
    </row>
    <row r="1012" spans="10:12" x14ac:dyDescent="0.3">
      <c r="J1012">
        <v>989</v>
      </c>
      <c r="K1012" s="10">
        <v>0.22459445360383626</v>
      </c>
      <c r="L1012" s="10">
        <v>0.55481776829801266</v>
      </c>
    </row>
    <row r="1013" spans="10:12" x14ac:dyDescent="0.3">
      <c r="J1013">
        <v>990</v>
      </c>
      <c r="K1013" s="10">
        <v>0.25418396861821557</v>
      </c>
      <c r="L1013" s="10">
        <v>5.9102023346154747E-2</v>
      </c>
    </row>
    <row r="1014" spans="10:12" x14ac:dyDescent="0.3">
      <c r="J1014">
        <v>991</v>
      </c>
      <c r="K1014" s="10">
        <v>0.19184273322150452</v>
      </c>
      <c r="L1014" s="10">
        <v>0.39079871316846326</v>
      </c>
    </row>
    <row r="1015" spans="10:12" x14ac:dyDescent="0.3">
      <c r="J1015">
        <v>992</v>
      </c>
      <c r="K1015" s="10">
        <v>0.20550381688000469</v>
      </c>
      <c r="L1015" s="10">
        <v>0.48184817394020235</v>
      </c>
    </row>
    <row r="1016" spans="10:12" x14ac:dyDescent="0.3">
      <c r="J1016">
        <v>993</v>
      </c>
      <c r="K1016" s="10">
        <v>0.2006707109640648</v>
      </c>
      <c r="L1016" s="10">
        <v>0.14068939234452682</v>
      </c>
    </row>
    <row r="1017" spans="10:12" x14ac:dyDescent="0.3">
      <c r="J1017">
        <v>994</v>
      </c>
      <c r="K1017" s="10">
        <v>0.22443609907421394</v>
      </c>
      <c r="L1017" s="10">
        <v>0.53404794732937988</v>
      </c>
    </row>
    <row r="1018" spans="10:12" x14ac:dyDescent="0.3">
      <c r="J1018">
        <v>995</v>
      </c>
      <c r="K1018" s="10">
        <v>0.22442175716372442</v>
      </c>
      <c r="L1018" s="10">
        <v>0.43256735560135395</v>
      </c>
    </row>
    <row r="1019" spans="10:12" x14ac:dyDescent="0.3">
      <c r="J1019">
        <v>996</v>
      </c>
      <c r="K1019" s="10">
        <v>0.23548754636404248</v>
      </c>
      <c r="L1019" s="10">
        <v>-2.1583343593979239E-2</v>
      </c>
    </row>
    <row r="1020" spans="10:12" x14ac:dyDescent="0.3">
      <c r="J1020">
        <v>997</v>
      </c>
      <c r="K1020" s="10">
        <v>0.20556710904922837</v>
      </c>
      <c r="L1020" s="10">
        <v>0.12467012890457912</v>
      </c>
    </row>
    <row r="1021" spans="10:12" x14ac:dyDescent="0.3">
      <c r="J1021">
        <v>998</v>
      </c>
      <c r="K1021" s="10">
        <v>0.19198760538818288</v>
      </c>
      <c r="L1021" s="10">
        <v>0.37507578618182996</v>
      </c>
    </row>
    <row r="1022" spans="10:12" x14ac:dyDescent="0.3">
      <c r="J1022">
        <v>999</v>
      </c>
      <c r="K1022" s="10">
        <v>0.25716825422312445</v>
      </c>
      <c r="L1022" s="10">
        <v>6.9955949147462781E-2</v>
      </c>
    </row>
    <row r="1023" spans="10:12" x14ac:dyDescent="0.3">
      <c r="J1023">
        <v>1000</v>
      </c>
      <c r="K1023" s="10">
        <v>0.22721409567837647</v>
      </c>
      <c r="L1023" s="10">
        <v>7.7905220354440932E-3</v>
      </c>
    </row>
    <row r="1024" spans="10:12" x14ac:dyDescent="0.3">
      <c r="J1024">
        <v>1001</v>
      </c>
      <c r="K1024" s="10">
        <v>0.19679305804031808</v>
      </c>
      <c r="L1024" s="10">
        <v>0.36898162613378105</v>
      </c>
    </row>
    <row r="1025" spans="10:12" x14ac:dyDescent="0.3">
      <c r="J1025">
        <v>1002</v>
      </c>
      <c r="K1025" s="10">
        <v>0.21904399658991058</v>
      </c>
      <c r="L1025" s="10">
        <v>3.2349327329792892E-2</v>
      </c>
    </row>
    <row r="1026" spans="10:12" x14ac:dyDescent="0.3">
      <c r="J1026">
        <v>1003</v>
      </c>
      <c r="K1026" s="10">
        <v>0.19317141100241714</v>
      </c>
      <c r="L1026" s="10">
        <v>0.24532115042178831</v>
      </c>
    </row>
    <row r="1027" spans="10:12" x14ac:dyDescent="0.3">
      <c r="J1027">
        <v>1004</v>
      </c>
      <c r="K1027" s="10">
        <v>0.20623482224922535</v>
      </c>
      <c r="L1027" s="10">
        <v>0.15393389861038209</v>
      </c>
    </row>
    <row r="1028" spans="10:12" x14ac:dyDescent="0.3">
      <c r="J1028">
        <v>1005</v>
      </c>
      <c r="K1028" s="10">
        <v>0.21286397324425538</v>
      </c>
      <c r="L1028" s="10">
        <v>0.15060916562851256</v>
      </c>
    </row>
    <row r="1029" spans="10:12" x14ac:dyDescent="0.3">
      <c r="J1029">
        <v>1006</v>
      </c>
      <c r="K1029" s="10">
        <v>0.21662364337958001</v>
      </c>
      <c r="L1029" s="10">
        <v>0.13651618722679842</v>
      </c>
    </row>
    <row r="1030" spans="10:12" x14ac:dyDescent="0.3">
      <c r="J1030">
        <v>1007</v>
      </c>
      <c r="K1030" s="10">
        <v>0.19024746787760219</v>
      </c>
      <c r="L1030" s="10">
        <v>0.34142315768239623</v>
      </c>
    </row>
    <row r="1031" spans="10:12" x14ac:dyDescent="0.3">
      <c r="J1031">
        <v>1008</v>
      </c>
      <c r="K1031" s="10">
        <v>0.23032248885386397</v>
      </c>
      <c r="L1031" s="10">
        <v>0.1002612322165132</v>
      </c>
    </row>
    <row r="1032" spans="10:12" x14ac:dyDescent="0.3">
      <c r="J1032">
        <v>1009</v>
      </c>
      <c r="K1032" s="10">
        <v>0.1978230502319599</v>
      </c>
      <c r="L1032" s="10">
        <v>0.15465143176775875</v>
      </c>
    </row>
    <row r="1033" spans="10:12" x14ac:dyDescent="0.3">
      <c r="J1033">
        <v>1010</v>
      </c>
      <c r="K1033" s="10">
        <v>0.20475117141426394</v>
      </c>
      <c r="L1033" s="10">
        <v>0.19175903058317245</v>
      </c>
    </row>
    <row r="1034" spans="10:12" x14ac:dyDescent="0.3">
      <c r="J1034">
        <v>1011</v>
      </c>
      <c r="K1034" s="10">
        <v>0.18881530038354438</v>
      </c>
      <c r="L1034" s="10">
        <v>0.307332985538883</v>
      </c>
    </row>
    <row r="1035" spans="10:12" x14ac:dyDescent="0.3">
      <c r="J1035">
        <v>1012</v>
      </c>
      <c r="K1035" s="10">
        <v>0.20519135569930885</v>
      </c>
      <c r="L1035" s="10">
        <v>0.17547657233147584</v>
      </c>
    </row>
    <row r="1036" spans="10:12" x14ac:dyDescent="0.3">
      <c r="J1036">
        <v>1013</v>
      </c>
      <c r="K1036" s="10">
        <v>0.20471593775413055</v>
      </c>
      <c r="L1036" s="10">
        <v>0.10471884450861838</v>
      </c>
    </row>
    <row r="1037" spans="10:12" x14ac:dyDescent="0.3">
      <c r="J1037">
        <v>1014</v>
      </c>
      <c r="K1037" s="10">
        <v>0.22751403888168936</v>
      </c>
      <c r="L1037" s="10">
        <v>0.63160510410423076</v>
      </c>
    </row>
    <row r="1038" spans="10:12" x14ac:dyDescent="0.3">
      <c r="J1038">
        <v>1015</v>
      </c>
      <c r="K1038" s="10">
        <v>0.19448540703723385</v>
      </c>
      <c r="L1038" s="10">
        <v>0.33125656675604653</v>
      </c>
    </row>
    <row r="1039" spans="10:12" x14ac:dyDescent="0.3">
      <c r="J1039">
        <v>1016</v>
      </c>
      <c r="K1039" s="10">
        <v>0.21005125657715981</v>
      </c>
      <c r="L1039" s="10">
        <v>0.53883101479420303</v>
      </c>
    </row>
    <row r="1040" spans="10:12" x14ac:dyDescent="0.3">
      <c r="J1040">
        <v>1017</v>
      </c>
      <c r="K1040" s="10">
        <v>0.22345331427488435</v>
      </c>
      <c r="L1040" s="10">
        <v>0.34212938698070161</v>
      </c>
    </row>
    <row r="1041" spans="10:12" x14ac:dyDescent="0.3">
      <c r="J1041">
        <v>1018</v>
      </c>
      <c r="K1041" s="10">
        <v>0.19440508464169517</v>
      </c>
      <c r="L1041" s="10">
        <v>0.42396215128021103</v>
      </c>
    </row>
    <row r="1042" spans="10:12" x14ac:dyDescent="0.3">
      <c r="J1042">
        <v>1019</v>
      </c>
      <c r="K1042" s="10">
        <v>0.20796430912045571</v>
      </c>
      <c r="L1042" s="10">
        <v>0.13563210450893562</v>
      </c>
    </row>
    <row r="1043" spans="10:12" x14ac:dyDescent="0.3">
      <c r="J1043">
        <v>1020</v>
      </c>
      <c r="K1043" s="10">
        <v>0.21509977835390207</v>
      </c>
      <c r="L1043" s="10">
        <v>9.4462018190470676E-2</v>
      </c>
    </row>
    <row r="1044" spans="10:12" x14ac:dyDescent="0.3">
      <c r="J1044">
        <v>1021</v>
      </c>
      <c r="K1044" s="10">
        <v>0.19473182345609355</v>
      </c>
      <c r="L1044" s="10">
        <v>0.18621676041351093</v>
      </c>
    </row>
    <row r="1045" spans="10:12" x14ac:dyDescent="0.3">
      <c r="J1045">
        <v>1022</v>
      </c>
      <c r="K1045" s="10">
        <v>0.18998930358635163</v>
      </c>
      <c r="L1045" s="10">
        <v>0.30209048012891782</v>
      </c>
    </row>
    <row r="1046" spans="10:12" x14ac:dyDescent="0.3">
      <c r="J1046">
        <v>1023</v>
      </c>
      <c r="K1046" s="10">
        <v>0.20276640686230049</v>
      </c>
      <c r="L1046" s="10">
        <v>0.12311848543643319</v>
      </c>
    </row>
    <row r="1047" spans="10:12" x14ac:dyDescent="0.3">
      <c r="J1047">
        <v>1024</v>
      </c>
      <c r="K1047" s="10">
        <v>0.21130360683244048</v>
      </c>
      <c r="L1047" s="10">
        <v>0.55126007759314033</v>
      </c>
    </row>
    <row r="1048" spans="10:12" x14ac:dyDescent="0.3">
      <c r="J1048">
        <v>1025</v>
      </c>
      <c r="K1048" s="10">
        <v>0.2031023103176956</v>
      </c>
      <c r="L1048" s="10">
        <v>0.22357075650469307</v>
      </c>
    </row>
    <row r="1049" spans="10:12" x14ac:dyDescent="0.3">
      <c r="J1049">
        <v>1026</v>
      </c>
      <c r="K1049" s="10">
        <v>0.18926233769958056</v>
      </c>
      <c r="L1049" s="10">
        <v>0.27388430934954477</v>
      </c>
    </row>
    <row r="1050" spans="10:12" x14ac:dyDescent="0.3">
      <c r="J1050">
        <v>1027</v>
      </c>
      <c r="K1050" s="10">
        <v>0.20650152598977109</v>
      </c>
      <c r="L1050" s="10">
        <v>0.11810554703560107</v>
      </c>
    </row>
    <row r="1051" spans="10:12" x14ac:dyDescent="0.3">
      <c r="J1051">
        <v>1028</v>
      </c>
      <c r="K1051" s="10">
        <v>0.24214563959279242</v>
      </c>
      <c r="L1051" s="10">
        <v>1.8853995245110861E-2</v>
      </c>
    </row>
    <row r="1052" spans="10:12" x14ac:dyDescent="0.3">
      <c r="J1052">
        <v>1029</v>
      </c>
      <c r="K1052" s="10">
        <v>0.21144359835450585</v>
      </c>
      <c r="L1052" s="10">
        <v>0.10900099449736829</v>
      </c>
    </row>
    <row r="1053" spans="10:12" x14ac:dyDescent="0.3">
      <c r="J1053">
        <v>1030</v>
      </c>
      <c r="K1053" s="10">
        <v>0.2247073812455222</v>
      </c>
      <c r="L1053" s="10">
        <v>5.4815067494910136E-2</v>
      </c>
    </row>
    <row r="1054" spans="10:12" x14ac:dyDescent="0.3">
      <c r="J1054">
        <v>1031</v>
      </c>
      <c r="K1054" s="10">
        <v>0.22445490620864225</v>
      </c>
      <c r="L1054" s="10">
        <v>-4.0493677069807846E-3</v>
      </c>
    </row>
    <row r="1055" spans="10:12" x14ac:dyDescent="0.3">
      <c r="J1055">
        <v>1032</v>
      </c>
      <c r="K1055" s="10">
        <v>0.20739439111023505</v>
      </c>
      <c r="L1055" s="10">
        <v>0.45935975601339518</v>
      </c>
    </row>
    <row r="1056" spans="10:12" x14ac:dyDescent="0.3">
      <c r="J1056">
        <v>1033</v>
      </c>
      <c r="K1056" s="10">
        <v>0.23401554710325459</v>
      </c>
      <c r="L1056" s="10">
        <v>-4.1236703010786788E-2</v>
      </c>
    </row>
    <row r="1057" spans="10:12" x14ac:dyDescent="0.3">
      <c r="J1057">
        <v>1034</v>
      </c>
      <c r="K1057" s="10">
        <v>0.20974903348279778</v>
      </c>
      <c r="L1057" s="10">
        <v>0.32740301946721551</v>
      </c>
    </row>
    <row r="1058" spans="10:12" x14ac:dyDescent="0.3">
      <c r="J1058">
        <v>1035</v>
      </c>
      <c r="K1058" s="10">
        <v>0.20756978325426934</v>
      </c>
      <c r="L1058" s="10">
        <v>9.3105607726861828E-2</v>
      </c>
    </row>
    <row r="1059" spans="10:12" x14ac:dyDescent="0.3">
      <c r="J1059">
        <v>1036</v>
      </c>
      <c r="K1059" s="10">
        <v>0.20362303045203173</v>
      </c>
      <c r="L1059" s="10">
        <v>0.50364197176602266</v>
      </c>
    </row>
    <row r="1060" spans="10:12" x14ac:dyDescent="0.3">
      <c r="J1060">
        <v>1037</v>
      </c>
      <c r="K1060" s="10">
        <v>0.22711898240103504</v>
      </c>
      <c r="L1060" s="10">
        <v>0.2001356704301471</v>
      </c>
    </row>
    <row r="1061" spans="10:12" x14ac:dyDescent="0.3">
      <c r="J1061">
        <v>1038</v>
      </c>
      <c r="K1061" s="10">
        <v>0.26875314995006677</v>
      </c>
      <c r="L1061" s="10">
        <v>0.12682476993941388</v>
      </c>
    </row>
    <row r="1062" spans="10:12" x14ac:dyDescent="0.3">
      <c r="J1062">
        <v>1039</v>
      </c>
      <c r="K1062" s="10">
        <v>0.18982222277336469</v>
      </c>
      <c r="L1062" s="10">
        <v>0.30342940116869366</v>
      </c>
    </row>
    <row r="1063" spans="10:12" x14ac:dyDescent="0.3">
      <c r="J1063">
        <v>1040</v>
      </c>
      <c r="K1063" s="10">
        <v>0.20629981851558726</v>
      </c>
      <c r="L1063" s="10">
        <v>0.47544537249606333</v>
      </c>
    </row>
    <row r="1064" spans="10:12" x14ac:dyDescent="0.3">
      <c r="J1064">
        <v>1041</v>
      </c>
      <c r="K1064" s="10">
        <v>0.19800667654051562</v>
      </c>
      <c r="L1064" s="10">
        <v>0.21724269708296715</v>
      </c>
    </row>
    <row r="1065" spans="10:12" x14ac:dyDescent="0.3">
      <c r="J1065">
        <v>1042</v>
      </c>
      <c r="K1065" s="10">
        <v>0.26405145280664882</v>
      </c>
      <c r="L1065" s="10">
        <v>0.16589446369589977</v>
      </c>
    </row>
    <row r="1066" spans="10:12" x14ac:dyDescent="0.3">
      <c r="J1066">
        <v>1043</v>
      </c>
      <c r="K1066" s="10">
        <v>0.19198981825183334</v>
      </c>
      <c r="L1066" s="10">
        <v>0.38957584568250614</v>
      </c>
    </row>
    <row r="1067" spans="10:12" x14ac:dyDescent="0.3">
      <c r="J1067">
        <v>1044</v>
      </c>
      <c r="K1067" s="10">
        <v>0.19665340290587233</v>
      </c>
      <c r="L1067" s="10">
        <v>0.41215279622363188</v>
      </c>
    </row>
    <row r="1068" spans="10:12" x14ac:dyDescent="0.3">
      <c r="J1068">
        <v>1045</v>
      </c>
      <c r="K1068" s="10">
        <v>0.18870034202005498</v>
      </c>
      <c r="L1068" s="10">
        <v>0.31011899904784812</v>
      </c>
    </row>
    <row r="1069" spans="10:12" x14ac:dyDescent="0.3">
      <c r="J1069">
        <v>1046</v>
      </c>
      <c r="K1069" s="10">
        <v>0.22416226382345772</v>
      </c>
      <c r="L1069" s="10">
        <v>-2.05406686641426E-3</v>
      </c>
    </row>
    <row r="1070" spans="10:12" x14ac:dyDescent="0.3">
      <c r="J1070">
        <v>1047</v>
      </c>
      <c r="K1070" s="10">
        <v>0.20700759937084351</v>
      </c>
      <c r="L1070" s="10">
        <v>0.14410307091221863</v>
      </c>
    </row>
    <row r="1071" spans="10:12" x14ac:dyDescent="0.3">
      <c r="J1071">
        <v>1048</v>
      </c>
      <c r="K1071" s="10">
        <v>0.22505832316288643</v>
      </c>
      <c r="L1071" s="10">
        <v>0.39748176214460823</v>
      </c>
    </row>
    <row r="1072" spans="10:12" x14ac:dyDescent="0.3">
      <c r="J1072">
        <v>1049</v>
      </c>
      <c r="K1072" s="10">
        <v>0.27039120672017941</v>
      </c>
      <c r="L1072" s="10">
        <v>8.9381577329803064E-2</v>
      </c>
    </row>
    <row r="1073" spans="10:12" x14ac:dyDescent="0.3">
      <c r="J1073">
        <v>1050</v>
      </c>
      <c r="K1073" s="10">
        <v>0.20442424669885795</v>
      </c>
      <c r="L1073" s="10">
        <v>0.10862304340317798</v>
      </c>
    </row>
    <row r="1074" spans="10:12" x14ac:dyDescent="0.3">
      <c r="J1074">
        <v>1051</v>
      </c>
      <c r="K1074" s="10">
        <v>0.18897788949737948</v>
      </c>
      <c r="L1074" s="10">
        <v>0.28021092959570559</v>
      </c>
    </row>
    <row r="1075" spans="10:12" x14ac:dyDescent="0.3">
      <c r="J1075">
        <v>1052</v>
      </c>
      <c r="K1075" s="10">
        <v>0.24628590720127247</v>
      </c>
      <c r="L1075" s="10">
        <v>-6.0075198036096955E-2</v>
      </c>
    </row>
    <row r="1076" spans="10:12" x14ac:dyDescent="0.3">
      <c r="J1076">
        <v>1053</v>
      </c>
      <c r="K1076" s="10">
        <v>0.21440558039044652</v>
      </c>
      <c r="L1076" s="10">
        <v>0.55018017189054635</v>
      </c>
    </row>
    <row r="1077" spans="10:12" x14ac:dyDescent="0.3">
      <c r="J1077">
        <v>1054</v>
      </c>
      <c r="K1077" s="10">
        <v>0.18961532169770973</v>
      </c>
      <c r="L1077" s="10">
        <v>0.28224816919192391</v>
      </c>
    </row>
    <row r="1078" spans="10:12" x14ac:dyDescent="0.3">
      <c r="J1078">
        <v>1055</v>
      </c>
      <c r="K1078" s="10">
        <v>0.19375620011308795</v>
      </c>
      <c r="L1078" s="10">
        <v>0.19450507050110064</v>
      </c>
    </row>
    <row r="1079" spans="10:12" x14ac:dyDescent="0.3">
      <c r="J1079">
        <v>1056</v>
      </c>
      <c r="K1079" s="10">
        <v>0.20331720189098815</v>
      </c>
      <c r="L1079" s="10">
        <v>0.15179342630185283</v>
      </c>
    </row>
    <row r="1080" spans="10:12" x14ac:dyDescent="0.3">
      <c r="J1080">
        <v>1057</v>
      </c>
      <c r="K1080" s="10">
        <v>0.20184933396319299</v>
      </c>
      <c r="L1080" s="10">
        <v>0.20999905588324813</v>
      </c>
    </row>
    <row r="1081" spans="10:12" x14ac:dyDescent="0.3">
      <c r="J1081">
        <v>1058</v>
      </c>
      <c r="K1081" s="10">
        <v>0.19688266527567194</v>
      </c>
      <c r="L1081" s="10">
        <v>0.17330453575799065</v>
      </c>
    </row>
    <row r="1082" spans="10:12" x14ac:dyDescent="0.3">
      <c r="J1082">
        <v>1059</v>
      </c>
      <c r="K1082" s="10">
        <v>0.20462592619024569</v>
      </c>
      <c r="L1082" s="10">
        <v>0.47824771824593937</v>
      </c>
    </row>
    <row r="1083" spans="10:12" x14ac:dyDescent="0.3">
      <c r="J1083">
        <v>1060</v>
      </c>
      <c r="K1083" s="10">
        <v>0.20685720471530877</v>
      </c>
      <c r="L1083" s="10">
        <v>0.18644270474236374</v>
      </c>
    </row>
    <row r="1084" spans="10:12" x14ac:dyDescent="0.3">
      <c r="J1084">
        <v>1061</v>
      </c>
      <c r="K1084" s="10">
        <v>0.20892664596761504</v>
      </c>
      <c r="L1084" s="10">
        <v>9.5444728840691065E-2</v>
      </c>
    </row>
    <row r="1085" spans="10:12" x14ac:dyDescent="0.3">
      <c r="J1085">
        <v>1062</v>
      </c>
      <c r="K1085" s="10">
        <v>0.19848940221070052</v>
      </c>
      <c r="L1085" s="10">
        <v>0.45079193494033343</v>
      </c>
    </row>
    <row r="1086" spans="10:12" x14ac:dyDescent="0.3">
      <c r="J1086">
        <v>1063</v>
      </c>
      <c r="K1086" s="10">
        <v>0.20206841731868183</v>
      </c>
      <c r="L1086" s="10">
        <v>0.23547785609531793</v>
      </c>
    </row>
    <row r="1087" spans="10:12" x14ac:dyDescent="0.3">
      <c r="J1087">
        <v>1064</v>
      </c>
      <c r="K1087" s="10">
        <v>0.2130460277317571</v>
      </c>
      <c r="L1087" s="10">
        <v>0.15467725958961764</v>
      </c>
    </row>
    <row r="1088" spans="10:12" x14ac:dyDescent="0.3">
      <c r="J1088">
        <v>1065</v>
      </c>
      <c r="K1088" s="10">
        <v>0.20316761263649899</v>
      </c>
      <c r="L1088" s="10">
        <v>0.13509300068021712</v>
      </c>
    </row>
    <row r="1089" spans="10:12" x14ac:dyDescent="0.3">
      <c r="J1089">
        <v>1066</v>
      </c>
      <c r="K1089" s="10">
        <v>0.19472543480068671</v>
      </c>
      <c r="L1089" s="10">
        <v>0.37936087224332071</v>
      </c>
    </row>
    <row r="1090" spans="10:12" x14ac:dyDescent="0.3">
      <c r="J1090">
        <v>1067</v>
      </c>
      <c r="K1090" s="10">
        <v>0.23185022234102079</v>
      </c>
      <c r="L1090" s="10">
        <v>1.4416264294864339E-2</v>
      </c>
    </row>
    <row r="1091" spans="10:12" x14ac:dyDescent="0.3">
      <c r="J1091">
        <v>1068</v>
      </c>
      <c r="K1091" s="10">
        <v>0.21072400486269008</v>
      </c>
      <c r="L1091" s="10">
        <v>0.40924458481844039</v>
      </c>
    </row>
    <row r="1092" spans="10:12" x14ac:dyDescent="0.3">
      <c r="J1092">
        <v>1069</v>
      </c>
      <c r="K1092" s="10">
        <v>0.20233834861905256</v>
      </c>
      <c r="L1092" s="10">
        <v>0.45384539274841035</v>
      </c>
    </row>
    <row r="1093" spans="10:12" x14ac:dyDescent="0.3">
      <c r="J1093">
        <v>1070</v>
      </c>
      <c r="K1093" s="10">
        <v>0.19104630250461774</v>
      </c>
      <c r="L1093" s="10">
        <v>0.33406033593148476</v>
      </c>
    </row>
    <row r="1094" spans="10:12" x14ac:dyDescent="0.3">
      <c r="J1094">
        <v>1071</v>
      </c>
      <c r="K1094" s="10">
        <v>0.20596294129446868</v>
      </c>
      <c r="L1094" s="10">
        <v>0.34970988886848481</v>
      </c>
    </row>
    <row r="1095" spans="10:12" x14ac:dyDescent="0.3">
      <c r="J1095">
        <v>1072</v>
      </c>
      <c r="K1095" s="10">
        <v>0.19974751817766548</v>
      </c>
      <c r="L1095" s="10">
        <v>0.15049116985007954</v>
      </c>
    </row>
    <row r="1096" spans="10:12" x14ac:dyDescent="0.3">
      <c r="J1096">
        <v>1073</v>
      </c>
      <c r="K1096" s="10">
        <v>0.19275225229716475</v>
      </c>
      <c r="L1096" s="10">
        <v>0.22338531623679145</v>
      </c>
    </row>
    <row r="1097" spans="10:12" x14ac:dyDescent="0.3">
      <c r="J1097">
        <v>1074</v>
      </c>
      <c r="K1097" s="10">
        <v>0.20172566934132191</v>
      </c>
      <c r="L1097" s="10">
        <v>0.2735921924039848</v>
      </c>
    </row>
    <row r="1098" spans="10:12" x14ac:dyDescent="0.3">
      <c r="J1098">
        <v>1075</v>
      </c>
      <c r="K1098" s="10">
        <v>0.22008893663601628</v>
      </c>
      <c r="L1098" s="10">
        <v>0.38627882006197833</v>
      </c>
    </row>
    <row r="1099" spans="10:12" x14ac:dyDescent="0.3">
      <c r="J1099">
        <v>1076</v>
      </c>
      <c r="K1099" s="10">
        <v>0.18938267076966847</v>
      </c>
      <c r="L1099" s="10">
        <v>0.2659217704522267</v>
      </c>
    </row>
    <row r="1100" spans="10:12" x14ac:dyDescent="0.3">
      <c r="J1100">
        <v>1077</v>
      </c>
      <c r="K1100" s="10">
        <v>0.19656652985660292</v>
      </c>
      <c r="L1100" s="10">
        <v>0.26025268234103438</v>
      </c>
    </row>
    <row r="1101" spans="10:12" x14ac:dyDescent="0.3">
      <c r="J1101">
        <v>1078</v>
      </c>
      <c r="K1101" s="10">
        <v>0.34990327479025041</v>
      </c>
      <c r="L1101" s="10">
        <v>-9.26199199728443E-2</v>
      </c>
    </row>
    <row r="1102" spans="10:12" x14ac:dyDescent="0.3">
      <c r="J1102">
        <v>1079</v>
      </c>
      <c r="K1102" s="10">
        <v>0.2425811968915989</v>
      </c>
      <c r="L1102" s="10">
        <v>-1.1676076819703216E-2</v>
      </c>
    </row>
    <row r="1103" spans="10:12" x14ac:dyDescent="0.3">
      <c r="J1103">
        <v>1080</v>
      </c>
      <c r="K1103" s="10">
        <v>0.19447316318738445</v>
      </c>
      <c r="L1103" s="10">
        <v>0.42458870724907605</v>
      </c>
    </row>
    <row r="1104" spans="10:12" x14ac:dyDescent="0.3">
      <c r="J1104">
        <v>1081</v>
      </c>
      <c r="K1104" s="10">
        <v>0.20493208964468992</v>
      </c>
      <c r="L1104" s="10">
        <v>0.12899119038678558</v>
      </c>
    </row>
    <row r="1105" spans="10:12" x14ac:dyDescent="0.3">
      <c r="J1105">
        <v>1082</v>
      </c>
      <c r="K1105" s="10">
        <v>0.19606498783623891</v>
      </c>
      <c r="L1105" s="10">
        <v>0.2035713732160811</v>
      </c>
    </row>
    <row r="1106" spans="10:12" x14ac:dyDescent="0.3">
      <c r="J1106">
        <v>1083</v>
      </c>
      <c r="K1106" s="10">
        <v>0.21801156289831725</v>
      </c>
      <c r="L1106" s="10">
        <v>0.36689027236206684</v>
      </c>
    </row>
    <row r="1107" spans="10:12" x14ac:dyDescent="0.3">
      <c r="J1107">
        <v>1084</v>
      </c>
      <c r="K1107" s="10">
        <v>0.22476249697996131</v>
      </c>
      <c r="L1107" s="10">
        <v>0.13041464493962074</v>
      </c>
    </row>
    <row r="1108" spans="10:12" x14ac:dyDescent="0.3">
      <c r="J1108">
        <v>1085</v>
      </c>
      <c r="K1108" s="10">
        <v>0.19072573524422368</v>
      </c>
      <c r="L1108" s="10">
        <v>0.24840115426578713</v>
      </c>
    </row>
    <row r="1109" spans="10:12" x14ac:dyDescent="0.3">
      <c r="J1109">
        <v>1086</v>
      </c>
      <c r="K1109" s="10">
        <v>0.23081116458824721</v>
      </c>
      <c r="L1109" s="10">
        <v>0.37534975958163935</v>
      </c>
    </row>
    <row r="1110" spans="10:12" x14ac:dyDescent="0.3">
      <c r="J1110">
        <v>1087</v>
      </c>
      <c r="K1110" s="10">
        <v>0.20855043764022341</v>
      </c>
      <c r="L1110" s="10">
        <v>0.52117186043882879</v>
      </c>
    </row>
    <row r="1111" spans="10:12" x14ac:dyDescent="0.3">
      <c r="J1111">
        <v>1088</v>
      </c>
      <c r="K1111" s="10">
        <v>0.1994664459120144</v>
      </c>
      <c r="L1111" s="10">
        <v>0.45524069519014987</v>
      </c>
    </row>
    <row r="1112" spans="10:12" x14ac:dyDescent="0.3">
      <c r="J1112">
        <v>1089</v>
      </c>
      <c r="K1112" s="10">
        <v>0.21709059066503544</v>
      </c>
      <c r="L1112" s="10">
        <v>0.40458848823577159</v>
      </c>
    </row>
    <row r="1113" spans="10:12" x14ac:dyDescent="0.3">
      <c r="J1113">
        <v>1090</v>
      </c>
      <c r="K1113" s="10">
        <v>0.23585300439414458</v>
      </c>
      <c r="L1113" s="10">
        <v>6.8972820491352421E-3</v>
      </c>
    </row>
    <row r="1114" spans="10:12" x14ac:dyDescent="0.3">
      <c r="J1114">
        <v>1091</v>
      </c>
      <c r="K1114" s="10">
        <v>0.20033924863034272</v>
      </c>
      <c r="L1114" s="10">
        <v>0.4335422749564713</v>
      </c>
    </row>
    <row r="1115" spans="10:12" x14ac:dyDescent="0.3">
      <c r="J1115">
        <v>1092</v>
      </c>
      <c r="K1115" s="10">
        <v>0.19978083656555301</v>
      </c>
      <c r="L1115" s="10">
        <v>0.25047244421052262</v>
      </c>
    </row>
    <row r="1116" spans="10:12" x14ac:dyDescent="0.3">
      <c r="J1116">
        <v>1093</v>
      </c>
      <c r="K1116" s="10">
        <v>0.19360243389627363</v>
      </c>
      <c r="L1116" s="10">
        <v>0.24267913364302518</v>
      </c>
    </row>
    <row r="1117" spans="10:12" x14ac:dyDescent="0.3">
      <c r="J1117">
        <v>1094</v>
      </c>
      <c r="K1117" s="10">
        <v>0.24631647644283333</v>
      </c>
      <c r="L1117" s="10">
        <v>0.11147302824321176</v>
      </c>
    </row>
    <row r="1118" spans="10:12" x14ac:dyDescent="0.3">
      <c r="J1118">
        <v>1095</v>
      </c>
      <c r="K1118" s="10">
        <v>0.19335574161709412</v>
      </c>
      <c r="L1118" s="10">
        <v>0.37319187207708682</v>
      </c>
    </row>
    <row r="1119" spans="10:12" x14ac:dyDescent="0.3">
      <c r="J1119">
        <v>1096</v>
      </c>
      <c r="K1119" s="10">
        <v>0.19133248894128213</v>
      </c>
      <c r="L1119" s="10">
        <v>0.30215089170714848</v>
      </c>
    </row>
    <row r="1120" spans="10:12" x14ac:dyDescent="0.3">
      <c r="J1120">
        <v>1097</v>
      </c>
      <c r="K1120" s="10">
        <v>0.19009282307621866</v>
      </c>
      <c r="L1120" s="10">
        <v>0.3147629358461117</v>
      </c>
    </row>
    <row r="1121" spans="10:12" x14ac:dyDescent="0.3">
      <c r="J1121">
        <v>1098</v>
      </c>
      <c r="K1121" s="10">
        <v>0.20746229405873542</v>
      </c>
      <c r="L1121" s="10">
        <v>0.31624174350272022</v>
      </c>
    </row>
    <row r="1122" spans="10:12" x14ac:dyDescent="0.3">
      <c r="J1122">
        <v>1099</v>
      </c>
      <c r="K1122" s="10">
        <v>0.19175474808229015</v>
      </c>
      <c r="L1122" s="10">
        <v>0.38565384459179108</v>
      </c>
    </row>
    <row r="1123" spans="10:12" x14ac:dyDescent="0.3">
      <c r="J1123">
        <v>1100</v>
      </c>
      <c r="K1123" s="10">
        <v>0.24559143860338212</v>
      </c>
      <c r="L1123" s="10">
        <v>-6.5389446096152951E-2</v>
      </c>
    </row>
    <row r="1124" spans="10:12" x14ac:dyDescent="0.3">
      <c r="J1124">
        <v>1101</v>
      </c>
      <c r="K1124" s="10">
        <v>0.20141848715592686</v>
      </c>
      <c r="L1124" s="10">
        <v>0.25180830415650868</v>
      </c>
    </row>
    <row r="1125" spans="10:12" x14ac:dyDescent="0.3">
      <c r="J1125">
        <v>1102</v>
      </c>
      <c r="K1125" s="10">
        <v>0.19118349226802606</v>
      </c>
      <c r="L1125" s="10">
        <v>0.25068313836796396</v>
      </c>
    </row>
    <row r="1126" spans="10:12" x14ac:dyDescent="0.3">
      <c r="J1126">
        <v>1103</v>
      </c>
      <c r="K1126" s="10">
        <v>0.19940621911335099</v>
      </c>
      <c r="L1126" s="10">
        <v>0.39626211616952439</v>
      </c>
    </row>
    <row r="1127" spans="10:12" x14ac:dyDescent="0.3">
      <c r="J1127">
        <v>1104</v>
      </c>
      <c r="K1127" s="10">
        <v>0.19334716223175302</v>
      </c>
      <c r="L1127" s="10">
        <v>0.20493331530717698</v>
      </c>
    </row>
    <row r="1128" spans="10:12" x14ac:dyDescent="0.3">
      <c r="J1128">
        <v>1105</v>
      </c>
      <c r="K1128" s="10">
        <v>0.1887520807196387</v>
      </c>
      <c r="L1128" s="10">
        <v>0.31637559623802436</v>
      </c>
    </row>
    <row r="1129" spans="10:12" x14ac:dyDescent="0.3">
      <c r="J1129">
        <v>1106</v>
      </c>
      <c r="K1129" s="10">
        <v>0.20845068662102234</v>
      </c>
      <c r="L1129" s="10">
        <v>8.5675272679198416E-2</v>
      </c>
    </row>
    <row r="1130" spans="10:12" x14ac:dyDescent="0.3">
      <c r="J1130">
        <v>1107</v>
      </c>
      <c r="K1130" s="10">
        <v>0.25720458713995081</v>
      </c>
      <c r="L1130" s="10">
        <v>-8.3228500819669565E-2</v>
      </c>
    </row>
    <row r="1131" spans="10:12" x14ac:dyDescent="0.3">
      <c r="J1131">
        <v>1108</v>
      </c>
      <c r="K1131" s="10">
        <v>0.208146666443078</v>
      </c>
      <c r="L1131" s="10">
        <v>0.51232004239086781</v>
      </c>
    </row>
    <row r="1132" spans="10:12" x14ac:dyDescent="0.3">
      <c r="J1132">
        <v>1109</v>
      </c>
      <c r="K1132" s="10">
        <v>0.22052706082982901</v>
      </c>
      <c r="L1132" s="10">
        <v>0.32350797466675468</v>
      </c>
    </row>
    <row r="1133" spans="10:12" x14ac:dyDescent="0.3">
      <c r="J1133">
        <v>1110</v>
      </c>
      <c r="K1133" s="10">
        <v>0.2309060172675442</v>
      </c>
      <c r="L1133" s="10">
        <v>6.7624459507149542E-2</v>
      </c>
    </row>
    <row r="1134" spans="10:12" x14ac:dyDescent="0.3">
      <c r="J1134">
        <v>1111</v>
      </c>
      <c r="K1134" s="10">
        <v>0.20071119152595754</v>
      </c>
      <c r="L1134" s="10">
        <v>0.4015883298190141</v>
      </c>
    </row>
    <row r="1135" spans="10:12" x14ac:dyDescent="0.3">
      <c r="J1135">
        <v>1112</v>
      </c>
      <c r="K1135" s="10">
        <v>0.21347490182882106</v>
      </c>
      <c r="L1135" s="10">
        <v>0.55264608244916069</v>
      </c>
    </row>
    <row r="1136" spans="10:12" x14ac:dyDescent="0.3">
      <c r="J1136">
        <v>1113</v>
      </c>
      <c r="K1136" s="10">
        <v>0.20122293481525982</v>
      </c>
      <c r="L1136" s="10">
        <v>0.13261309098377128</v>
      </c>
    </row>
    <row r="1137" spans="10:12" x14ac:dyDescent="0.3">
      <c r="J1137">
        <v>1114</v>
      </c>
      <c r="K1137" s="10">
        <v>0.20434905122738464</v>
      </c>
      <c r="L1137" s="10">
        <v>0.14752958882514752</v>
      </c>
    </row>
    <row r="1138" spans="10:12" x14ac:dyDescent="0.3">
      <c r="J1138">
        <v>1115</v>
      </c>
      <c r="K1138" s="10">
        <v>0.19322050828341919</v>
      </c>
      <c r="L1138" s="10">
        <v>0.36344184810441832</v>
      </c>
    </row>
    <row r="1139" spans="10:12" x14ac:dyDescent="0.3">
      <c r="J1139">
        <v>1116</v>
      </c>
      <c r="K1139" s="10">
        <v>0.23337853581915727</v>
      </c>
      <c r="L1139" s="10">
        <v>0.37863308522923422</v>
      </c>
    </row>
    <row r="1140" spans="10:12" x14ac:dyDescent="0.3">
      <c r="J1140">
        <v>1117</v>
      </c>
      <c r="K1140" s="10">
        <v>0.19897663645384084</v>
      </c>
      <c r="L1140" s="10">
        <v>0.39006715721411245</v>
      </c>
    </row>
    <row r="1141" spans="10:12" x14ac:dyDescent="0.3">
      <c r="J1141">
        <v>1118</v>
      </c>
      <c r="K1141" s="10">
        <v>0.20477145965694027</v>
      </c>
      <c r="L1141" s="10">
        <v>0.37583411449651111</v>
      </c>
    </row>
    <row r="1142" spans="10:12" x14ac:dyDescent="0.3">
      <c r="J1142">
        <v>1119</v>
      </c>
      <c r="K1142" s="10">
        <v>0.19159960730091102</v>
      </c>
      <c r="L1142" s="10">
        <v>0.22393878419155955</v>
      </c>
    </row>
    <row r="1143" spans="10:12" x14ac:dyDescent="0.3">
      <c r="J1143">
        <v>1120</v>
      </c>
      <c r="K1143" s="10">
        <v>0.22549023748374203</v>
      </c>
      <c r="L1143" s="10">
        <v>0.53836488831031226</v>
      </c>
    </row>
    <row r="1144" spans="10:12" x14ac:dyDescent="0.3">
      <c r="J1144">
        <v>1121</v>
      </c>
      <c r="K1144" s="10">
        <v>0.19545074654233965</v>
      </c>
      <c r="L1144" s="10">
        <v>0.41011889847775584</v>
      </c>
    </row>
    <row r="1145" spans="10:12" x14ac:dyDescent="0.3">
      <c r="J1145">
        <v>1122</v>
      </c>
      <c r="K1145" s="10">
        <v>0.23792968714662538</v>
      </c>
      <c r="L1145" s="10">
        <v>-6.4595243956030918E-2</v>
      </c>
    </row>
    <row r="1146" spans="10:12" x14ac:dyDescent="0.3">
      <c r="J1146">
        <v>1123</v>
      </c>
      <c r="K1146" s="10">
        <v>0.21077144118275212</v>
      </c>
      <c r="L1146" s="10">
        <v>0.54822355230328734</v>
      </c>
    </row>
    <row r="1147" spans="10:12" x14ac:dyDescent="0.3">
      <c r="J1147">
        <v>1124</v>
      </c>
      <c r="K1147" s="10">
        <v>0.19226096665267628</v>
      </c>
      <c r="L1147" s="10">
        <v>0.40015125936132401</v>
      </c>
    </row>
    <row r="1148" spans="10:12" x14ac:dyDescent="0.3">
      <c r="J1148">
        <v>1125</v>
      </c>
      <c r="K1148" s="10">
        <v>0.19655716236805015</v>
      </c>
      <c r="L1148" s="10">
        <v>0.1696553742563528</v>
      </c>
    </row>
    <row r="1149" spans="10:12" x14ac:dyDescent="0.3">
      <c r="J1149">
        <v>1126</v>
      </c>
      <c r="K1149" s="10">
        <v>0.19141465341999431</v>
      </c>
      <c r="L1149" s="10">
        <v>0.32393994029289541</v>
      </c>
    </row>
    <row r="1150" spans="10:12" x14ac:dyDescent="0.3">
      <c r="J1150">
        <v>1127</v>
      </c>
      <c r="K1150" s="10">
        <v>0.29525351172354647</v>
      </c>
      <c r="L1150" s="10">
        <v>6.9902074919133445E-2</v>
      </c>
    </row>
    <row r="1151" spans="10:12" x14ac:dyDescent="0.3">
      <c r="J1151">
        <v>1128</v>
      </c>
      <c r="K1151" s="10">
        <v>0.21848352571113908</v>
      </c>
      <c r="L1151" s="10">
        <v>0.54512534635868437</v>
      </c>
    </row>
    <row r="1152" spans="10:12" x14ac:dyDescent="0.3">
      <c r="J1152">
        <v>1129</v>
      </c>
      <c r="K1152" s="10">
        <v>0.21295421556901672</v>
      </c>
      <c r="L1152" s="10">
        <v>0.37163603787816885</v>
      </c>
    </row>
    <row r="1153" spans="10:12" x14ac:dyDescent="0.3">
      <c r="J1153">
        <v>1130</v>
      </c>
      <c r="K1153" s="10">
        <v>0.21429444799837954</v>
      </c>
      <c r="L1153" s="10">
        <v>0.18218830507536202</v>
      </c>
    </row>
    <row r="1154" spans="10:12" x14ac:dyDescent="0.3">
      <c r="J1154">
        <v>1131</v>
      </c>
      <c r="K1154" s="10">
        <v>0.19305989027346512</v>
      </c>
      <c r="L1154" s="10">
        <v>0.41109442210848729</v>
      </c>
    </row>
    <row r="1155" spans="10:12" x14ac:dyDescent="0.3">
      <c r="J1155">
        <v>1132</v>
      </c>
      <c r="K1155" s="10">
        <v>0.21250897762603596</v>
      </c>
      <c r="L1155" s="10">
        <v>0.53881664107915894</v>
      </c>
    </row>
    <row r="1156" spans="10:12" x14ac:dyDescent="0.3">
      <c r="J1156">
        <v>1133</v>
      </c>
      <c r="K1156" s="10">
        <v>0.23839763199181038</v>
      </c>
      <c r="L1156" s="10">
        <v>0.17255040099622015</v>
      </c>
    </row>
    <row r="1157" spans="10:12" x14ac:dyDescent="0.3">
      <c r="J1157">
        <v>1134</v>
      </c>
      <c r="K1157" s="10">
        <v>0.19063749371489722</v>
      </c>
      <c r="L1157" s="10">
        <v>0.37715394359736215</v>
      </c>
    </row>
    <row r="1158" spans="10:12" x14ac:dyDescent="0.3">
      <c r="J1158">
        <v>1135</v>
      </c>
      <c r="K1158" s="10">
        <v>0.21518028350873641</v>
      </c>
      <c r="L1158" s="10">
        <v>0.36917400463394634</v>
      </c>
    </row>
    <row r="1159" spans="10:12" x14ac:dyDescent="0.3">
      <c r="J1159">
        <v>1136</v>
      </c>
      <c r="K1159" s="10">
        <v>0.27324960393550812</v>
      </c>
      <c r="L1159" s="10">
        <v>0.17676184973391659</v>
      </c>
    </row>
    <row r="1160" spans="10:12" x14ac:dyDescent="0.3">
      <c r="J1160">
        <v>1137</v>
      </c>
      <c r="K1160" s="10">
        <v>0.19545836335193237</v>
      </c>
      <c r="L1160" s="10">
        <v>0.17637290410791193</v>
      </c>
    </row>
    <row r="1161" spans="10:12" x14ac:dyDescent="0.3">
      <c r="J1161">
        <v>1138</v>
      </c>
      <c r="K1161" s="10">
        <v>0.1928246686554165</v>
      </c>
      <c r="L1161" s="10">
        <v>0.40823577592619742</v>
      </c>
    </row>
    <row r="1162" spans="10:12" x14ac:dyDescent="0.3">
      <c r="J1162">
        <v>1139</v>
      </c>
      <c r="K1162" s="10">
        <v>0.24765695716075065</v>
      </c>
      <c r="L1162" s="10">
        <v>0.70344440976361178</v>
      </c>
    </row>
    <row r="1163" spans="10:12" x14ac:dyDescent="0.3">
      <c r="J1163">
        <v>1140</v>
      </c>
      <c r="K1163" s="10">
        <v>0.19601447256229496</v>
      </c>
      <c r="L1163" s="10">
        <v>0.40763805579990542</v>
      </c>
    </row>
    <row r="1164" spans="10:12" x14ac:dyDescent="0.3">
      <c r="J1164">
        <v>1141</v>
      </c>
      <c r="K1164" s="10">
        <v>0.19582127420373485</v>
      </c>
      <c r="L1164" s="10">
        <v>0.19297098893584574</v>
      </c>
    </row>
    <row r="1165" spans="10:12" x14ac:dyDescent="0.3">
      <c r="J1165">
        <v>1142</v>
      </c>
      <c r="K1165" s="10">
        <v>0.20806242757547472</v>
      </c>
      <c r="L1165" s="10">
        <v>0.12572257932023567</v>
      </c>
    </row>
    <row r="1166" spans="10:12" x14ac:dyDescent="0.3">
      <c r="J1166">
        <v>1143</v>
      </c>
      <c r="K1166" s="10">
        <v>0.2157001793439686</v>
      </c>
      <c r="L1166" s="10">
        <v>0.5221104536694221</v>
      </c>
    </row>
    <row r="1167" spans="10:12" x14ac:dyDescent="0.3">
      <c r="J1167">
        <v>1144</v>
      </c>
      <c r="K1167" s="10">
        <v>0.25251080746789395</v>
      </c>
      <c r="L1167" s="10">
        <v>0.73784975964691824</v>
      </c>
    </row>
    <row r="1168" spans="10:12" x14ac:dyDescent="0.3">
      <c r="J1168">
        <v>1145</v>
      </c>
      <c r="K1168" s="10">
        <v>0.25970689514907497</v>
      </c>
      <c r="L1168" s="10">
        <v>-9.1294348687198185E-2</v>
      </c>
    </row>
    <row r="1169" spans="10:12" x14ac:dyDescent="0.3">
      <c r="J1169">
        <v>1146</v>
      </c>
      <c r="K1169" s="10">
        <v>0.19404358068738087</v>
      </c>
      <c r="L1169" s="10">
        <v>0.2508121211414519</v>
      </c>
    </row>
    <row r="1170" spans="10:12" x14ac:dyDescent="0.3">
      <c r="J1170">
        <v>1147</v>
      </c>
      <c r="K1170" s="10">
        <v>0.1924629612188003</v>
      </c>
      <c r="L1170" s="10">
        <v>0.31382843113233505</v>
      </c>
    </row>
    <row r="1171" spans="10:12" x14ac:dyDescent="0.3">
      <c r="J1171">
        <v>1148</v>
      </c>
      <c r="K1171" s="10">
        <v>0.24086264635676333</v>
      </c>
      <c r="L1171" s="10">
        <v>6.2004236557394704E-2</v>
      </c>
    </row>
    <row r="1172" spans="10:12" x14ac:dyDescent="0.3">
      <c r="J1172">
        <v>1149</v>
      </c>
      <c r="K1172" s="10">
        <v>0.2511114299342766</v>
      </c>
      <c r="L1172" s="10">
        <v>2.5558191950362543E-2</v>
      </c>
    </row>
    <row r="1173" spans="10:12" x14ac:dyDescent="0.3">
      <c r="J1173">
        <v>1150</v>
      </c>
      <c r="K1173" s="10">
        <v>0.23000651755897283</v>
      </c>
      <c r="L1173" s="10">
        <v>0.38502353795509819</v>
      </c>
    </row>
    <row r="1174" spans="10:12" x14ac:dyDescent="0.3">
      <c r="J1174">
        <v>1151</v>
      </c>
      <c r="K1174" s="10">
        <v>0.19750803202917294</v>
      </c>
      <c r="L1174" s="10">
        <v>0.45354043402484495</v>
      </c>
    </row>
    <row r="1175" spans="10:12" x14ac:dyDescent="0.3">
      <c r="J1175">
        <v>1152</v>
      </c>
      <c r="K1175" s="10">
        <v>0.19210889101208037</v>
      </c>
      <c r="L1175" s="10">
        <v>0.28063546328988559</v>
      </c>
    </row>
    <row r="1176" spans="10:12" x14ac:dyDescent="0.3">
      <c r="J1176">
        <v>1153</v>
      </c>
      <c r="K1176" s="10">
        <v>0.2473033034005532</v>
      </c>
      <c r="L1176" s="10">
        <v>-5.0310899781809859E-2</v>
      </c>
    </row>
    <row r="1177" spans="10:12" x14ac:dyDescent="0.3">
      <c r="J1177">
        <v>1154</v>
      </c>
      <c r="K1177" s="10">
        <v>0.21902845017226438</v>
      </c>
      <c r="L1177" s="10">
        <v>4.9634484428315064E-2</v>
      </c>
    </row>
    <row r="1178" spans="10:12" x14ac:dyDescent="0.3">
      <c r="J1178">
        <v>1155</v>
      </c>
      <c r="K1178" s="10">
        <v>0.25508438755026031</v>
      </c>
      <c r="L1178" s="10">
        <v>9.5764369511157951E-2</v>
      </c>
    </row>
    <row r="1179" spans="10:12" x14ac:dyDescent="0.3">
      <c r="J1179">
        <v>1156</v>
      </c>
      <c r="K1179" s="10">
        <v>0.21014429212585006</v>
      </c>
      <c r="L1179" s="10">
        <v>9.8038977178347059E-2</v>
      </c>
    </row>
    <row r="1180" spans="10:12" x14ac:dyDescent="0.3">
      <c r="J1180">
        <v>1157</v>
      </c>
      <c r="K1180" s="10">
        <v>0.21705008674380566</v>
      </c>
      <c r="L1180" s="10">
        <v>0.47576298097331998</v>
      </c>
    </row>
    <row r="1181" spans="10:12" x14ac:dyDescent="0.3">
      <c r="J1181">
        <v>1158</v>
      </c>
      <c r="K1181" s="10">
        <v>0.26582301412041431</v>
      </c>
      <c r="L1181" s="10">
        <v>-6.1134099636428532E-2</v>
      </c>
    </row>
    <row r="1182" spans="10:12" x14ac:dyDescent="0.3">
      <c r="J1182">
        <v>1159</v>
      </c>
      <c r="K1182" s="10">
        <v>0.2305326243657134</v>
      </c>
      <c r="L1182" s="10">
        <v>4.0143951461490551E-3</v>
      </c>
    </row>
    <row r="1183" spans="10:12" x14ac:dyDescent="0.3">
      <c r="J1183">
        <v>1160</v>
      </c>
      <c r="K1183" s="10">
        <v>0.22920301327534739</v>
      </c>
      <c r="L1183" s="10">
        <v>0.61284688990405045</v>
      </c>
    </row>
    <row r="1184" spans="10:12" x14ac:dyDescent="0.3">
      <c r="J1184">
        <v>1161</v>
      </c>
      <c r="K1184" s="10">
        <v>0.19558122394335273</v>
      </c>
      <c r="L1184" s="10">
        <v>0.38424141245074561</v>
      </c>
    </row>
    <row r="1185" spans="10:12" x14ac:dyDescent="0.3">
      <c r="J1185">
        <v>1162</v>
      </c>
      <c r="K1185" s="10">
        <v>0.21748944719178526</v>
      </c>
      <c r="L1185" s="10">
        <v>0.44090371596488248</v>
      </c>
    </row>
    <row r="1186" spans="10:12" x14ac:dyDescent="0.3">
      <c r="J1186">
        <v>1163</v>
      </c>
      <c r="K1186" s="10">
        <v>0.2120435666716875</v>
      </c>
      <c r="L1186" s="10">
        <v>9.8548697273853264E-2</v>
      </c>
    </row>
    <row r="1187" spans="10:12" x14ac:dyDescent="0.3">
      <c r="J1187">
        <v>1164</v>
      </c>
      <c r="K1187" s="10">
        <v>0.25894306462516115</v>
      </c>
      <c r="L1187" s="10">
        <v>-1.9580691071921268E-2</v>
      </c>
    </row>
    <row r="1188" spans="10:12" x14ac:dyDescent="0.3">
      <c r="J1188">
        <v>1165</v>
      </c>
      <c r="K1188" s="10">
        <v>0.22799135535501097</v>
      </c>
      <c r="L1188" s="10">
        <v>1.4459508089732682E-2</v>
      </c>
    </row>
    <row r="1189" spans="10:12" x14ac:dyDescent="0.3">
      <c r="J1189">
        <v>1166</v>
      </c>
      <c r="K1189" s="10">
        <v>0.23795047152766821</v>
      </c>
      <c r="L1189" s="10">
        <v>-6.6894058120663819E-3</v>
      </c>
    </row>
    <row r="1190" spans="10:12" x14ac:dyDescent="0.3">
      <c r="J1190">
        <v>1167</v>
      </c>
      <c r="K1190" s="10">
        <v>0.25301384516518399</v>
      </c>
      <c r="L1190" s="10">
        <v>0.7398008993571511</v>
      </c>
    </row>
    <row r="1191" spans="10:12" x14ac:dyDescent="0.3">
      <c r="J1191">
        <v>1168</v>
      </c>
      <c r="K1191" s="10">
        <v>0.20051667371506501</v>
      </c>
      <c r="L1191" s="10">
        <v>0.1490552256341508</v>
      </c>
    </row>
    <row r="1192" spans="10:12" x14ac:dyDescent="0.3">
      <c r="J1192">
        <v>1169</v>
      </c>
      <c r="K1192" s="10">
        <v>0.1992270121583751</v>
      </c>
      <c r="L1192" s="10">
        <v>0.41658022614987888</v>
      </c>
    </row>
    <row r="1193" spans="10:12" x14ac:dyDescent="0.3">
      <c r="J1193">
        <v>1170</v>
      </c>
      <c r="K1193" s="10">
        <v>0.21894510937285311</v>
      </c>
      <c r="L1193" s="10">
        <v>0.11300593878588097</v>
      </c>
    </row>
    <row r="1194" spans="10:12" x14ac:dyDescent="0.3">
      <c r="J1194">
        <v>1171</v>
      </c>
      <c r="K1194" s="10">
        <v>0.22637217763771034</v>
      </c>
      <c r="L1194" s="10">
        <v>5.7922855327374075E-2</v>
      </c>
    </row>
    <row r="1195" spans="10:12" x14ac:dyDescent="0.3">
      <c r="J1195">
        <v>1172</v>
      </c>
      <c r="K1195" s="10">
        <v>0.24540771098802763</v>
      </c>
      <c r="L1195" s="10">
        <v>2.6524861599561765E-2</v>
      </c>
    </row>
    <row r="1196" spans="10:12" x14ac:dyDescent="0.3">
      <c r="J1196">
        <v>1173</v>
      </c>
      <c r="K1196" s="10">
        <v>0.22038050701918763</v>
      </c>
      <c r="L1196" s="10">
        <v>0.2887339176289645</v>
      </c>
    </row>
    <row r="1197" spans="10:12" x14ac:dyDescent="0.3">
      <c r="J1197">
        <v>1174</v>
      </c>
      <c r="K1197" s="10">
        <v>0.2259378576345685</v>
      </c>
      <c r="L1197" s="10">
        <v>0.46764396650493778</v>
      </c>
    </row>
    <row r="1198" spans="10:12" x14ac:dyDescent="0.3">
      <c r="J1198">
        <v>1175</v>
      </c>
      <c r="K1198" s="10">
        <v>0.22328643387894231</v>
      </c>
      <c r="L1198" s="10">
        <v>4.1107608185510944E-2</v>
      </c>
    </row>
    <row r="1199" spans="10:12" x14ac:dyDescent="0.3">
      <c r="J1199">
        <v>1176</v>
      </c>
      <c r="K1199" s="10">
        <v>0.20888756124371252</v>
      </c>
      <c r="L1199" s="10">
        <v>0.14207213738303981</v>
      </c>
    </row>
    <row r="1200" spans="10:12" x14ac:dyDescent="0.3">
      <c r="J1200">
        <v>1177</v>
      </c>
      <c r="K1200" s="10">
        <v>0.22046198523552443</v>
      </c>
      <c r="L1200" s="10">
        <v>0.23995710579633572</v>
      </c>
    </row>
    <row r="1201" spans="10:12" x14ac:dyDescent="0.3">
      <c r="J1201">
        <v>1178</v>
      </c>
      <c r="K1201" s="10">
        <v>0.23336588599561875</v>
      </c>
      <c r="L1201" s="10">
        <v>-3.7827134689608188E-2</v>
      </c>
    </row>
    <row r="1202" spans="10:12" x14ac:dyDescent="0.3">
      <c r="J1202">
        <v>1179</v>
      </c>
      <c r="K1202" s="10">
        <v>0.19914071040262551</v>
      </c>
      <c r="L1202" s="10">
        <v>0.43207085007342116</v>
      </c>
    </row>
    <row r="1203" spans="10:12" x14ac:dyDescent="0.3">
      <c r="J1203">
        <v>1180</v>
      </c>
      <c r="K1203" s="10">
        <v>0.18939772841604416</v>
      </c>
      <c r="L1203" s="10">
        <v>0.30183040775831976</v>
      </c>
    </row>
    <row r="1204" spans="10:12" x14ac:dyDescent="0.3">
      <c r="J1204">
        <v>1181</v>
      </c>
      <c r="K1204" s="10">
        <v>0.20346233792119373</v>
      </c>
      <c r="L1204" s="10">
        <v>0.15705702515480258</v>
      </c>
    </row>
    <row r="1205" spans="10:12" x14ac:dyDescent="0.3">
      <c r="J1205">
        <v>1182</v>
      </c>
      <c r="K1205" s="10">
        <v>0.22558851309912453</v>
      </c>
      <c r="L1205" s="10">
        <v>0.6098323022976857</v>
      </c>
    </row>
    <row r="1206" spans="10:12" x14ac:dyDescent="0.3">
      <c r="J1206">
        <v>1183</v>
      </c>
      <c r="K1206" s="10">
        <v>0.24278448585002718</v>
      </c>
      <c r="L1206" s="10">
        <v>1.0041158472884948E-2</v>
      </c>
    </row>
    <row r="1207" spans="10:12" x14ac:dyDescent="0.3">
      <c r="J1207">
        <v>1184</v>
      </c>
      <c r="K1207" s="10">
        <v>0.28566037220502932</v>
      </c>
      <c r="L1207" s="10">
        <v>5.6357814546014288E-2</v>
      </c>
    </row>
    <row r="1208" spans="10:12" x14ac:dyDescent="0.3">
      <c r="J1208">
        <v>1185</v>
      </c>
      <c r="K1208" s="10">
        <v>0.20204497138936206</v>
      </c>
      <c r="L1208" s="10">
        <v>0.17068046657948963</v>
      </c>
    </row>
    <row r="1209" spans="10:12" x14ac:dyDescent="0.3">
      <c r="J1209">
        <v>1186</v>
      </c>
      <c r="K1209" s="10">
        <v>0.30800361752079114</v>
      </c>
      <c r="L1209" s="10">
        <v>-4.9857560150032808E-2</v>
      </c>
    </row>
    <row r="1210" spans="10:12" x14ac:dyDescent="0.3">
      <c r="J1210">
        <v>1187</v>
      </c>
      <c r="K1210" s="10">
        <v>0.21602435834491571</v>
      </c>
      <c r="L1210" s="10">
        <v>0.35386742333652865</v>
      </c>
    </row>
    <row r="1211" spans="10:12" x14ac:dyDescent="0.3">
      <c r="J1211">
        <v>1188</v>
      </c>
      <c r="K1211" s="10">
        <v>0.18987942864425036</v>
      </c>
      <c r="L1211" s="10">
        <v>0.30100144688252795</v>
      </c>
    </row>
    <row r="1212" spans="10:12" x14ac:dyDescent="0.3">
      <c r="J1212">
        <v>1189</v>
      </c>
      <c r="K1212" s="10">
        <v>0.2396386890917287</v>
      </c>
      <c r="L1212" s="10">
        <v>0.25473908143020152</v>
      </c>
    </row>
    <row r="1213" spans="10:12" x14ac:dyDescent="0.3">
      <c r="J1213">
        <v>1190</v>
      </c>
      <c r="K1213" s="10">
        <v>0.19117654914694218</v>
      </c>
      <c r="L1213" s="10">
        <v>0.27601115288249267</v>
      </c>
    </row>
    <row r="1214" spans="10:12" x14ac:dyDescent="0.3">
      <c r="J1214">
        <v>1191</v>
      </c>
      <c r="K1214" s="10">
        <v>0.19150866458006977</v>
      </c>
      <c r="L1214" s="10">
        <v>0.35345886275549537</v>
      </c>
    </row>
    <row r="1215" spans="10:12" x14ac:dyDescent="0.3">
      <c r="J1215">
        <v>1192</v>
      </c>
      <c r="K1215" s="10">
        <v>0.19990771868902663</v>
      </c>
      <c r="L1215" s="10">
        <v>0.47107776837976784</v>
      </c>
    </row>
    <row r="1216" spans="10:12" x14ac:dyDescent="0.3">
      <c r="J1216">
        <v>1193</v>
      </c>
      <c r="K1216" s="10">
        <v>0.2159455026856793</v>
      </c>
      <c r="L1216" s="10">
        <v>4.0173930620481316E-2</v>
      </c>
    </row>
    <row r="1217" spans="10:12" x14ac:dyDescent="0.3">
      <c r="J1217">
        <v>1194</v>
      </c>
      <c r="K1217" s="10">
        <v>0.23055263874065923</v>
      </c>
      <c r="L1217" s="10">
        <v>9.2830747407519787E-2</v>
      </c>
    </row>
    <row r="1218" spans="10:12" x14ac:dyDescent="0.3">
      <c r="J1218">
        <v>1195</v>
      </c>
      <c r="K1218" s="10">
        <v>0.23151244755336814</v>
      </c>
      <c r="L1218" s="10">
        <v>1.9349957897990287E-2</v>
      </c>
    </row>
    <row r="1219" spans="10:12" x14ac:dyDescent="0.3">
      <c r="J1219">
        <v>1196</v>
      </c>
      <c r="K1219" s="10">
        <v>0.23289458203686139</v>
      </c>
      <c r="L1219" s="10">
        <v>0.62794567688581704</v>
      </c>
    </row>
    <row r="1220" spans="10:12" x14ac:dyDescent="0.3">
      <c r="J1220">
        <v>1197</v>
      </c>
      <c r="K1220" s="10">
        <v>0.23506875761442611</v>
      </c>
      <c r="L1220" s="10">
        <v>1.3615898541512371E-2</v>
      </c>
    </row>
    <row r="1221" spans="10:12" x14ac:dyDescent="0.3">
      <c r="J1221">
        <v>1198</v>
      </c>
      <c r="K1221" s="10">
        <v>0.22994787488395688</v>
      </c>
      <c r="L1221" s="10">
        <v>7.9154993461101469E-2</v>
      </c>
    </row>
    <row r="1222" spans="10:12" x14ac:dyDescent="0.3">
      <c r="J1222">
        <v>1199</v>
      </c>
      <c r="K1222" s="10">
        <v>0.23489043305816426</v>
      </c>
      <c r="L1222" s="10">
        <v>0.18384327107565579</v>
      </c>
    </row>
    <row r="1223" spans="10:12" x14ac:dyDescent="0.3">
      <c r="J1223">
        <v>1200</v>
      </c>
      <c r="K1223" s="10">
        <v>0.23105581670593428</v>
      </c>
      <c r="L1223" s="10">
        <v>0.22544131698649533</v>
      </c>
    </row>
    <row r="1224" spans="10:12" x14ac:dyDescent="0.3">
      <c r="J1224">
        <v>1201</v>
      </c>
      <c r="K1224" s="10">
        <v>0.19445098962591917</v>
      </c>
      <c r="L1224" s="10">
        <v>0.41434573405502911</v>
      </c>
    </row>
    <row r="1225" spans="10:12" x14ac:dyDescent="0.3">
      <c r="J1225">
        <v>1202</v>
      </c>
      <c r="K1225" s="10">
        <v>0.2366667746851209</v>
      </c>
      <c r="L1225" s="10">
        <v>4.6496299445228366E-2</v>
      </c>
    </row>
    <row r="1226" spans="10:12" x14ac:dyDescent="0.3">
      <c r="J1226">
        <v>1203</v>
      </c>
      <c r="K1226" s="10">
        <v>0.24017897903126958</v>
      </c>
      <c r="L1226" s="10">
        <v>0.30686119888356839</v>
      </c>
    </row>
    <row r="1227" spans="10:12" x14ac:dyDescent="0.3">
      <c r="J1227">
        <v>1204</v>
      </c>
      <c r="K1227" s="10">
        <v>0.21411353113354925</v>
      </c>
      <c r="L1227" s="10">
        <v>0.24872907258736493</v>
      </c>
    </row>
    <row r="1228" spans="10:12" x14ac:dyDescent="0.3">
      <c r="J1228">
        <v>1205</v>
      </c>
      <c r="K1228" s="10">
        <v>0.19057838825901283</v>
      </c>
      <c r="L1228" s="10">
        <v>0.3547462296765016</v>
      </c>
    </row>
    <row r="1229" spans="10:12" x14ac:dyDescent="0.3">
      <c r="J1229">
        <v>1206</v>
      </c>
      <c r="K1229" s="10">
        <v>0.20038892184669585</v>
      </c>
      <c r="L1229" s="10">
        <v>0.15641834903301899</v>
      </c>
    </row>
    <row r="1230" spans="10:12" x14ac:dyDescent="0.3">
      <c r="J1230">
        <v>1207</v>
      </c>
      <c r="K1230" s="10">
        <v>0.2118864033064386</v>
      </c>
      <c r="L1230" s="10">
        <v>0.36043333333290428</v>
      </c>
    </row>
    <row r="1231" spans="10:12" x14ac:dyDescent="0.3">
      <c r="J1231">
        <v>1208</v>
      </c>
      <c r="K1231" s="10">
        <v>0.27010836693183593</v>
      </c>
      <c r="L1231" s="10">
        <v>-2.3596593385838353E-2</v>
      </c>
    </row>
    <row r="1232" spans="10:12" x14ac:dyDescent="0.3">
      <c r="J1232">
        <v>1209</v>
      </c>
      <c r="K1232" s="10">
        <v>0.22867735684638901</v>
      </c>
      <c r="L1232" s="10">
        <v>2.618362995145776E-2</v>
      </c>
    </row>
    <row r="1233" spans="10:12" x14ac:dyDescent="0.3">
      <c r="J1233">
        <v>1210</v>
      </c>
      <c r="K1233" s="10">
        <v>0.23397080952961832</v>
      </c>
      <c r="L1233" s="10">
        <v>-8.098550619605592E-3</v>
      </c>
    </row>
    <row r="1234" spans="10:12" x14ac:dyDescent="0.3">
      <c r="J1234">
        <v>1211</v>
      </c>
      <c r="K1234" s="10">
        <v>0.22550618977717315</v>
      </c>
      <c r="L1234" s="10">
        <v>0.31494924647491473</v>
      </c>
    </row>
    <row r="1235" spans="10:12" x14ac:dyDescent="0.3">
      <c r="J1235">
        <v>1212</v>
      </c>
      <c r="K1235" s="10">
        <v>0.29444333858112898</v>
      </c>
      <c r="L1235" s="10">
        <v>-7.926985611614118E-2</v>
      </c>
    </row>
    <row r="1236" spans="10:12" x14ac:dyDescent="0.3">
      <c r="J1236">
        <v>1213</v>
      </c>
      <c r="K1236" s="10">
        <v>0.19590927382045492</v>
      </c>
      <c r="L1236" s="10">
        <v>0.40286943030741434</v>
      </c>
    </row>
    <row r="1237" spans="10:12" x14ac:dyDescent="0.3">
      <c r="J1237">
        <v>1214</v>
      </c>
      <c r="K1237" s="10">
        <v>0.18877904693945738</v>
      </c>
      <c r="L1237" s="10">
        <v>0.30985673594449126</v>
      </c>
    </row>
    <row r="1238" spans="10:12" x14ac:dyDescent="0.3">
      <c r="J1238">
        <v>1215</v>
      </c>
      <c r="K1238" s="10">
        <v>0.18962043533329892</v>
      </c>
      <c r="L1238" s="10">
        <v>0.33502533567389325</v>
      </c>
    </row>
    <row r="1239" spans="10:12" x14ac:dyDescent="0.3">
      <c r="J1239">
        <v>1216</v>
      </c>
      <c r="K1239" s="10">
        <v>0.19741588692094145</v>
      </c>
      <c r="L1239" s="10">
        <v>0.17207512563858046</v>
      </c>
    </row>
    <row r="1240" spans="10:12" x14ac:dyDescent="0.3">
      <c r="J1240">
        <v>1217</v>
      </c>
      <c r="K1240" s="10">
        <v>0.24943654798088191</v>
      </c>
      <c r="L1240" s="10">
        <v>-4.8592903331256272E-2</v>
      </c>
    </row>
    <row r="1241" spans="10:12" x14ac:dyDescent="0.3">
      <c r="J1241">
        <v>1218</v>
      </c>
      <c r="K1241" s="10">
        <v>0.21466338386791323</v>
      </c>
      <c r="L1241" s="10">
        <v>5.4723324877546387E-2</v>
      </c>
    </row>
    <row r="1242" spans="10:12" x14ac:dyDescent="0.3">
      <c r="J1242">
        <v>1219</v>
      </c>
      <c r="K1242" s="10">
        <v>0.19169316479568035</v>
      </c>
      <c r="L1242" s="10">
        <v>0.31215410702458873</v>
      </c>
    </row>
    <row r="1243" spans="10:12" x14ac:dyDescent="0.3">
      <c r="J1243">
        <v>1220</v>
      </c>
      <c r="K1243" s="10">
        <v>0.19610026972307645</v>
      </c>
      <c r="L1243" s="10">
        <v>0.2459761232245723</v>
      </c>
    </row>
    <row r="1244" spans="10:12" x14ac:dyDescent="0.3">
      <c r="J1244">
        <v>1221</v>
      </c>
      <c r="K1244" s="10">
        <v>0.18977377047175822</v>
      </c>
      <c r="L1244" s="10">
        <v>0.25949742951207622</v>
      </c>
    </row>
    <row r="1245" spans="10:12" x14ac:dyDescent="0.3">
      <c r="J1245">
        <v>1222</v>
      </c>
      <c r="K1245" s="10">
        <v>0.19389616898053461</v>
      </c>
      <c r="L1245" s="10">
        <v>0.41141106635546759</v>
      </c>
    </row>
    <row r="1246" spans="10:12" x14ac:dyDescent="0.3">
      <c r="J1246">
        <v>1223</v>
      </c>
      <c r="K1246" s="10">
        <v>0.19225899573488323</v>
      </c>
      <c r="L1246" s="10">
        <v>0.23195001259038819</v>
      </c>
    </row>
    <row r="1247" spans="10:12" x14ac:dyDescent="0.3">
      <c r="J1247">
        <v>1224</v>
      </c>
      <c r="K1247" s="10">
        <v>0.27814639519767942</v>
      </c>
      <c r="L1247" s="10">
        <v>3.8974676568130522E-2</v>
      </c>
    </row>
    <row r="1248" spans="10:12" x14ac:dyDescent="0.3">
      <c r="J1248">
        <v>1225</v>
      </c>
      <c r="K1248" s="10">
        <v>0.1924509645714263</v>
      </c>
      <c r="L1248" s="10">
        <v>0.27278595597973126</v>
      </c>
    </row>
    <row r="1249" spans="10:12" x14ac:dyDescent="0.3">
      <c r="J1249">
        <v>1226</v>
      </c>
      <c r="K1249" s="10">
        <v>0.19394574119613467</v>
      </c>
      <c r="L1249" s="10">
        <v>0.26518435025415976</v>
      </c>
    </row>
    <row r="1250" spans="10:12" x14ac:dyDescent="0.3">
      <c r="J1250">
        <v>1227</v>
      </c>
      <c r="K1250" s="10">
        <v>0.20741238984235935</v>
      </c>
      <c r="L1250" s="10">
        <v>0.45345531774048858</v>
      </c>
    </row>
    <row r="1251" spans="10:12" x14ac:dyDescent="0.3">
      <c r="J1251">
        <v>1228</v>
      </c>
      <c r="K1251" s="10">
        <v>0.20447935809479931</v>
      </c>
      <c r="L1251" s="10">
        <v>0.26343625528077946</v>
      </c>
    </row>
    <row r="1252" spans="10:12" x14ac:dyDescent="0.3">
      <c r="J1252">
        <v>1229</v>
      </c>
      <c r="K1252" s="10">
        <v>0.22162397340708243</v>
      </c>
      <c r="L1252" s="10">
        <v>5.2511593622181163E-2</v>
      </c>
    </row>
    <row r="1253" spans="10:12" x14ac:dyDescent="0.3">
      <c r="J1253">
        <v>1230</v>
      </c>
      <c r="K1253" s="10">
        <v>0.19155136998504621</v>
      </c>
      <c r="L1253" s="10">
        <v>0.34793835451859945</v>
      </c>
    </row>
    <row r="1254" spans="10:12" x14ac:dyDescent="0.3">
      <c r="J1254">
        <v>1231</v>
      </c>
      <c r="K1254" s="10">
        <v>0.19007307907005153</v>
      </c>
      <c r="L1254" s="10">
        <v>0.29534945706694293</v>
      </c>
    </row>
    <row r="1255" spans="10:12" x14ac:dyDescent="0.3">
      <c r="J1255">
        <v>1232</v>
      </c>
      <c r="K1255" s="10">
        <v>0.26144371104630293</v>
      </c>
      <c r="L1255" s="10">
        <v>9.2700437940674132E-2</v>
      </c>
    </row>
    <row r="1256" spans="10:12" x14ac:dyDescent="0.3">
      <c r="J1256">
        <v>1233</v>
      </c>
      <c r="K1256" s="10">
        <v>0.19060966648746913</v>
      </c>
      <c r="L1256" s="10">
        <v>0.27132059605742853</v>
      </c>
    </row>
    <row r="1257" spans="10:12" x14ac:dyDescent="0.3">
      <c r="J1257">
        <v>1234</v>
      </c>
      <c r="K1257" s="10">
        <v>0.27530495715784509</v>
      </c>
      <c r="L1257" s="10">
        <v>2.5234110671295447E-3</v>
      </c>
    </row>
    <row r="1258" spans="10:12" x14ac:dyDescent="0.3">
      <c r="J1258">
        <v>1235</v>
      </c>
      <c r="K1258" s="10">
        <v>0.20439299768766858</v>
      </c>
      <c r="L1258" s="10">
        <v>0.45948286931030885</v>
      </c>
    </row>
    <row r="1259" spans="10:12" x14ac:dyDescent="0.3">
      <c r="J1259">
        <v>1236</v>
      </c>
      <c r="K1259" s="10">
        <v>0.23526480155959437</v>
      </c>
      <c r="L1259" s="10">
        <v>0.63400421082209357</v>
      </c>
    </row>
    <row r="1260" spans="10:12" x14ac:dyDescent="0.3">
      <c r="J1260">
        <v>1237</v>
      </c>
      <c r="K1260" s="10">
        <v>0.18871046899948715</v>
      </c>
      <c r="L1260" s="10">
        <v>0.31085159440050675</v>
      </c>
    </row>
    <row r="1261" spans="10:12" x14ac:dyDescent="0.3">
      <c r="J1261">
        <v>1238</v>
      </c>
      <c r="K1261" s="10">
        <v>0.22135069589591574</v>
      </c>
      <c r="L1261" s="10">
        <v>6.720188506240414E-2</v>
      </c>
    </row>
    <row r="1262" spans="10:12" x14ac:dyDescent="0.3">
      <c r="J1262">
        <v>1239</v>
      </c>
      <c r="K1262" s="10">
        <v>0.19283993129373178</v>
      </c>
      <c r="L1262" s="10">
        <v>0.38537229828031772</v>
      </c>
    </row>
    <row r="1263" spans="10:12" x14ac:dyDescent="0.3">
      <c r="J1263">
        <v>1240</v>
      </c>
      <c r="K1263" s="10">
        <v>0.2262094451835038</v>
      </c>
      <c r="L1263" s="10">
        <v>3.2988041274044366E-4</v>
      </c>
    </row>
    <row r="1264" spans="10:12" x14ac:dyDescent="0.3">
      <c r="J1264">
        <v>1241</v>
      </c>
      <c r="K1264" s="10">
        <v>0.19037805400060254</v>
      </c>
      <c r="L1264" s="10">
        <v>0.25971550089319378</v>
      </c>
    </row>
    <row r="1265" spans="10:12" x14ac:dyDescent="0.3">
      <c r="J1265">
        <v>1242</v>
      </c>
      <c r="K1265" s="10">
        <v>0.23572872561034444</v>
      </c>
      <c r="L1265" s="10">
        <v>0.66357221478290684</v>
      </c>
    </row>
    <row r="1266" spans="10:12" x14ac:dyDescent="0.3">
      <c r="J1266">
        <v>1243</v>
      </c>
      <c r="K1266" s="10">
        <v>0.21976715082036047</v>
      </c>
      <c r="L1266" s="10">
        <v>0.4359232622066696</v>
      </c>
    </row>
    <row r="1267" spans="10:12" x14ac:dyDescent="0.3">
      <c r="J1267">
        <v>1244</v>
      </c>
      <c r="K1267" s="10">
        <v>0.21369960273942967</v>
      </c>
      <c r="L1267" s="10">
        <v>0.41566977747640277</v>
      </c>
    </row>
    <row r="1268" spans="10:12" x14ac:dyDescent="0.3">
      <c r="J1268">
        <v>1245</v>
      </c>
      <c r="K1268" s="10">
        <v>0.20585416033110013</v>
      </c>
      <c r="L1268" s="10">
        <v>0.50688991583071807</v>
      </c>
    </row>
    <row r="1269" spans="10:12" x14ac:dyDescent="0.3">
      <c r="J1269">
        <v>1246</v>
      </c>
      <c r="K1269" s="10">
        <v>0.22709515504968544</v>
      </c>
      <c r="L1269" s="10">
        <v>0.50152931758370678</v>
      </c>
    </row>
    <row r="1270" spans="10:12" x14ac:dyDescent="0.3">
      <c r="J1270">
        <v>1247</v>
      </c>
      <c r="K1270" s="10">
        <v>0.24922033276231959</v>
      </c>
      <c r="L1270" s="10">
        <v>-7.4976163926571179E-2</v>
      </c>
    </row>
    <row r="1271" spans="10:12" x14ac:dyDescent="0.3">
      <c r="J1271">
        <v>1248</v>
      </c>
      <c r="K1271" s="10">
        <v>0.18896569499470381</v>
      </c>
      <c r="L1271" s="10">
        <v>0.28863148625647939</v>
      </c>
    </row>
    <row r="1272" spans="10:12" x14ac:dyDescent="0.3">
      <c r="J1272">
        <v>1249</v>
      </c>
      <c r="K1272" s="10">
        <v>0.2959519902114735</v>
      </c>
      <c r="L1272" s="10">
        <v>-6.8463648999904703E-2</v>
      </c>
    </row>
    <row r="1273" spans="10:12" x14ac:dyDescent="0.3">
      <c r="J1273">
        <v>1250</v>
      </c>
      <c r="K1273" s="10">
        <v>0.22824631596788056</v>
      </c>
      <c r="L1273" s="10">
        <v>4.6150264022546197E-3</v>
      </c>
    </row>
    <row r="1274" spans="10:12" x14ac:dyDescent="0.3">
      <c r="J1274">
        <v>1251</v>
      </c>
      <c r="K1274" s="10">
        <v>0.23927802232998543</v>
      </c>
      <c r="L1274" s="10">
        <v>-3.4883929131449089E-2</v>
      </c>
    </row>
    <row r="1275" spans="10:12" x14ac:dyDescent="0.3">
      <c r="J1275">
        <v>1252</v>
      </c>
      <c r="K1275" s="10">
        <v>0.23268876456298898</v>
      </c>
      <c r="L1275" s="10">
        <v>0.16896973708161586</v>
      </c>
    </row>
    <row r="1276" spans="10:12" x14ac:dyDescent="0.3">
      <c r="J1276">
        <v>1253</v>
      </c>
      <c r="K1276" s="10">
        <v>0.21089626468430422</v>
      </c>
      <c r="L1276" s="10">
        <v>0.22706309454951054</v>
      </c>
    </row>
    <row r="1277" spans="10:12" x14ac:dyDescent="0.3">
      <c r="J1277">
        <v>1254</v>
      </c>
      <c r="K1277" s="10">
        <v>0.21136179250305007</v>
      </c>
      <c r="L1277" s="10">
        <v>0.53969277041492525</v>
      </c>
    </row>
    <row r="1278" spans="10:12" x14ac:dyDescent="0.3">
      <c r="J1278">
        <v>1255</v>
      </c>
      <c r="K1278" s="10">
        <v>0.19628534920034815</v>
      </c>
      <c r="L1278" s="10">
        <v>0.41605650760636387</v>
      </c>
    </row>
    <row r="1279" spans="10:12" x14ac:dyDescent="0.3">
      <c r="J1279">
        <v>1256</v>
      </c>
      <c r="K1279" s="10">
        <v>0.20068962617648195</v>
      </c>
      <c r="L1279" s="10">
        <v>0.25315090251288208</v>
      </c>
    </row>
    <row r="1280" spans="10:12" x14ac:dyDescent="0.3">
      <c r="J1280">
        <v>1257</v>
      </c>
      <c r="K1280" s="10">
        <v>0.26376725763944125</v>
      </c>
      <c r="L1280" s="10">
        <v>7.382370677036329E-3</v>
      </c>
    </row>
    <row r="1281" spans="10:12" x14ac:dyDescent="0.3">
      <c r="J1281">
        <v>1258</v>
      </c>
      <c r="K1281" s="10">
        <v>0.19056654434498674</v>
      </c>
      <c r="L1281" s="10">
        <v>0.37564370120052909</v>
      </c>
    </row>
    <row r="1282" spans="10:12" x14ac:dyDescent="0.3">
      <c r="J1282">
        <v>1259</v>
      </c>
      <c r="K1282" s="10">
        <v>0.19896039673345187</v>
      </c>
      <c r="L1282" s="10">
        <v>0.45980943688087778</v>
      </c>
    </row>
    <row r="1283" spans="10:12" x14ac:dyDescent="0.3">
      <c r="J1283">
        <v>1260</v>
      </c>
      <c r="K1283" s="10">
        <v>0.21498798630010998</v>
      </c>
      <c r="L1283" s="10">
        <v>0.55499091849637616</v>
      </c>
    </row>
    <row r="1284" spans="10:12" x14ac:dyDescent="0.3">
      <c r="J1284">
        <v>1261</v>
      </c>
      <c r="K1284" s="10">
        <v>0.19310945553490377</v>
      </c>
      <c r="L1284" s="10">
        <v>0.31719813122739082</v>
      </c>
    </row>
    <row r="1285" spans="10:12" x14ac:dyDescent="0.3">
      <c r="J1285">
        <v>1262</v>
      </c>
      <c r="K1285" s="10">
        <v>0.19524118985207373</v>
      </c>
      <c r="L1285" s="10">
        <v>0.17969590213568884</v>
      </c>
    </row>
    <row r="1286" spans="10:12" x14ac:dyDescent="0.3">
      <c r="J1286">
        <v>1263</v>
      </c>
      <c r="K1286" s="10">
        <v>0.24976497867576558</v>
      </c>
      <c r="L1286" s="10">
        <v>1.9650983732141223E-2</v>
      </c>
    </row>
    <row r="1287" spans="10:12" x14ac:dyDescent="0.3">
      <c r="J1287">
        <v>1264</v>
      </c>
      <c r="K1287" s="10">
        <v>0.20126579541733813</v>
      </c>
      <c r="L1287" s="10">
        <v>0.17802333092524608</v>
      </c>
    </row>
    <row r="1288" spans="10:12" x14ac:dyDescent="0.3">
      <c r="J1288">
        <v>1265</v>
      </c>
      <c r="K1288" s="10">
        <v>0.2045622852327125</v>
      </c>
      <c r="L1288" s="10">
        <v>0.372918386420865</v>
      </c>
    </row>
    <row r="1289" spans="10:12" x14ac:dyDescent="0.3">
      <c r="J1289">
        <v>1266</v>
      </c>
      <c r="K1289" s="10">
        <v>0.24099437366966042</v>
      </c>
      <c r="L1289" s="10">
        <v>-4.2464652824346236E-2</v>
      </c>
    </row>
    <row r="1290" spans="10:12" x14ac:dyDescent="0.3">
      <c r="J1290">
        <v>1267</v>
      </c>
      <c r="K1290" s="10">
        <v>0.20476619598049353</v>
      </c>
      <c r="L1290" s="10">
        <v>0.48416952270329267</v>
      </c>
    </row>
    <row r="1291" spans="10:12" x14ac:dyDescent="0.3">
      <c r="J1291">
        <v>1268</v>
      </c>
      <c r="K1291" s="10">
        <v>0.1965745394205084</v>
      </c>
      <c r="L1291" s="10">
        <v>0.44626459810083063</v>
      </c>
    </row>
    <row r="1292" spans="10:12" x14ac:dyDescent="0.3">
      <c r="J1292">
        <v>1269</v>
      </c>
      <c r="K1292" s="10">
        <v>0.21779967465146713</v>
      </c>
      <c r="L1292" s="10">
        <v>7.0619011722334285E-2</v>
      </c>
    </row>
    <row r="1293" spans="10:12" x14ac:dyDescent="0.3">
      <c r="J1293">
        <v>1270</v>
      </c>
      <c r="K1293" s="10">
        <v>0.20463544231133529</v>
      </c>
      <c r="L1293" s="10">
        <v>0.24891839991994635</v>
      </c>
    </row>
    <row r="1294" spans="10:12" x14ac:dyDescent="0.3">
      <c r="J1294">
        <v>1271</v>
      </c>
      <c r="K1294" s="10">
        <v>0.19142821040834909</v>
      </c>
      <c r="L1294" s="10">
        <v>0.38943595268497599</v>
      </c>
    </row>
    <row r="1295" spans="10:12" x14ac:dyDescent="0.3">
      <c r="J1295">
        <v>1272</v>
      </c>
      <c r="K1295" s="10">
        <v>0.19183047343452883</v>
      </c>
      <c r="L1295" s="10">
        <v>0.24964491576268211</v>
      </c>
    </row>
    <row r="1296" spans="10:12" x14ac:dyDescent="0.3">
      <c r="J1296">
        <v>1273</v>
      </c>
      <c r="K1296" s="10">
        <v>0.20129385855152013</v>
      </c>
      <c r="L1296" s="10">
        <v>0.16687352839607741</v>
      </c>
    </row>
    <row r="1297" spans="10:12" x14ac:dyDescent="0.3">
      <c r="J1297">
        <v>1274</v>
      </c>
      <c r="K1297" s="10">
        <v>0.20504275156522303</v>
      </c>
      <c r="L1297" s="10">
        <v>0.11830905428123228</v>
      </c>
    </row>
    <row r="1298" spans="10:12" x14ac:dyDescent="0.3">
      <c r="J1298">
        <v>1275</v>
      </c>
      <c r="K1298" s="10">
        <v>0.21936663743230927</v>
      </c>
      <c r="L1298" s="10">
        <v>0.38822110035245466</v>
      </c>
    </row>
    <row r="1299" spans="10:12" x14ac:dyDescent="0.3">
      <c r="J1299">
        <v>1276</v>
      </c>
      <c r="K1299" s="10">
        <v>0.24028077026235611</v>
      </c>
      <c r="L1299" s="10">
        <v>-6.9440092951389878E-2</v>
      </c>
    </row>
    <row r="1300" spans="10:12" x14ac:dyDescent="0.3">
      <c r="J1300">
        <v>1277</v>
      </c>
      <c r="K1300" s="10">
        <v>0.19131540840989492</v>
      </c>
      <c r="L1300" s="10">
        <v>0.30646526317846851</v>
      </c>
    </row>
    <row r="1301" spans="10:12" x14ac:dyDescent="0.3">
      <c r="J1301">
        <v>1278</v>
      </c>
      <c r="K1301" s="10">
        <v>0.19971186094421509</v>
      </c>
      <c r="L1301" s="10">
        <v>0.47502965537651587</v>
      </c>
    </row>
    <row r="1302" spans="10:12" x14ac:dyDescent="0.3">
      <c r="J1302">
        <v>1279</v>
      </c>
      <c r="K1302" s="10">
        <v>0.19616407955601833</v>
      </c>
      <c r="L1302" s="10">
        <v>0.29829805862682968</v>
      </c>
    </row>
    <row r="1303" spans="10:12" x14ac:dyDescent="0.3">
      <c r="J1303">
        <v>1280</v>
      </c>
      <c r="K1303" s="10">
        <v>0.21180717187198039</v>
      </c>
      <c r="L1303" s="10">
        <v>0.23353726017727897</v>
      </c>
    </row>
    <row r="1304" spans="10:12" x14ac:dyDescent="0.3">
      <c r="J1304">
        <v>1281</v>
      </c>
      <c r="K1304" s="10">
        <v>0.1978220111250624</v>
      </c>
      <c r="L1304" s="10">
        <v>0.44594478290327616</v>
      </c>
    </row>
    <row r="1305" spans="10:12" x14ac:dyDescent="0.3">
      <c r="J1305">
        <v>1282</v>
      </c>
      <c r="K1305" s="10">
        <v>0.18892074617869747</v>
      </c>
      <c r="L1305" s="10">
        <v>0.33125322174046895</v>
      </c>
    </row>
    <row r="1306" spans="10:12" x14ac:dyDescent="0.3">
      <c r="J1306">
        <v>1283</v>
      </c>
      <c r="K1306" s="10">
        <v>0.20331604599085204</v>
      </c>
      <c r="L1306" s="10">
        <v>0.11653757071972951</v>
      </c>
    </row>
    <row r="1307" spans="10:12" x14ac:dyDescent="0.3">
      <c r="J1307">
        <v>1284</v>
      </c>
      <c r="K1307" s="10">
        <v>0.20335863254177572</v>
      </c>
      <c r="L1307" s="10">
        <v>0.12003986292317592</v>
      </c>
    </row>
    <row r="1308" spans="10:12" x14ac:dyDescent="0.3">
      <c r="J1308">
        <v>1285</v>
      </c>
      <c r="K1308" s="10">
        <v>0.20681741768849699</v>
      </c>
      <c r="L1308" s="10">
        <v>0.11656779292599138</v>
      </c>
    </row>
    <row r="1309" spans="10:12" x14ac:dyDescent="0.3">
      <c r="J1309">
        <v>1286</v>
      </c>
      <c r="K1309" s="10">
        <v>0.18872364292371804</v>
      </c>
      <c r="L1309" s="10">
        <v>0.30220346571076728</v>
      </c>
    </row>
    <row r="1310" spans="10:12" x14ac:dyDescent="0.3">
      <c r="J1310">
        <v>1287</v>
      </c>
      <c r="K1310" s="10">
        <v>0.19189759228019995</v>
      </c>
      <c r="L1310" s="10">
        <v>0.32928873050038887</v>
      </c>
    </row>
    <row r="1311" spans="10:12" x14ac:dyDescent="0.3">
      <c r="J1311">
        <v>1288</v>
      </c>
      <c r="K1311" s="10">
        <v>0.1890420490791086</v>
      </c>
      <c r="L1311" s="10">
        <v>0.324774464972161</v>
      </c>
    </row>
    <row r="1312" spans="10:12" x14ac:dyDescent="0.3">
      <c r="J1312">
        <v>1289</v>
      </c>
      <c r="K1312" s="10">
        <v>0.19252077830249301</v>
      </c>
      <c r="L1312" s="10">
        <v>0.22724218419020042</v>
      </c>
    </row>
    <row r="1313" spans="10:12" x14ac:dyDescent="0.3">
      <c r="J1313">
        <v>1290</v>
      </c>
      <c r="K1313" s="10">
        <v>0.19554961587424913</v>
      </c>
      <c r="L1313" s="10">
        <v>0.23975374726864682</v>
      </c>
    </row>
    <row r="1314" spans="10:12" x14ac:dyDescent="0.3">
      <c r="J1314">
        <v>1291</v>
      </c>
      <c r="K1314" s="10">
        <v>0.22788884678734012</v>
      </c>
      <c r="L1314" s="10">
        <v>-1.8092695862231584E-2</v>
      </c>
    </row>
    <row r="1315" spans="10:12" x14ac:dyDescent="0.3">
      <c r="J1315">
        <v>1292</v>
      </c>
      <c r="K1315" s="10">
        <v>0.2048862638349897</v>
      </c>
      <c r="L1315" s="10">
        <v>0.16922903702259184</v>
      </c>
    </row>
    <row r="1316" spans="10:12" x14ac:dyDescent="0.3">
      <c r="J1316">
        <v>1293</v>
      </c>
      <c r="K1316" s="10">
        <v>0.2107206984517683</v>
      </c>
      <c r="L1316" s="10">
        <v>0.54756449817777952</v>
      </c>
    </row>
    <row r="1317" spans="10:12" x14ac:dyDescent="0.3">
      <c r="J1317">
        <v>1294</v>
      </c>
      <c r="K1317" s="10">
        <v>0.23102246457249473</v>
      </c>
      <c r="L1317" s="10">
        <v>-1.7295833545691058E-2</v>
      </c>
    </row>
    <row r="1318" spans="10:12" x14ac:dyDescent="0.3">
      <c r="J1318">
        <v>1295</v>
      </c>
      <c r="K1318" s="10">
        <v>0.25942293900308711</v>
      </c>
      <c r="L1318" s="10">
        <v>0.10229633426535753</v>
      </c>
    </row>
    <row r="1319" spans="10:12" x14ac:dyDescent="0.3">
      <c r="J1319">
        <v>1296</v>
      </c>
      <c r="K1319" s="10">
        <v>0.2397322628591993</v>
      </c>
      <c r="L1319" s="10">
        <v>0.10562293087937671</v>
      </c>
    </row>
    <row r="1320" spans="10:12" x14ac:dyDescent="0.3">
      <c r="J1320">
        <v>1297</v>
      </c>
      <c r="K1320" s="10">
        <v>0.19120462387644488</v>
      </c>
      <c r="L1320" s="10">
        <v>0.2287235861060376</v>
      </c>
    </row>
    <row r="1321" spans="10:12" x14ac:dyDescent="0.3">
      <c r="J1321">
        <v>1298</v>
      </c>
      <c r="K1321" s="10">
        <v>0.21326329235597416</v>
      </c>
      <c r="L1321" s="10">
        <v>5.187705296727519E-2</v>
      </c>
    </row>
    <row r="1322" spans="10:12" x14ac:dyDescent="0.3">
      <c r="J1322">
        <v>1299</v>
      </c>
      <c r="K1322" s="10">
        <v>0.22179515980362019</v>
      </c>
      <c r="L1322" s="10">
        <v>0.43311511982995499</v>
      </c>
    </row>
    <row r="1323" spans="10:12" x14ac:dyDescent="0.3">
      <c r="J1323">
        <v>1300</v>
      </c>
      <c r="K1323" s="10">
        <v>0.20617743978791647</v>
      </c>
      <c r="L1323" s="10">
        <v>0.11740213225055808</v>
      </c>
    </row>
    <row r="1324" spans="10:12" x14ac:dyDescent="0.3">
      <c r="J1324">
        <v>1301</v>
      </c>
      <c r="K1324" s="10">
        <v>0.21157897360306469</v>
      </c>
      <c r="L1324" s="10">
        <v>0.38879848485009461</v>
      </c>
    </row>
    <row r="1325" spans="10:12" x14ac:dyDescent="0.3">
      <c r="J1325">
        <v>1302</v>
      </c>
      <c r="K1325" s="10">
        <v>0.24200330144517063</v>
      </c>
      <c r="L1325" s="10">
        <v>0.1064448511311786</v>
      </c>
    </row>
    <row r="1326" spans="10:12" x14ac:dyDescent="0.3">
      <c r="J1326">
        <v>1303</v>
      </c>
      <c r="K1326" s="10">
        <v>0.2256278900311206</v>
      </c>
      <c r="L1326" s="10">
        <v>0.36277407629171354</v>
      </c>
    </row>
    <row r="1327" spans="10:12" x14ac:dyDescent="0.3">
      <c r="J1327">
        <v>1304</v>
      </c>
      <c r="K1327" s="10">
        <v>0.18927083098979886</v>
      </c>
      <c r="L1327" s="10">
        <v>0.33325572569074879</v>
      </c>
    </row>
    <row r="1328" spans="10:12" x14ac:dyDescent="0.3">
      <c r="J1328">
        <v>1305</v>
      </c>
      <c r="K1328" s="10">
        <v>0.26332002048701186</v>
      </c>
      <c r="L1328" s="10">
        <v>8.3775543937349928E-2</v>
      </c>
    </row>
    <row r="1329" spans="10:12" x14ac:dyDescent="0.3">
      <c r="J1329">
        <v>1306</v>
      </c>
      <c r="K1329" s="10">
        <v>0.20542911860158583</v>
      </c>
      <c r="L1329" s="10">
        <v>0.16484223112116647</v>
      </c>
    </row>
    <row r="1330" spans="10:12" x14ac:dyDescent="0.3">
      <c r="J1330">
        <v>1307</v>
      </c>
      <c r="K1330" s="10">
        <v>0.19153356434744465</v>
      </c>
      <c r="L1330" s="10">
        <v>0.32946599607179511</v>
      </c>
    </row>
    <row r="1331" spans="10:12" x14ac:dyDescent="0.3">
      <c r="J1331">
        <v>1308</v>
      </c>
      <c r="K1331" s="10">
        <v>0.19600161518066822</v>
      </c>
      <c r="L1331" s="10">
        <v>0.25929807564626661</v>
      </c>
    </row>
    <row r="1332" spans="10:12" x14ac:dyDescent="0.3">
      <c r="J1332">
        <v>1309</v>
      </c>
      <c r="K1332" s="10">
        <v>0.1951792189267367</v>
      </c>
      <c r="L1332" s="10">
        <v>0.21849281169693852</v>
      </c>
    </row>
    <row r="1333" spans="10:12" x14ac:dyDescent="0.3">
      <c r="J1333">
        <v>1310</v>
      </c>
      <c r="K1333" s="10">
        <v>0.32710182976653751</v>
      </c>
      <c r="L1333" s="10">
        <v>-4.339199828959802E-2</v>
      </c>
    </row>
    <row r="1334" spans="10:12" x14ac:dyDescent="0.3">
      <c r="J1334">
        <v>1311</v>
      </c>
      <c r="K1334" s="10">
        <v>0.20623517664167798</v>
      </c>
      <c r="L1334" s="10">
        <v>9.3256717068971567E-2</v>
      </c>
    </row>
    <row r="1335" spans="10:12" x14ac:dyDescent="0.3">
      <c r="J1335">
        <v>1312</v>
      </c>
      <c r="K1335" s="10">
        <v>0.19910002935157251</v>
      </c>
      <c r="L1335" s="10">
        <v>0.28254455583094362</v>
      </c>
    </row>
    <row r="1336" spans="10:12" x14ac:dyDescent="0.3">
      <c r="J1336">
        <v>1313</v>
      </c>
      <c r="K1336" s="10">
        <v>0.19472093319460534</v>
      </c>
      <c r="L1336" s="10">
        <v>0.30135820788059714</v>
      </c>
    </row>
    <row r="1337" spans="10:12" x14ac:dyDescent="0.3">
      <c r="J1337">
        <v>1314</v>
      </c>
      <c r="K1337" s="10">
        <v>0.2513444308476287</v>
      </c>
      <c r="L1337" s="10">
        <v>2.1474254668926156E-2</v>
      </c>
    </row>
    <row r="1338" spans="10:12" x14ac:dyDescent="0.3">
      <c r="J1338">
        <v>1315</v>
      </c>
      <c r="K1338" s="10">
        <v>0.19664438379088853</v>
      </c>
      <c r="L1338" s="10">
        <v>0.31976795536426944</v>
      </c>
    </row>
    <row r="1339" spans="10:12" x14ac:dyDescent="0.3">
      <c r="J1339">
        <v>1316</v>
      </c>
      <c r="K1339" s="10">
        <v>0.22068633144593386</v>
      </c>
      <c r="L1339" s="10">
        <v>2.2873510294131517E-2</v>
      </c>
    </row>
    <row r="1340" spans="10:12" x14ac:dyDescent="0.3">
      <c r="J1340">
        <v>1317</v>
      </c>
      <c r="K1340" s="10">
        <v>0.20206854241244782</v>
      </c>
      <c r="L1340" s="10">
        <v>0.23418117110487185</v>
      </c>
    </row>
    <row r="1341" spans="10:12" x14ac:dyDescent="0.3">
      <c r="J1341">
        <v>1318</v>
      </c>
      <c r="K1341" s="10">
        <v>0.24517821870178311</v>
      </c>
      <c r="L1341" s="10">
        <v>-2.8451879334339972E-2</v>
      </c>
    </row>
    <row r="1342" spans="10:12" x14ac:dyDescent="0.3">
      <c r="J1342">
        <v>1319</v>
      </c>
      <c r="K1342" s="10">
        <v>0.22086233488763116</v>
      </c>
      <c r="L1342" s="10">
        <v>0.48715841124274123</v>
      </c>
    </row>
    <row r="1343" spans="10:12" x14ac:dyDescent="0.3">
      <c r="J1343">
        <v>1320</v>
      </c>
      <c r="K1343" s="10">
        <v>0.2008108456835595</v>
      </c>
      <c r="L1343" s="10">
        <v>0.21126107013891382</v>
      </c>
    </row>
    <row r="1344" spans="10:12" x14ac:dyDescent="0.3">
      <c r="J1344">
        <v>1321</v>
      </c>
      <c r="K1344" s="10">
        <v>0.19790483488214608</v>
      </c>
      <c r="L1344" s="10">
        <v>0.33356743352728929</v>
      </c>
    </row>
    <row r="1345" spans="10:12" x14ac:dyDescent="0.3">
      <c r="J1345">
        <v>1322</v>
      </c>
      <c r="K1345" s="10">
        <v>0.197771461109847</v>
      </c>
      <c r="L1345" s="10">
        <v>0.27445268998954431</v>
      </c>
    </row>
    <row r="1346" spans="10:12" x14ac:dyDescent="0.3">
      <c r="J1346">
        <v>1323</v>
      </c>
      <c r="K1346" s="10">
        <v>0.22233859713332696</v>
      </c>
      <c r="L1346" s="10">
        <v>5.9177532980117083E-2</v>
      </c>
    </row>
    <row r="1347" spans="10:12" x14ac:dyDescent="0.3">
      <c r="J1347">
        <v>1324</v>
      </c>
      <c r="K1347" s="10">
        <v>0.2441536163079028</v>
      </c>
      <c r="L1347" s="10">
        <v>-9.0844661780654673E-2</v>
      </c>
    </row>
    <row r="1348" spans="10:12" x14ac:dyDescent="0.3">
      <c r="J1348">
        <v>1325</v>
      </c>
      <c r="K1348" s="10">
        <v>0.20970582389567635</v>
      </c>
      <c r="L1348" s="10">
        <v>0.39035045438889365</v>
      </c>
    </row>
    <row r="1349" spans="10:12" x14ac:dyDescent="0.3">
      <c r="J1349">
        <v>1326</v>
      </c>
      <c r="K1349" s="10">
        <v>0.19918113651874633</v>
      </c>
      <c r="L1349" s="10">
        <v>0.24508696687715648</v>
      </c>
    </row>
    <row r="1350" spans="10:12" x14ac:dyDescent="0.3">
      <c r="J1350">
        <v>1327</v>
      </c>
      <c r="K1350" s="10">
        <v>0.19049950596384446</v>
      </c>
      <c r="L1350" s="10">
        <v>0.36055528259465308</v>
      </c>
    </row>
    <row r="1351" spans="10:12" x14ac:dyDescent="0.3">
      <c r="J1351">
        <v>1328</v>
      </c>
      <c r="K1351" s="10">
        <v>0.19311843472899229</v>
      </c>
      <c r="L1351" s="10">
        <v>0.21302502536661519</v>
      </c>
    </row>
    <row r="1352" spans="10:12" x14ac:dyDescent="0.3">
      <c r="J1352">
        <v>1329</v>
      </c>
      <c r="K1352" s="10">
        <v>0.21059659675627285</v>
      </c>
      <c r="L1352" s="10">
        <v>0.46192613826965884</v>
      </c>
    </row>
    <row r="1353" spans="10:12" x14ac:dyDescent="0.3">
      <c r="J1353">
        <v>1330</v>
      </c>
      <c r="K1353" s="10">
        <v>0.28937637145031464</v>
      </c>
      <c r="L1353" s="10">
        <v>-8.1549292226342343E-2</v>
      </c>
    </row>
    <row r="1354" spans="10:12" x14ac:dyDescent="0.3">
      <c r="J1354">
        <v>1331</v>
      </c>
      <c r="K1354" s="10">
        <v>0.20476786279616052</v>
      </c>
      <c r="L1354" s="10">
        <v>0.23469241612370634</v>
      </c>
    </row>
    <row r="1355" spans="10:12" x14ac:dyDescent="0.3">
      <c r="J1355">
        <v>1332</v>
      </c>
      <c r="K1355" s="10">
        <v>0.23161181800631353</v>
      </c>
      <c r="L1355" s="10">
        <v>-2.8190484422588785E-2</v>
      </c>
    </row>
    <row r="1356" spans="10:12" x14ac:dyDescent="0.3">
      <c r="J1356">
        <v>1333</v>
      </c>
      <c r="K1356" s="10">
        <v>0.21249012451510213</v>
      </c>
      <c r="L1356" s="10">
        <v>6.0190231363541402E-2</v>
      </c>
    </row>
    <row r="1357" spans="10:12" x14ac:dyDescent="0.3">
      <c r="J1357">
        <v>1334</v>
      </c>
      <c r="K1357" s="10">
        <v>0.19285358075062475</v>
      </c>
      <c r="L1357" s="10">
        <v>0.34990245327759062</v>
      </c>
    </row>
    <row r="1358" spans="10:12" x14ac:dyDescent="0.3">
      <c r="J1358">
        <v>1335</v>
      </c>
      <c r="K1358" s="10">
        <v>0.20164821261379334</v>
      </c>
      <c r="L1358" s="10">
        <v>0.33315942209657118</v>
      </c>
    </row>
    <row r="1359" spans="10:12" x14ac:dyDescent="0.3">
      <c r="J1359">
        <v>1336</v>
      </c>
      <c r="K1359" s="10">
        <v>0.25140167228132337</v>
      </c>
      <c r="L1359" s="10">
        <v>6.2772694642828669E-2</v>
      </c>
    </row>
    <row r="1360" spans="10:12" x14ac:dyDescent="0.3">
      <c r="J1360">
        <v>1337</v>
      </c>
      <c r="K1360" s="10">
        <v>0.29327353274037316</v>
      </c>
      <c r="L1360" s="10">
        <v>0.10281202404742273</v>
      </c>
    </row>
    <row r="1361" spans="10:12" x14ac:dyDescent="0.3">
      <c r="J1361">
        <v>1338</v>
      </c>
      <c r="K1361" s="10">
        <v>0.20337809920338926</v>
      </c>
      <c r="L1361" s="10">
        <v>0.20513852181539244</v>
      </c>
    </row>
    <row r="1362" spans="10:12" x14ac:dyDescent="0.3">
      <c r="J1362">
        <v>1339</v>
      </c>
      <c r="K1362" s="10">
        <v>0.19998438192358078</v>
      </c>
      <c r="L1362" s="10">
        <v>0.32702468226654646</v>
      </c>
    </row>
    <row r="1363" spans="10:12" x14ac:dyDescent="0.3">
      <c r="J1363">
        <v>1340</v>
      </c>
      <c r="K1363" s="10">
        <v>0.19264823305184381</v>
      </c>
      <c r="L1363" s="10">
        <v>0.34114679133625031</v>
      </c>
    </row>
    <row r="1364" spans="10:12" x14ac:dyDescent="0.3">
      <c r="J1364">
        <v>1341</v>
      </c>
      <c r="K1364" s="10">
        <v>0.19992931392860225</v>
      </c>
      <c r="L1364" s="10">
        <v>0.14965210751214736</v>
      </c>
    </row>
    <row r="1365" spans="10:12" x14ac:dyDescent="0.3">
      <c r="J1365">
        <v>1342</v>
      </c>
      <c r="K1365" s="10">
        <v>0.19579563907014</v>
      </c>
      <c r="L1365" s="10">
        <v>0.30768101923660157</v>
      </c>
    </row>
    <row r="1366" spans="10:12" x14ac:dyDescent="0.3">
      <c r="J1366">
        <v>1343</v>
      </c>
      <c r="K1366" s="10">
        <v>0.19168322868162577</v>
      </c>
      <c r="L1366" s="10">
        <v>0.30512818822729815</v>
      </c>
    </row>
    <row r="1367" spans="10:12" x14ac:dyDescent="0.3">
      <c r="J1367">
        <v>1344</v>
      </c>
      <c r="K1367" s="10">
        <v>0.1909963446409069</v>
      </c>
      <c r="L1367" s="10">
        <v>0.38276337852569631</v>
      </c>
    </row>
    <row r="1368" spans="10:12" x14ac:dyDescent="0.3">
      <c r="J1368">
        <v>1345</v>
      </c>
      <c r="K1368" s="10">
        <v>0.19670312275196786</v>
      </c>
      <c r="L1368" s="10">
        <v>0.35748737103017336</v>
      </c>
    </row>
    <row r="1369" spans="10:12" x14ac:dyDescent="0.3">
      <c r="J1369">
        <v>1346</v>
      </c>
      <c r="K1369" s="10">
        <v>0.24294950843789459</v>
      </c>
      <c r="L1369" s="10">
        <v>7.6760873038113631E-2</v>
      </c>
    </row>
    <row r="1370" spans="10:12" x14ac:dyDescent="0.3">
      <c r="J1370">
        <v>1347</v>
      </c>
      <c r="K1370" s="10">
        <v>0.19135061214859891</v>
      </c>
      <c r="L1370" s="10">
        <v>0.33427088420281326</v>
      </c>
    </row>
    <row r="1371" spans="10:12" x14ac:dyDescent="0.3">
      <c r="J1371">
        <v>1348</v>
      </c>
      <c r="K1371" s="10">
        <v>0.21341322452861786</v>
      </c>
      <c r="L1371" s="10">
        <v>5.2728425616637827E-2</v>
      </c>
    </row>
    <row r="1372" spans="10:12" x14ac:dyDescent="0.3">
      <c r="J1372">
        <v>1349</v>
      </c>
      <c r="K1372" s="10">
        <v>0.19430760018620402</v>
      </c>
      <c r="L1372" s="10">
        <v>0.410013097130769</v>
      </c>
    </row>
    <row r="1373" spans="10:12" x14ac:dyDescent="0.3">
      <c r="J1373">
        <v>1350</v>
      </c>
      <c r="K1373" s="10">
        <v>0.2281119535707764</v>
      </c>
      <c r="L1373" s="10">
        <v>0.34859454174321963</v>
      </c>
    </row>
    <row r="1374" spans="10:12" x14ac:dyDescent="0.3">
      <c r="J1374">
        <v>1351</v>
      </c>
      <c r="K1374" s="10">
        <v>0.29842794740657103</v>
      </c>
      <c r="L1374" s="10">
        <v>6.864492675558681E-2</v>
      </c>
    </row>
    <row r="1375" spans="10:12" x14ac:dyDescent="0.3">
      <c r="J1375">
        <v>1352</v>
      </c>
      <c r="K1375" s="10">
        <v>0.22156983998750152</v>
      </c>
      <c r="L1375" s="10">
        <v>9.7665688504984638E-2</v>
      </c>
    </row>
    <row r="1376" spans="10:12" x14ac:dyDescent="0.3">
      <c r="J1376">
        <v>1353</v>
      </c>
      <c r="K1376" s="10">
        <v>0.19421042366140506</v>
      </c>
      <c r="L1376" s="10">
        <v>0.40039904048609459</v>
      </c>
    </row>
    <row r="1377" spans="10:12" x14ac:dyDescent="0.3">
      <c r="J1377">
        <v>1354</v>
      </c>
      <c r="K1377" s="10">
        <v>0.25643603916342744</v>
      </c>
      <c r="L1377" s="10">
        <v>4.5503838087600265E-2</v>
      </c>
    </row>
    <row r="1378" spans="10:12" x14ac:dyDescent="0.3">
      <c r="J1378">
        <v>1355</v>
      </c>
      <c r="K1378" s="10">
        <v>0.21557783600488253</v>
      </c>
      <c r="L1378" s="10">
        <v>0.25078295585170113</v>
      </c>
    </row>
    <row r="1379" spans="10:12" x14ac:dyDescent="0.3">
      <c r="J1379">
        <v>1356</v>
      </c>
      <c r="K1379" s="10">
        <v>0.19547498352276318</v>
      </c>
      <c r="L1379" s="10">
        <v>0.1878877931045321</v>
      </c>
    </row>
    <row r="1380" spans="10:12" x14ac:dyDescent="0.3">
      <c r="J1380">
        <v>1357</v>
      </c>
      <c r="K1380" s="10">
        <v>0.26151238240132907</v>
      </c>
      <c r="L1380" s="10">
        <v>-2.7901748026387882E-2</v>
      </c>
    </row>
    <row r="1381" spans="10:12" x14ac:dyDescent="0.3">
      <c r="J1381">
        <v>1358</v>
      </c>
      <c r="K1381" s="10">
        <v>0.22872679255021325</v>
      </c>
      <c r="L1381" s="10">
        <v>0.33085789975391927</v>
      </c>
    </row>
    <row r="1382" spans="10:12" x14ac:dyDescent="0.3">
      <c r="J1382">
        <v>1359</v>
      </c>
      <c r="K1382" s="10">
        <v>0.21977037284220755</v>
      </c>
      <c r="L1382" s="10">
        <v>0.58888437681057737</v>
      </c>
    </row>
    <row r="1383" spans="10:12" x14ac:dyDescent="0.3">
      <c r="J1383">
        <v>1360</v>
      </c>
      <c r="K1383" s="10">
        <v>0.2153813455636705</v>
      </c>
      <c r="L1383" s="10">
        <v>0.44334669613441269</v>
      </c>
    </row>
    <row r="1384" spans="10:12" x14ac:dyDescent="0.3">
      <c r="J1384">
        <v>1361</v>
      </c>
      <c r="K1384" s="10">
        <v>0.18914873175380806</v>
      </c>
      <c r="L1384" s="10">
        <v>0.32689147456204004</v>
      </c>
    </row>
    <row r="1385" spans="10:12" x14ac:dyDescent="0.3">
      <c r="J1385">
        <v>1362</v>
      </c>
      <c r="K1385" s="10">
        <v>0.21132099692278888</v>
      </c>
      <c r="L1385" s="10">
        <v>0.13194291529834967</v>
      </c>
    </row>
    <row r="1386" spans="10:12" x14ac:dyDescent="0.3">
      <c r="J1386">
        <v>1363</v>
      </c>
      <c r="K1386" s="10">
        <v>0.19931856195391801</v>
      </c>
      <c r="L1386" s="10">
        <v>0.31016990927536048</v>
      </c>
    </row>
    <row r="1387" spans="10:12" x14ac:dyDescent="0.3">
      <c r="J1387">
        <v>1364</v>
      </c>
      <c r="K1387" s="10">
        <v>0.24575510546345372</v>
      </c>
      <c r="L1387" s="10">
        <v>-9.1284273667638499E-2</v>
      </c>
    </row>
    <row r="1388" spans="10:12" x14ac:dyDescent="0.3">
      <c r="J1388">
        <v>1365</v>
      </c>
      <c r="K1388" s="10">
        <v>0.20419203749526058</v>
      </c>
      <c r="L1388" s="10">
        <v>0.20738594832046461</v>
      </c>
    </row>
    <row r="1389" spans="10:12" x14ac:dyDescent="0.3">
      <c r="J1389">
        <v>1366</v>
      </c>
      <c r="K1389" s="10">
        <v>0.19527302405549959</v>
      </c>
      <c r="L1389" s="10">
        <v>0.21877249868781182</v>
      </c>
    </row>
    <row r="1390" spans="10:12" x14ac:dyDescent="0.3">
      <c r="J1390">
        <v>1367</v>
      </c>
      <c r="K1390" s="10">
        <v>0.23046475998586088</v>
      </c>
      <c r="L1390" s="10">
        <v>-3.2399255845040179E-2</v>
      </c>
    </row>
    <row r="1391" spans="10:12" x14ac:dyDescent="0.3">
      <c r="J1391">
        <v>1368</v>
      </c>
      <c r="K1391" s="10">
        <v>0.19277047474244041</v>
      </c>
      <c r="L1391" s="10">
        <v>0.35446928694826174</v>
      </c>
    </row>
    <row r="1392" spans="10:12" x14ac:dyDescent="0.3">
      <c r="J1392">
        <v>1369</v>
      </c>
      <c r="K1392" s="10">
        <v>0.20655976106045085</v>
      </c>
      <c r="L1392" s="10">
        <v>0.26243058250975493</v>
      </c>
    </row>
    <row r="1393" spans="10:12" x14ac:dyDescent="0.3">
      <c r="J1393">
        <v>1370</v>
      </c>
      <c r="K1393" s="10">
        <v>0.25469776952491097</v>
      </c>
      <c r="L1393" s="10">
        <v>3.9802276096592974E-2</v>
      </c>
    </row>
    <row r="1394" spans="10:12" x14ac:dyDescent="0.3">
      <c r="J1394">
        <v>1371</v>
      </c>
      <c r="K1394" s="10">
        <v>0.19265872674093809</v>
      </c>
      <c r="L1394" s="10">
        <v>0.20731880617217449</v>
      </c>
    </row>
    <row r="1395" spans="10:12" x14ac:dyDescent="0.3">
      <c r="J1395">
        <v>1372</v>
      </c>
      <c r="K1395" s="10">
        <v>0.19012828772051488</v>
      </c>
      <c r="L1395" s="10">
        <v>0.32564286836743805</v>
      </c>
    </row>
    <row r="1396" spans="10:12" x14ac:dyDescent="0.3">
      <c r="J1396">
        <v>1373</v>
      </c>
      <c r="K1396" s="10">
        <v>0.3363763322037035</v>
      </c>
      <c r="L1396" s="10">
        <v>-7.7534193790115322E-2</v>
      </c>
    </row>
    <row r="1397" spans="10:12" x14ac:dyDescent="0.3">
      <c r="J1397">
        <v>1374</v>
      </c>
      <c r="K1397" s="10">
        <v>0.21744980475714035</v>
      </c>
      <c r="L1397" s="10">
        <v>0.48700934384457328</v>
      </c>
    </row>
    <row r="1398" spans="10:12" x14ac:dyDescent="0.3">
      <c r="J1398">
        <v>1375</v>
      </c>
      <c r="K1398" s="10">
        <v>0.22662944003053331</v>
      </c>
      <c r="L1398" s="10">
        <v>0.19386239185150106</v>
      </c>
    </row>
    <row r="1399" spans="10:12" x14ac:dyDescent="0.3">
      <c r="J1399">
        <v>1376</v>
      </c>
      <c r="K1399" s="10">
        <v>0.22367191836357972</v>
      </c>
      <c r="L1399" s="10">
        <v>0.17141465931960959</v>
      </c>
    </row>
    <row r="1400" spans="10:12" x14ac:dyDescent="0.3">
      <c r="J1400">
        <v>1377</v>
      </c>
      <c r="K1400" s="10">
        <v>0.19381401982292684</v>
      </c>
      <c r="L1400" s="10">
        <v>0.26278613049851379</v>
      </c>
    </row>
    <row r="1401" spans="10:12" x14ac:dyDescent="0.3">
      <c r="J1401">
        <v>1378</v>
      </c>
      <c r="K1401" s="10">
        <v>0.20650781103960228</v>
      </c>
      <c r="L1401" s="10">
        <v>0.21504455905499861</v>
      </c>
    </row>
    <row r="1402" spans="10:12" x14ac:dyDescent="0.3">
      <c r="J1402">
        <v>1379</v>
      </c>
      <c r="K1402" s="10">
        <v>0.22977031369406017</v>
      </c>
      <c r="L1402" s="10">
        <v>0.12099842360724275</v>
      </c>
    </row>
    <row r="1403" spans="10:12" x14ac:dyDescent="0.3">
      <c r="J1403">
        <v>1380</v>
      </c>
      <c r="K1403" s="10">
        <v>0.22101923986119348</v>
      </c>
      <c r="L1403" s="10">
        <v>0.42990230168963944</v>
      </c>
    </row>
    <row r="1404" spans="10:12" x14ac:dyDescent="0.3">
      <c r="J1404">
        <v>1381</v>
      </c>
      <c r="K1404" s="10">
        <v>0.23165442239356632</v>
      </c>
      <c r="L1404" s="10">
        <v>0.63672930268752281</v>
      </c>
    </row>
    <row r="1405" spans="10:12" x14ac:dyDescent="0.3">
      <c r="J1405">
        <v>1382</v>
      </c>
      <c r="K1405" s="10">
        <v>0.21085900967035567</v>
      </c>
      <c r="L1405" s="10">
        <v>0.34347282521323219</v>
      </c>
    </row>
    <row r="1406" spans="10:12" x14ac:dyDescent="0.3">
      <c r="J1406">
        <v>1383</v>
      </c>
      <c r="K1406" s="10">
        <v>0.19735312352817475</v>
      </c>
      <c r="L1406" s="10">
        <v>0.39607480412329127</v>
      </c>
    </row>
    <row r="1407" spans="10:12" x14ac:dyDescent="0.3">
      <c r="J1407">
        <v>1384</v>
      </c>
      <c r="K1407" s="10">
        <v>0.2286156508896251</v>
      </c>
      <c r="L1407" s="10">
        <v>-2.4468373231406777E-2</v>
      </c>
    </row>
    <row r="1408" spans="10:12" x14ac:dyDescent="0.3">
      <c r="J1408">
        <v>1385</v>
      </c>
      <c r="K1408" s="10">
        <v>0.23442578549872645</v>
      </c>
      <c r="L1408" s="10">
        <v>-8.8458580790348532E-3</v>
      </c>
    </row>
    <row r="1409" spans="10:12" x14ac:dyDescent="0.3">
      <c r="J1409">
        <v>1386</v>
      </c>
      <c r="K1409" s="10">
        <v>0.22344783710437718</v>
      </c>
      <c r="L1409" s="10">
        <v>-3.9904758105890892E-4</v>
      </c>
    </row>
    <row r="1410" spans="10:12" x14ac:dyDescent="0.3">
      <c r="J1410">
        <v>1387</v>
      </c>
      <c r="K1410" s="10">
        <v>0.20709659638928971</v>
      </c>
      <c r="L1410" s="10">
        <v>0.32575814297271183</v>
      </c>
    </row>
    <row r="1411" spans="10:12" x14ac:dyDescent="0.3">
      <c r="J1411">
        <v>1388</v>
      </c>
      <c r="K1411" s="10">
        <v>0.1897893032137809</v>
      </c>
      <c r="L1411" s="10">
        <v>0.33116824816744794</v>
      </c>
    </row>
    <row r="1412" spans="10:12" x14ac:dyDescent="0.3">
      <c r="J1412">
        <v>1389</v>
      </c>
      <c r="K1412" s="10">
        <v>0.20350615441225653</v>
      </c>
      <c r="L1412" s="10">
        <v>0.22985146679352914</v>
      </c>
    </row>
    <row r="1413" spans="10:12" x14ac:dyDescent="0.3">
      <c r="J1413">
        <v>1390</v>
      </c>
      <c r="K1413" s="10">
        <v>0.22102262988100915</v>
      </c>
      <c r="L1413" s="10">
        <v>2.113771532087351E-2</v>
      </c>
    </row>
    <row r="1414" spans="10:12" x14ac:dyDescent="0.3">
      <c r="J1414">
        <v>1391</v>
      </c>
      <c r="K1414" s="10">
        <v>0.19443953843300033</v>
      </c>
      <c r="L1414" s="10">
        <v>0.42362990551683805</v>
      </c>
    </row>
    <row r="1415" spans="10:12" x14ac:dyDescent="0.3">
      <c r="J1415">
        <v>1392</v>
      </c>
      <c r="K1415" s="10">
        <v>0.21842306888949975</v>
      </c>
      <c r="L1415" s="10">
        <v>9.666127320261364E-2</v>
      </c>
    </row>
    <row r="1416" spans="10:12" x14ac:dyDescent="0.3">
      <c r="J1416">
        <v>1393</v>
      </c>
      <c r="K1416" s="10">
        <v>0.19892706929821072</v>
      </c>
      <c r="L1416" s="10">
        <v>0.39164356071420131</v>
      </c>
    </row>
    <row r="1417" spans="10:12" x14ac:dyDescent="0.3">
      <c r="J1417">
        <v>1394</v>
      </c>
      <c r="K1417" s="10">
        <v>0.2284601010079845</v>
      </c>
      <c r="L1417" s="10">
        <v>0.26351175860226078</v>
      </c>
    </row>
    <row r="1418" spans="10:12" x14ac:dyDescent="0.3">
      <c r="J1418">
        <v>1395</v>
      </c>
      <c r="K1418" s="10">
        <v>0.21150945677596189</v>
      </c>
      <c r="L1418" s="10">
        <v>0.55284596667781072</v>
      </c>
    </row>
    <row r="1419" spans="10:12" x14ac:dyDescent="0.3">
      <c r="J1419">
        <v>1396</v>
      </c>
      <c r="K1419" s="10">
        <v>0.18941508973038604</v>
      </c>
      <c r="L1419" s="10">
        <v>0.28471658856971144</v>
      </c>
    </row>
    <row r="1420" spans="10:12" x14ac:dyDescent="0.3">
      <c r="J1420">
        <v>1397</v>
      </c>
      <c r="K1420" s="10">
        <v>0.19907326213240273</v>
      </c>
      <c r="L1420" s="10">
        <v>0.14580948846135716</v>
      </c>
    </row>
    <row r="1421" spans="10:12" x14ac:dyDescent="0.3">
      <c r="J1421">
        <v>1398</v>
      </c>
      <c r="K1421" s="10">
        <v>0.21595899152750206</v>
      </c>
      <c r="L1421" s="10">
        <v>0.57714028138233675</v>
      </c>
    </row>
    <row r="1422" spans="10:12" x14ac:dyDescent="0.3">
      <c r="J1422">
        <v>1399</v>
      </c>
      <c r="K1422" s="10">
        <v>0.20028687507515763</v>
      </c>
      <c r="L1422" s="10">
        <v>0.14652754505705953</v>
      </c>
    </row>
    <row r="1423" spans="10:12" x14ac:dyDescent="0.3">
      <c r="J1423">
        <v>1400</v>
      </c>
      <c r="K1423" s="10">
        <v>0.2749969998896824</v>
      </c>
      <c r="L1423" s="10">
        <v>-6.9829833461828097E-2</v>
      </c>
    </row>
    <row r="1424" spans="10:12" x14ac:dyDescent="0.3">
      <c r="J1424">
        <v>1401</v>
      </c>
      <c r="K1424" s="10">
        <v>0.18943983464992864</v>
      </c>
      <c r="L1424" s="10">
        <v>0.28105138507361521</v>
      </c>
    </row>
    <row r="1425" spans="10:12" x14ac:dyDescent="0.3">
      <c r="J1425">
        <v>1402</v>
      </c>
      <c r="K1425" s="10">
        <v>0.19861028456918611</v>
      </c>
      <c r="L1425" s="10">
        <v>0.37387402562818806</v>
      </c>
    </row>
    <row r="1426" spans="10:12" x14ac:dyDescent="0.3">
      <c r="J1426">
        <v>1403</v>
      </c>
      <c r="K1426" s="10">
        <v>0.1978555363929711</v>
      </c>
      <c r="L1426" s="10">
        <v>0.19580162473859808</v>
      </c>
    </row>
    <row r="1427" spans="10:12" x14ac:dyDescent="0.3">
      <c r="J1427">
        <v>1404</v>
      </c>
      <c r="K1427" s="10">
        <v>0.18900731863050854</v>
      </c>
      <c r="L1427" s="10">
        <v>0.33187217338304653</v>
      </c>
    </row>
    <row r="1428" spans="10:12" x14ac:dyDescent="0.3">
      <c r="J1428">
        <v>1405</v>
      </c>
      <c r="K1428" s="10">
        <v>0.1898743248479752</v>
      </c>
      <c r="L1428" s="10">
        <v>0.27769880910978595</v>
      </c>
    </row>
    <row r="1429" spans="10:12" x14ac:dyDescent="0.3">
      <c r="J1429">
        <v>1406</v>
      </c>
      <c r="K1429" s="10">
        <v>0.2941351619661583</v>
      </c>
      <c r="L1429" s="10">
        <v>-6.216297472411636E-2</v>
      </c>
    </row>
    <row r="1430" spans="10:12" x14ac:dyDescent="0.3">
      <c r="J1430">
        <v>1407</v>
      </c>
      <c r="K1430" s="10">
        <v>0.19491352501107889</v>
      </c>
      <c r="L1430" s="10">
        <v>0.23863791677988869</v>
      </c>
    </row>
    <row r="1431" spans="10:12" x14ac:dyDescent="0.3">
      <c r="J1431">
        <v>1408</v>
      </c>
      <c r="K1431" s="10">
        <v>0.19111745955492557</v>
      </c>
      <c r="L1431" s="10">
        <v>0.28096513691093611</v>
      </c>
    </row>
    <row r="1432" spans="10:12" x14ac:dyDescent="0.3">
      <c r="J1432">
        <v>1409</v>
      </c>
      <c r="K1432" s="10">
        <v>0.19069076494575105</v>
      </c>
      <c r="L1432" s="10">
        <v>0.23656065449111668</v>
      </c>
    </row>
    <row r="1433" spans="10:12" x14ac:dyDescent="0.3">
      <c r="J1433">
        <v>1410</v>
      </c>
      <c r="K1433" s="10">
        <v>0.1902474605695389</v>
      </c>
      <c r="L1433" s="10">
        <v>0.34964031965377101</v>
      </c>
    </row>
    <row r="1434" spans="10:12" x14ac:dyDescent="0.3">
      <c r="J1434">
        <v>1411</v>
      </c>
      <c r="K1434" s="10">
        <v>0.19205211346680234</v>
      </c>
      <c r="L1434" s="10">
        <v>0.31343392964674233</v>
      </c>
    </row>
    <row r="1435" spans="10:12" x14ac:dyDescent="0.3">
      <c r="J1435">
        <v>1412</v>
      </c>
      <c r="K1435" s="10">
        <v>0.23269085451710578</v>
      </c>
      <c r="L1435" s="10">
        <v>0.26001117071759283</v>
      </c>
    </row>
    <row r="1436" spans="10:12" x14ac:dyDescent="0.3">
      <c r="J1436">
        <v>1413</v>
      </c>
      <c r="K1436" s="10">
        <v>0.2728415965861325</v>
      </c>
      <c r="L1436" s="10">
        <v>-6.3579766833399595E-2</v>
      </c>
    </row>
    <row r="1437" spans="10:12" x14ac:dyDescent="0.3">
      <c r="J1437">
        <v>1414</v>
      </c>
      <c r="K1437" s="10">
        <v>0.20065845417697067</v>
      </c>
      <c r="L1437" s="10">
        <v>0.24242579645442797</v>
      </c>
    </row>
    <row r="1438" spans="10:12" x14ac:dyDescent="0.3">
      <c r="J1438">
        <v>1415</v>
      </c>
      <c r="K1438" s="10">
        <v>0.28642750765847208</v>
      </c>
      <c r="L1438" s="10">
        <v>3.2923457438853318E-2</v>
      </c>
    </row>
    <row r="1439" spans="10:12" x14ac:dyDescent="0.3">
      <c r="J1439">
        <v>1416</v>
      </c>
      <c r="K1439" s="10">
        <v>0.20992452153839944</v>
      </c>
      <c r="L1439" s="10">
        <v>0.53320190876095963</v>
      </c>
    </row>
    <row r="1440" spans="10:12" x14ac:dyDescent="0.3">
      <c r="J1440">
        <v>1417</v>
      </c>
      <c r="K1440" s="10">
        <v>0.23736174575047619</v>
      </c>
      <c r="L1440" s="10">
        <v>4.47526494213797E-2</v>
      </c>
    </row>
    <row r="1441" spans="10:12" x14ac:dyDescent="0.3">
      <c r="J1441">
        <v>1418</v>
      </c>
      <c r="K1441" s="10">
        <v>0.21938979784247123</v>
      </c>
      <c r="L1441" s="10">
        <v>8.8562441910099363E-2</v>
      </c>
    </row>
    <row r="1442" spans="10:12" x14ac:dyDescent="0.3">
      <c r="J1442">
        <v>1419</v>
      </c>
      <c r="K1442" s="10">
        <v>0.20069146912282823</v>
      </c>
      <c r="L1442" s="10">
        <v>0.20026961382333744</v>
      </c>
    </row>
    <row r="1443" spans="10:12" x14ac:dyDescent="0.3">
      <c r="J1443">
        <v>1420</v>
      </c>
      <c r="K1443" s="10">
        <v>0.1899943587163026</v>
      </c>
      <c r="L1443" s="10">
        <v>0.29703712426034501</v>
      </c>
    </row>
    <row r="1444" spans="10:12" x14ac:dyDescent="0.3">
      <c r="J1444">
        <v>1421</v>
      </c>
      <c r="K1444" s="10">
        <v>0.25658662183871195</v>
      </c>
      <c r="L1444" s="10">
        <v>-7.7286712113787639E-2</v>
      </c>
    </row>
    <row r="1445" spans="10:12" x14ac:dyDescent="0.3">
      <c r="J1445">
        <v>1422</v>
      </c>
      <c r="K1445" s="10">
        <v>0.21347722183438783</v>
      </c>
      <c r="L1445" s="10">
        <v>0.33671797889233535</v>
      </c>
    </row>
    <row r="1446" spans="10:12" x14ac:dyDescent="0.3">
      <c r="J1446">
        <v>1423</v>
      </c>
      <c r="K1446" s="10">
        <v>0.20628474164316518</v>
      </c>
      <c r="L1446" s="10">
        <v>0.15214477034872767</v>
      </c>
    </row>
    <row r="1447" spans="10:12" x14ac:dyDescent="0.3">
      <c r="J1447">
        <v>1424</v>
      </c>
      <c r="K1447" s="10">
        <v>0.22581142265171109</v>
      </c>
      <c r="L1447" s="10">
        <v>0.17843294834401668</v>
      </c>
    </row>
    <row r="1448" spans="10:12" x14ac:dyDescent="0.3">
      <c r="J1448">
        <v>1425</v>
      </c>
      <c r="K1448" s="10">
        <v>0.20578293186174812</v>
      </c>
      <c r="L1448" s="10">
        <v>0.20041632691622574</v>
      </c>
    </row>
    <row r="1449" spans="10:12" x14ac:dyDescent="0.3">
      <c r="J1449">
        <v>1426</v>
      </c>
      <c r="K1449" s="10">
        <v>0.20360236609603097</v>
      </c>
      <c r="L1449" s="10">
        <v>0.4776982419925937</v>
      </c>
    </row>
    <row r="1450" spans="10:12" x14ac:dyDescent="0.3">
      <c r="J1450">
        <v>1427</v>
      </c>
      <c r="K1450" s="10">
        <v>0.20777689746277977</v>
      </c>
      <c r="L1450" s="10">
        <v>0.48160430488888456</v>
      </c>
    </row>
    <row r="1451" spans="10:12" x14ac:dyDescent="0.3">
      <c r="J1451">
        <v>1428</v>
      </c>
      <c r="K1451" s="10">
        <v>0.21197873160001626</v>
      </c>
      <c r="L1451" s="10">
        <v>0.5548637313741569</v>
      </c>
    </row>
    <row r="1452" spans="10:12" x14ac:dyDescent="0.3">
      <c r="J1452">
        <v>1429</v>
      </c>
      <c r="K1452" s="10">
        <v>0.19224967235774928</v>
      </c>
      <c r="L1452" s="10">
        <v>0.22456254062259709</v>
      </c>
    </row>
    <row r="1453" spans="10:12" x14ac:dyDescent="0.3">
      <c r="J1453">
        <v>1430</v>
      </c>
      <c r="K1453" s="10">
        <v>0.25229138436336496</v>
      </c>
      <c r="L1453" s="10">
        <v>-4.6726501348351823E-2</v>
      </c>
    </row>
    <row r="1454" spans="10:12" x14ac:dyDescent="0.3">
      <c r="J1454">
        <v>1431</v>
      </c>
      <c r="K1454" s="10">
        <v>0.20693459626308316</v>
      </c>
      <c r="L1454" s="10">
        <v>0.1874394631345179</v>
      </c>
    </row>
    <row r="1455" spans="10:12" x14ac:dyDescent="0.3">
      <c r="J1455">
        <v>1432</v>
      </c>
      <c r="K1455" s="10">
        <v>0.20101117163852786</v>
      </c>
      <c r="L1455" s="10">
        <v>0.25548223026355543</v>
      </c>
    </row>
    <row r="1456" spans="10:12" x14ac:dyDescent="0.3">
      <c r="J1456">
        <v>1433</v>
      </c>
      <c r="K1456" s="10">
        <v>0.20852372003556016</v>
      </c>
      <c r="L1456" s="10">
        <v>0.5013974033089279</v>
      </c>
    </row>
    <row r="1457" spans="10:12" x14ac:dyDescent="0.3">
      <c r="J1457">
        <v>1434</v>
      </c>
      <c r="K1457" s="10">
        <v>0.21775543976647699</v>
      </c>
      <c r="L1457" s="10">
        <v>0.4015921630498927</v>
      </c>
    </row>
    <row r="1458" spans="10:12" x14ac:dyDescent="0.3">
      <c r="J1458">
        <v>1435</v>
      </c>
      <c r="K1458" s="10">
        <v>0.2915163572149993</v>
      </c>
      <c r="L1458" s="10">
        <v>0.10795947840989467</v>
      </c>
    </row>
    <row r="1459" spans="10:12" x14ac:dyDescent="0.3">
      <c r="J1459">
        <v>1436</v>
      </c>
      <c r="K1459" s="10">
        <v>0.20725490674808145</v>
      </c>
      <c r="L1459" s="10">
        <v>0.11155303138209076</v>
      </c>
    </row>
    <row r="1460" spans="10:12" x14ac:dyDescent="0.3">
      <c r="J1460">
        <v>1437</v>
      </c>
      <c r="K1460" s="10">
        <v>0.20228196817247815</v>
      </c>
      <c r="L1460" s="10">
        <v>0.23716576958495353</v>
      </c>
    </row>
    <row r="1461" spans="10:12" x14ac:dyDescent="0.3">
      <c r="J1461">
        <v>1438</v>
      </c>
      <c r="K1461" s="10">
        <v>0.21105858189176127</v>
      </c>
      <c r="L1461" s="10">
        <v>0.13885543849336496</v>
      </c>
    </row>
    <row r="1462" spans="10:12" x14ac:dyDescent="0.3">
      <c r="J1462">
        <v>1439</v>
      </c>
      <c r="K1462" s="10">
        <v>0.20955796984324668</v>
      </c>
      <c r="L1462" s="10">
        <v>7.6864255191923747E-2</v>
      </c>
    </row>
    <row r="1463" spans="10:12" x14ac:dyDescent="0.3">
      <c r="J1463">
        <v>1440</v>
      </c>
      <c r="K1463" s="10">
        <v>0.24110784372929445</v>
      </c>
      <c r="L1463" s="10">
        <v>-6.3189765051444802E-2</v>
      </c>
    </row>
    <row r="1464" spans="10:12" x14ac:dyDescent="0.3">
      <c r="J1464">
        <v>1441</v>
      </c>
      <c r="K1464" s="10">
        <v>0.20468752874613408</v>
      </c>
      <c r="L1464" s="10">
        <v>0.11928786416981105</v>
      </c>
    </row>
    <row r="1465" spans="10:12" x14ac:dyDescent="0.3">
      <c r="J1465">
        <v>1442</v>
      </c>
      <c r="K1465" s="10">
        <v>0.20742188827833352</v>
      </c>
      <c r="L1465" s="10">
        <v>0.41120509685427353</v>
      </c>
    </row>
    <row r="1466" spans="10:12" x14ac:dyDescent="0.3">
      <c r="J1466">
        <v>1443</v>
      </c>
      <c r="K1466" s="10">
        <v>0.21063263915603481</v>
      </c>
      <c r="L1466" s="10">
        <v>0.14722905979440098</v>
      </c>
    </row>
    <row r="1467" spans="10:12" x14ac:dyDescent="0.3">
      <c r="J1467">
        <v>1444</v>
      </c>
      <c r="K1467" s="10">
        <v>0.19050794926476661</v>
      </c>
      <c r="L1467" s="10">
        <v>0.31666614494096551</v>
      </c>
    </row>
    <row r="1468" spans="10:12" x14ac:dyDescent="0.3">
      <c r="J1468">
        <v>1445</v>
      </c>
      <c r="K1468" s="10">
        <v>0.25321331550874537</v>
      </c>
      <c r="L1468" s="10">
        <v>-2.0191187082519414E-2</v>
      </c>
    </row>
    <row r="1469" spans="10:12" x14ac:dyDescent="0.3">
      <c r="J1469">
        <v>1446</v>
      </c>
      <c r="K1469" s="10">
        <v>0.19194523098049041</v>
      </c>
      <c r="L1469" s="10">
        <v>0.3976933638684097</v>
      </c>
    </row>
    <row r="1470" spans="10:12" x14ac:dyDescent="0.3">
      <c r="J1470">
        <v>1447</v>
      </c>
      <c r="K1470" s="10">
        <v>0.27334208925482434</v>
      </c>
      <c r="L1470" s="10">
        <v>-1.2253273626451663E-2</v>
      </c>
    </row>
    <row r="1471" spans="10:12" x14ac:dyDescent="0.3">
      <c r="J1471">
        <v>1448</v>
      </c>
      <c r="K1471" s="10">
        <v>0.19523485791135539</v>
      </c>
      <c r="L1471" s="10">
        <v>0.42309814355517922</v>
      </c>
    </row>
    <row r="1472" spans="10:12" x14ac:dyDescent="0.3">
      <c r="J1472">
        <v>1449</v>
      </c>
      <c r="K1472" s="10">
        <v>0.20270761722570496</v>
      </c>
      <c r="L1472" s="10">
        <v>0.47896056606069198</v>
      </c>
    </row>
    <row r="1473" spans="10:12" x14ac:dyDescent="0.3">
      <c r="J1473">
        <v>1450</v>
      </c>
      <c r="K1473" s="10">
        <v>0.20342599013322168</v>
      </c>
      <c r="L1473" s="10">
        <v>0.18136126624976318</v>
      </c>
    </row>
    <row r="1474" spans="10:12" x14ac:dyDescent="0.3">
      <c r="J1474">
        <v>1451</v>
      </c>
      <c r="K1474" s="10">
        <v>0.20970649259196014</v>
      </c>
      <c r="L1474" s="10">
        <v>0.53526540160573555</v>
      </c>
    </row>
    <row r="1475" spans="10:12" x14ac:dyDescent="0.3">
      <c r="J1475">
        <v>1452</v>
      </c>
      <c r="K1475" s="10">
        <v>0.24679588228462324</v>
      </c>
      <c r="L1475" s="10">
        <v>0.10624700527939142</v>
      </c>
    </row>
    <row r="1476" spans="10:12" x14ac:dyDescent="0.3">
      <c r="J1476">
        <v>1453</v>
      </c>
      <c r="K1476" s="10">
        <v>0.24545709675601385</v>
      </c>
      <c r="L1476" s="10">
        <v>-9.0847732411076854E-2</v>
      </c>
    </row>
    <row r="1477" spans="10:12" x14ac:dyDescent="0.3">
      <c r="J1477">
        <v>1454</v>
      </c>
      <c r="K1477" s="10">
        <v>0.19034333940670434</v>
      </c>
      <c r="L1477" s="10">
        <v>0.31273657357184481</v>
      </c>
    </row>
    <row r="1478" spans="10:12" x14ac:dyDescent="0.3">
      <c r="J1478">
        <v>1455</v>
      </c>
      <c r="K1478" s="10">
        <v>0.25513395924452797</v>
      </c>
      <c r="L1478" s="10">
        <v>-8.7724376850270153E-2</v>
      </c>
    </row>
    <row r="1479" spans="10:12" x14ac:dyDescent="0.3">
      <c r="J1479">
        <v>1456</v>
      </c>
      <c r="K1479" s="10">
        <v>0.22964265397704064</v>
      </c>
      <c r="L1479" s="10">
        <v>0.40355854376371958</v>
      </c>
    </row>
    <row r="1480" spans="10:12" x14ac:dyDescent="0.3">
      <c r="J1480">
        <v>1457</v>
      </c>
      <c r="K1480" s="10">
        <v>0.23120394653340082</v>
      </c>
      <c r="L1480" s="10">
        <v>0.64110009611731444</v>
      </c>
    </row>
    <row r="1481" spans="10:12" x14ac:dyDescent="0.3">
      <c r="J1481">
        <v>1458</v>
      </c>
      <c r="K1481" s="10">
        <v>0.19239123048861767</v>
      </c>
      <c r="L1481" s="10">
        <v>0.22379359194179194</v>
      </c>
    </row>
    <row r="1482" spans="10:12" x14ac:dyDescent="0.3">
      <c r="J1482">
        <v>1459</v>
      </c>
      <c r="K1482" s="10">
        <v>0.18976428010830401</v>
      </c>
      <c r="L1482" s="10">
        <v>0.34944796809212231</v>
      </c>
    </row>
    <row r="1483" spans="10:12" x14ac:dyDescent="0.3">
      <c r="J1483">
        <v>1460</v>
      </c>
      <c r="K1483" s="10">
        <v>0.24463020581733222</v>
      </c>
      <c r="L1483" s="10">
        <v>-8.4134620442802899E-2</v>
      </c>
    </row>
    <row r="1484" spans="10:12" x14ac:dyDescent="0.3">
      <c r="J1484">
        <v>1461</v>
      </c>
      <c r="K1484" s="10">
        <v>0.22686456099406124</v>
      </c>
      <c r="L1484" s="10">
        <v>0.33849052406848312</v>
      </c>
    </row>
    <row r="1485" spans="10:12" x14ac:dyDescent="0.3">
      <c r="J1485">
        <v>1462</v>
      </c>
      <c r="K1485" s="10">
        <v>0.18897903684993275</v>
      </c>
      <c r="L1485" s="10">
        <v>0.28745138917816493</v>
      </c>
    </row>
    <row r="1486" spans="10:12" x14ac:dyDescent="0.3">
      <c r="J1486">
        <v>1463</v>
      </c>
      <c r="K1486" s="10">
        <v>0.20226909708933075</v>
      </c>
      <c r="L1486" s="10">
        <v>0.42889688369729223</v>
      </c>
    </row>
    <row r="1487" spans="10:12" x14ac:dyDescent="0.3">
      <c r="J1487">
        <v>1464</v>
      </c>
      <c r="K1487" s="10">
        <v>0.19881018255927466</v>
      </c>
      <c r="L1487" s="10">
        <v>0.2927739498978853</v>
      </c>
    </row>
    <row r="1488" spans="10:12" x14ac:dyDescent="0.3">
      <c r="J1488">
        <v>1465</v>
      </c>
      <c r="K1488" s="10">
        <v>0.2104754101493517</v>
      </c>
      <c r="L1488" s="10">
        <v>0.25145404322916659</v>
      </c>
    </row>
    <row r="1489" spans="10:12" x14ac:dyDescent="0.3">
      <c r="J1489">
        <v>1466</v>
      </c>
      <c r="K1489" s="10">
        <v>0.26022224072591438</v>
      </c>
      <c r="L1489" s="10">
        <v>-9.0414797612832692E-2</v>
      </c>
    </row>
    <row r="1490" spans="10:12" x14ac:dyDescent="0.3">
      <c r="J1490">
        <v>1467</v>
      </c>
      <c r="K1490" s="10">
        <v>0.21198194438181706</v>
      </c>
      <c r="L1490" s="10">
        <v>0.29645424978354445</v>
      </c>
    </row>
    <row r="1491" spans="10:12" x14ac:dyDescent="0.3">
      <c r="J1491">
        <v>1468</v>
      </c>
      <c r="K1491" s="10">
        <v>0.1958496360083154</v>
      </c>
      <c r="L1491" s="10">
        <v>0.35325971954735275</v>
      </c>
    </row>
    <row r="1492" spans="10:12" x14ac:dyDescent="0.3">
      <c r="J1492">
        <v>1469</v>
      </c>
      <c r="K1492" s="10">
        <v>0.19448231815479505</v>
      </c>
      <c r="L1492" s="10">
        <v>0.40464770907105019</v>
      </c>
    </row>
    <row r="1493" spans="10:12" x14ac:dyDescent="0.3">
      <c r="J1493">
        <v>1470</v>
      </c>
      <c r="K1493" s="10">
        <v>0.26420546663047911</v>
      </c>
      <c r="L1493" s="10">
        <v>7.7284637951832748E-3</v>
      </c>
    </row>
    <row r="1494" spans="10:12" x14ac:dyDescent="0.3">
      <c r="J1494">
        <v>1471</v>
      </c>
      <c r="K1494" s="10">
        <v>0.26794576359760941</v>
      </c>
      <c r="L1494" s="10">
        <v>0.79614083656889489</v>
      </c>
    </row>
    <row r="1495" spans="10:12" x14ac:dyDescent="0.3">
      <c r="J1495">
        <v>1472</v>
      </c>
      <c r="K1495" s="10">
        <v>0.22461392015843551</v>
      </c>
      <c r="L1495" s="10">
        <v>0.61135241807455631</v>
      </c>
    </row>
    <row r="1496" spans="10:12" x14ac:dyDescent="0.3">
      <c r="J1496">
        <v>1473</v>
      </c>
      <c r="K1496" s="10">
        <v>0.20864288853452645</v>
      </c>
      <c r="L1496" s="10">
        <v>0.18793061435214167</v>
      </c>
    </row>
    <row r="1497" spans="10:12" x14ac:dyDescent="0.3">
      <c r="J1497">
        <v>1474</v>
      </c>
      <c r="K1497" s="10">
        <v>0.20232868111991908</v>
      </c>
      <c r="L1497" s="10">
        <v>0.23818730234932192</v>
      </c>
    </row>
    <row r="1498" spans="10:12" x14ac:dyDescent="0.3">
      <c r="J1498">
        <v>1475</v>
      </c>
      <c r="K1498" s="10">
        <v>0.2028642263029215</v>
      </c>
      <c r="L1498" s="10">
        <v>0.30707036470610571</v>
      </c>
    </row>
    <row r="1499" spans="10:12" x14ac:dyDescent="0.3">
      <c r="J1499">
        <v>1476</v>
      </c>
      <c r="K1499" s="10">
        <v>0.20338082331570256</v>
      </c>
      <c r="L1499" s="10">
        <v>0.18979060873618009</v>
      </c>
    </row>
    <row r="1500" spans="10:12" x14ac:dyDescent="0.3">
      <c r="J1500">
        <v>1477</v>
      </c>
      <c r="K1500" s="10">
        <v>0.24529701564516762</v>
      </c>
      <c r="L1500" s="10">
        <v>0.68945077878825634</v>
      </c>
    </row>
    <row r="1501" spans="10:12" x14ac:dyDescent="0.3">
      <c r="J1501">
        <v>1478</v>
      </c>
      <c r="K1501" s="10">
        <v>0.19010509347584909</v>
      </c>
      <c r="L1501" s="10">
        <v>0.26760923166465578</v>
      </c>
    </row>
    <row r="1502" spans="10:12" x14ac:dyDescent="0.3">
      <c r="J1502">
        <v>1479</v>
      </c>
      <c r="K1502" s="10">
        <v>0.19645615498528629</v>
      </c>
      <c r="L1502" s="10">
        <v>0.35386023394418697</v>
      </c>
    </row>
    <row r="1503" spans="10:12" x14ac:dyDescent="0.3">
      <c r="J1503">
        <v>1480</v>
      </c>
      <c r="K1503" s="10">
        <v>0.20591942021287546</v>
      </c>
      <c r="L1503" s="10">
        <v>0.20848708955529366</v>
      </c>
    </row>
    <row r="1504" spans="10:12" x14ac:dyDescent="0.3">
      <c r="J1504">
        <v>1481</v>
      </c>
      <c r="K1504" s="10">
        <v>0.20111342426570319</v>
      </c>
      <c r="L1504" s="10">
        <v>0.42852045472648753</v>
      </c>
    </row>
    <row r="1505" spans="10:12" x14ac:dyDescent="0.3">
      <c r="J1505">
        <v>1482</v>
      </c>
      <c r="K1505" s="10">
        <v>0.20653120571146033</v>
      </c>
      <c r="L1505" s="10">
        <v>0.23657551115976116</v>
      </c>
    </row>
    <row r="1506" spans="10:12" x14ac:dyDescent="0.3">
      <c r="J1506">
        <v>1483</v>
      </c>
      <c r="K1506" s="10">
        <v>0.21150052857464785</v>
      </c>
      <c r="L1506" s="10">
        <v>0.39731043311046255</v>
      </c>
    </row>
    <row r="1507" spans="10:12" x14ac:dyDescent="0.3">
      <c r="J1507">
        <v>1484</v>
      </c>
      <c r="K1507" s="10">
        <v>0.24321180836194267</v>
      </c>
      <c r="L1507" s="10">
        <v>0.14357929551578633</v>
      </c>
    </row>
    <row r="1508" spans="10:12" x14ac:dyDescent="0.3">
      <c r="J1508">
        <v>1485</v>
      </c>
      <c r="K1508" s="10">
        <v>0.21926981223235664</v>
      </c>
      <c r="L1508" s="10">
        <v>0.3073486800947493</v>
      </c>
    </row>
    <row r="1509" spans="10:12" x14ac:dyDescent="0.3">
      <c r="J1509">
        <v>1486</v>
      </c>
      <c r="K1509" s="10">
        <v>0.1928020789363695</v>
      </c>
      <c r="L1509" s="10">
        <v>0.20764427997831558</v>
      </c>
    </row>
    <row r="1510" spans="10:12" x14ac:dyDescent="0.3">
      <c r="J1510">
        <v>1487</v>
      </c>
      <c r="K1510" s="10">
        <v>0.21110343046279659</v>
      </c>
      <c r="L1510" s="10">
        <v>0.39474213741786895</v>
      </c>
    </row>
    <row r="1511" spans="10:12" x14ac:dyDescent="0.3">
      <c r="J1511">
        <v>1488</v>
      </c>
      <c r="K1511" s="10">
        <v>0.19615249079531022</v>
      </c>
      <c r="L1511" s="10">
        <v>0.17973414775636637</v>
      </c>
    </row>
    <row r="1512" spans="10:12" x14ac:dyDescent="0.3">
      <c r="J1512">
        <v>1489</v>
      </c>
      <c r="K1512" s="10">
        <v>0.19645106300935949</v>
      </c>
      <c r="L1512" s="10">
        <v>0.23558663334504473</v>
      </c>
    </row>
    <row r="1513" spans="10:12" x14ac:dyDescent="0.3">
      <c r="J1513">
        <v>1490</v>
      </c>
      <c r="K1513" s="10">
        <v>0.19076340891795754</v>
      </c>
      <c r="L1513" s="10">
        <v>0.25082775712155708</v>
      </c>
    </row>
    <row r="1514" spans="10:12" x14ac:dyDescent="0.3">
      <c r="J1514">
        <v>1491</v>
      </c>
      <c r="K1514" s="10">
        <v>0.19499600766446976</v>
      </c>
      <c r="L1514" s="10">
        <v>0.40200812500534838</v>
      </c>
    </row>
    <row r="1515" spans="10:12" x14ac:dyDescent="0.3">
      <c r="J1515">
        <v>1492</v>
      </c>
      <c r="K1515" s="10">
        <v>0.2079455844067078</v>
      </c>
      <c r="L1515" s="10">
        <v>0.33983016084889839</v>
      </c>
    </row>
    <row r="1516" spans="10:12" x14ac:dyDescent="0.3">
      <c r="J1516">
        <v>1493</v>
      </c>
      <c r="K1516" s="10">
        <v>0.22883371245443071</v>
      </c>
      <c r="L1516" s="10">
        <v>-1.7216344823893684E-2</v>
      </c>
    </row>
    <row r="1517" spans="10:12" x14ac:dyDescent="0.3">
      <c r="J1517">
        <v>1494</v>
      </c>
      <c r="K1517" s="10">
        <v>0.19900278059514651</v>
      </c>
      <c r="L1517" s="10">
        <v>0.20540578900483245</v>
      </c>
    </row>
    <row r="1518" spans="10:12" x14ac:dyDescent="0.3">
      <c r="J1518">
        <v>1495</v>
      </c>
      <c r="K1518" s="10">
        <v>0.2525918603927349</v>
      </c>
      <c r="L1518" s="10">
        <v>-9.0587267774949867E-2</v>
      </c>
    </row>
    <row r="1519" spans="10:12" x14ac:dyDescent="0.3">
      <c r="J1519">
        <v>1496</v>
      </c>
      <c r="K1519" s="10">
        <v>0.19128795855007988</v>
      </c>
      <c r="L1519" s="10">
        <v>0.32739745820047389</v>
      </c>
    </row>
    <row r="1520" spans="10:12" x14ac:dyDescent="0.3">
      <c r="J1520">
        <v>1497</v>
      </c>
      <c r="K1520" s="10">
        <v>0.2064280161389119</v>
      </c>
      <c r="L1520" s="10">
        <v>0.52161388265439035</v>
      </c>
    </row>
    <row r="1521" spans="10:12" x14ac:dyDescent="0.3">
      <c r="J1521">
        <v>1498</v>
      </c>
      <c r="K1521" s="10">
        <v>0.23673961779989863</v>
      </c>
      <c r="L1521" s="10">
        <v>1.6735440916435723E-2</v>
      </c>
    </row>
    <row r="1522" spans="10:12" x14ac:dyDescent="0.3">
      <c r="J1522">
        <v>1499</v>
      </c>
      <c r="K1522" s="10">
        <v>0.20442355642086521</v>
      </c>
      <c r="L1522" s="10">
        <v>0.44866489230878476</v>
      </c>
    </row>
    <row r="1523" spans="10:12" x14ac:dyDescent="0.3">
      <c r="J1523">
        <v>1500</v>
      </c>
      <c r="K1523" s="10">
        <v>0.19389381225512375</v>
      </c>
      <c r="L1523" s="10">
        <v>0.24919546189865527</v>
      </c>
    </row>
    <row r="1524" spans="10:12" x14ac:dyDescent="0.3">
      <c r="J1524">
        <v>1501</v>
      </c>
      <c r="K1524" s="10">
        <v>0.21416545287328276</v>
      </c>
      <c r="L1524" s="10">
        <v>0.45042541196243158</v>
      </c>
    </row>
    <row r="1525" spans="10:12" x14ac:dyDescent="0.3">
      <c r="J1525">
        <v>1502</v>
      </c>
      <c r="K1525" s="10">
        <v>0.2178431177622801</v>
      </c>
      <c r="L1525" s="10">
        <v>0.57403211788708008</v>
      </c>
    </row>
    <row r="1526" spans="10:12" x14ac:dyDescent="0.3">
      <c r="J1526">
        <v>1503</v>
      </c>
      <c r="K1526" s="10">
        <v>0.22117821641360802</v>
      </c>
      <c r="L1526" s="10">
        <v>0.60344602734618147</v>
      </c>
    </row>
    <row r="1527" spans="10:12" x14ac:dyDescent="0.3">
      <c r="J1527">
        <v>1504</v>
      </c>
      <c r="K1527" s="10">
        <v>0.20587318574405292</v>
      </c>
      <c r="L1527" s="10">
        <v>0.26246820362753831</v>
      </c>
    </row>
    <row r="1528" spans="10:12" x14ac:dyDescent="0.3">
      <c r="J1528">
        <v>1505</v>
      </c>
      <c r="K1528" s="10">
        <v>0.20050207947964102</v>
      </c>
      <c r="L1528" s="10">
        <v>0.17672419399015094</v>
      </c>
    </row>
    <row r="1529" spans="10:12" x14ac:dyDescent="0.3">
      <c r="J1529">
        <v>1506</v>
      </c>
      <c r="K1529" s="10">
        <v>0.25713340907943971</v>
      </c>
      <c r="L1529" s="10">
        <v>0.22686957013972073</v>
      </c>
    </row>
    <row r="1530" spans="10:12" x14ac:dyDescent="0.3">
      <c r="J1530">
        <v>1507</v>
      </c>
      <c r="K1530" s="10">
        <v>0.21375912668861854</v>
      </c>
      <c r="L1530" s="10">
        <v>0.1157404586883273</v>
      </c>
    </row>
    <row r="1531" spans="10:12" x14ac:dyDescent="0.3">
      <c r="J1531">
        <v>1508</v>
      </c>
      <c r="K1531" s="10">
        <v>0.19941737270322429</v>
      </c>
      <c r="L1531" s="10">
        <v>0.14137134086453423</v>
      </c>
    </row>
    <row r="1532" spans="10:12" x14ac:dyDescent="0.3">
      <c r="J1532">
        <v>1509</v>
      </c>
      <c r="K1532" s="10">
        <v>0.20067799171819969</v>
      </c>
      <c r="L1532" s="10">
        <v>0.23507775357305385</v>
      </c>
    </row>
    <row r="1533" spans="10:12" x14ac:dyDescent="0.3">
      <c r="J1533">
        <v>1510</v>
      </c>
      <c r="K1533" s="10">
        <v>0.20110760340460979</v>
      </c>
      <c r="L1533" s="10">
        <v>0.17157433658908688</v>
      </c>
    </row>
    <row r="1534" spans="10:12" x14ac:dyDescent="0.3">
      <c r="J1534">
        <v>1511</v>
      </c>
      <c r="K1534" s="10">
        <v>0.21301949275158322</v>
      </c>
      <c r="L1534" s="10">
        <v>0.13277751645726521</v>
      </c>
    </row>
    <row r="1535" spans="10:12" x14ac:dyDescent="0.3">
      <c r="J1535">
        <v>1512</v>
      </c>
      <c r="K1535" s="10">
        <v>0.1888147281933393</v>
      </c>
      <c r="L1535" s="10">
        <v>0.31492052168096674</v>
      </c>
    </row>
    <row r="1536" spans="10:12" x14ac:dyDescent="0.3">
      <c r="J1536">
        <v>1513</v>
      </c>
      <c r="K1536" s="10">
        <v>0.20847058589726786</v>
      </c>
      <c r="L1536" s="10">
        <v>0.17928150438170523</v>
      </c>
    </row>
    <row r="1537" spans="10:12" x14ac:dyDescent="0.3">
      <c r="J1537">
        <v>1514</v>
      </c>
      <c r="K1537" s="10">
        <v>0.21512272199080068</v>
      </c>
      <c r="L1537" s="10">
        <v>0.3162995411550335</v>
      </c>
    </row>
    <row r="1538" spans="10:12" x14ac:dyDescent="0.3">
      <c r="J1538">
        <v>1515</v>
      </c>
      <c r="K1538" s="10">
        <v>0.23955510911753886</v>
      </c>
      <c r="L1538" s="10">
        <v>-4.5817999234612453E-2</v>
      </c>
    </row>
    <row r="1539" spans="10:12" x14ac:dyDescent="0.3">
      <c r="J1539">
        <v>1516</v>
      </c>
      <c r="K1539" s="10">
        <v>0.21836141699379749</v>
      </c>
      <c r="L1539" s="10">
        <v>0.12025851818846928</v>
      </c>
    </row>
    <row r="1540" spans="10:12" x14ac:dyDescent="0.3">
      <c r="J1540">
        <v>1517</v>
      </c>
      <c r="K1540" s="10">
        <v>0.22776060315964552</v>
      </c>
      <c r="L1540" s="10">
        <v>0.63418607546599071</v>
      </c>
    </row>
    <row r="1541" spans="10:12" x14ac:dyDescent="0.3">
      <c r="J1541">
        <v>1518</v>
      </c>
      <c r="K1541" s="10">
        <v>0.27227348515157446</v>
      </c>
      <c r="L1541" s="10">
        <v>0.11771622935324448</v>
      </c>
    </row>
    <row r="1542" spans="10:12" x14ac:dyDescent="0.3">
      <c r="J1542">
        <v>1519</v>
      </c>
      <c r="K1542" s="10">
        <v>0.19513705566031822</v>
      </c>
      <c r="L1542" s="10">
        <v>0.426947570995033</v>
      </c>
    </row>
    <row r="1543" spans="10:12" x14ac:dyDescent="0.3">
      <c r="J1543">
        <v>1520</v>
      </c>
      <c r="K1543" s="10">
        <v>0.21389189394822972</v>
      </c>
      <c r="L1543" s="10">
        <v>0.37434327985270205</v>
      </c>
    </row>
    <row r="1544" spans="10:12" x14ac:dyDescent="0.3">
      <c r="J1544">
        <v>1521</v>
      </c>
      <c r="K1544" s="10">
        <v>0.19015521959424569</v>
      </c>
      <c r="L1544" s="10">
        <v>0.25429606656007636</v>
      </c>
    </row>
    <row r="1545" spans="10:12" x14ac:dyDescent="0.3">
      <c r="J1545">
        <v>1522</v>
      </c>
      <c r="K1545" s="10">
        <v>0.2508212005678685</v>
      </c>
      <c r="L1545" s="10">
        <v>-6.3475371888104662E-2</v>
      </c>
    </row>
    <row r="1546" spans="10:12" x14ac:dyDescent="0.3">
      <c r="J1546">
        <v>1523</v>
      </c>
      <c r="K1546" s="10">
        <v>0.20714471682905811</v>
      </c>
      <c r="L1546" s="10">
        <v>9.9059226912531856E-2</v>
      </c>
    </row>
    <row r="1547" spans="10:12" x14ac:dyDescent="0.3">
      <c r="J1547">
        <v>1524</v>
      </c>
      <c r="K1547" s="10">
        <v>0.19383261104944788</v>
      </c>
      <c r="L1547" s="10">
        <v>0.27158865869969867</v>
      </c>
    </row>
    <row r="1548" spans="10:12" x14ac:dyDescent="0.3">
      <c r="J1548">
        <v>1525</v>
      </c>
      <c r="K1548" s="10">
        <v>0.19258516155790026</v>
      </c>
      <c r="L1548" s="10">
        <v>0.32694551291745622</v>
      </c>
    </row>
    <row r="1549" spans="10:12" x14ac:dyDescent="0.3">
      <c r="J1549">
        <v>1526</v>
      </c>
      <c r="K1549" s="10">
        <v>0.25127915814860213</v>
      </c>
      <c r="L1549" s="10">
        <v>0.2645466023240155</v>
      </c>
    </row>
    <row r="1550" spans="10:12" x14ac:dyDescent="0.3">
      <c r="J1550">
        <v>1527</v>
      </c>
      <c r="K1550" s="10">
        <v>0.24303847949836432</v>
      </c>
      <c r="L1550" s="10">
        <v>0.12735836972371062</v>
      </c>
    </row>
    <row r="1551" spans="10:12" x14ac:dyDescent="0.3">
      <c r="J1551">
        <v>1528</v>
      </c>
      <c r="K1551" s="10">
        <v>0.21834717972116993</v>
      </c>
      <c r="L1551" s="10">
        <v>8.7290373670710741E-2</v>
      </c>
    </row>
    <row r="1552" spans="10:12" x14ac:dyDescent="0.3">
      <c r="J1552">
        <v>1529</v>
      </c>
      <c r="K1552" s="10">
        <v>0.23387725417858032</v>
      </c>
      <c r="L1552" s="10">
        <v>-5.1282119523301875E-3</v>
      </c>
    </row>
    <row r="1553" spans="10:12" x14ac:dyDescent="0.3">
      <c r="J1553">
        <v>1530</v>
      </c>
      <c r="K1553" s="10">
        <v>0.19123605386351325</v>
      </c>
      <c r="L1553" s="10">
        <v>0.37147730139185459</v>
      </c>
    </row>
    <row r="1554" spans="10:12" x14ac:dyDescent="0.3">
      <c r="J1554">
        <v>1531</v>
      </c>
      <c r="K1554" s="10">
        <v>0.22121280322649536</v>
      </c>
      <c r="L1554" s="10">
        <v>0.32966188609918812</v>
      </c>
    </row>
    <row r="1555" spans="10:12" x14ac:dyDescent="0.3">
      <c r="J1555">
        <v>1532</v>
      </c>
      <c r="K1555" s="10">
        <v>0.19351494923300577</v>
      </c>
      <c r="L1555" s="10">
        <v>0.22452822909162845</v>
      </c>
    </row>
    <row r="1556" spans="10:12" x14ac:dyDescent="0.3">
      <c r="J1556">
        <v>1533</v>
      </c>
      <c r="K1556" s="10">
        <v>0.22378785845753657</v>
      </c>
      <c r="L1556" s="10">
        <v>0.16378951907232747</v>
      </c>
    </row>
    <row r="1557" spans="10:12" x14ac:dyDescent="0.3">
      <c r="J1557">
        <v>1534</v>
      </c>
      <c r="K1557" s="10">
        <v>0.19458789325494785</v>
      </c>
      <c r="L1557" s="10">
        <v>0.36954974780210481</v>
      </c>
    </row>
    <row r="1558" spans="10:12" x14ac:dyDescent="0.3">
      <c r="J1558">
        <v>1535</v>
      </c>
      <c r="K1558" s="10">
        <v>0.19432952494693165</v>
      </c>
      <c r="L1558" s="10">
        <v>0.18838605888622306</v>
      </c>
    </row>
    <row r="1559" spans="10:12" x14ac:dyDescent="0.3">
      <c r="J1559">
        <v>1536</v>
      </c>
      <c r="K1559" s="10">
        <v>0.2202470126972402</v>
      </c>
      <c r="L1559" s="10">
        <v>0.10725325333819008</v>
      </c>
    </row>
    <row r="1560" spans="10:12" x14ac:dyDescent="0.3">
      <c r="J1560">
        <v>1537</v>
      </c>
      <c r="K1560" s="10">
        <v>0.1888964311528889</v>
      </c>
      <c r="L1560" s="10">
        <v>0.29545922935628405</v>
      </c>
    </row>
    <row r="1561" spans="10:12" x14ac:dyDescent="0.3">
      <c r="J1561">
        <v>1538</v>
      </c>
      <c r="K1561" s="10">
        <v>0.2104934532621601</v>
      </c>
      <c r="L1561" s="10">
        <v>0.23805097818171228</v>
      </c>
    </row>
    <row r="1562" spans="10:12" x14ac:dyDescent="0.3">
      <c r="J1562">
        <v>1539</v>
      </c>
      <c r="K1562" s="10">
        <v>0.27978804065495583</v>
      </c>
      <c r="L1562" s="10">
        <v>-6.6755649430427166E-2</v>
      </c>
    </row>
    <row r="1563" spans="10:12" x14ac:dyDescent="0.3">
      <c r="J1563">
        <v>1540</v>
      </c>
      <c r="K1563" s="10">
        <v>0.20178994968130717</v>
      </c>
      <c r="L1563" s="10">
        <v>0.15879483271109121</v>
      </c>
    </row>
    <row r="1564" spans="10:12" x14ac:dyDescent="0.3">
      <c r="J1564">
        <v>1541</v>
      </c>
      <c r="K1564" s="10">
        <v>0.24602731001124425</v>
      </c>
      <c r="L1564" s="10">
        <v>4.1241774756006419E-3</v>
      </c>
    </row>
    <row r="1565" spans="10:12" x14ac:dyDescent="0.3">
      <c r="J1565">
        <v>1542</v>
      </c>
      <c r="K1565" s="10">
        <v>0.21067105702767633</v>
      </c>
      <c r="L1565" s="10">
        <v>0.32301039041213297</v>
      </c>
    </row>
    <row r="1566" spans="10:12" x14ac:dyDescent="0.3">
      <c r="J1566">
        <v>1543</v>
      </c>
      <c r="K1566" s="10">
        <v>0.22109566099998998</v>
      </c>
      <c r="L1566" s="10">
        <v>0.24619865113701933</v>
      </c>
    </row>
    <row r="1567" spans="10:12" x14ac:dyDescent="0.3">
      <c r="J1567">
        <v>1544</v>
      </c>
      <c r="K1567" s="10">
        <v>0.21193667277987407</v>
      </c>
      <c r="L1567" s="10">
        <v>8.4559836403340721E-2</v>
      </c>
    </row>
    <row r="1568" spans="10:12" x14ac:dyDescent="0.3">
      <c r="J1568">
        <v>1545</v>
      </c>
      <c r="K1568" s="10">
        <v>0.23411219054794058</v>
      </c>
      <c r="L1568" s="10">
        <v>-3.3670023961219597E-2</v>
      </c>
    </row>
    <row r="1569" spans="10:12" x14ac:dyDescent="0.3">
      <c r="J1569">
        <v>1546</v>
      </c>
      <c r="K1569" s="10">
        <v>0.19154159124507139</v>
      </c>
      <c r="L1569" s="10">
        <v>0.37245573369027479</v>
      </c>
    </row>
    <row r="1570" spans="10:12" x14ac:dyDescent="0.3">
      <c r="J1570">
        <v>1547</v>
      </c>
      <c r="K1570" s="10">
        <v>0.21131186292189916</v>
      </c>
      <c r="L1570" s="10">
        <v>0.35689848603262597</v>
      </c>
    </row>
    <row r="1571" spans="10:12" x14ac:dyDescent="0.3">
      <c r="J1571">
        <v>1548</v>
      </c>
      <c r="K1571" s="10">
        <v>0.26868025613655427</v>
      </c>
      <c r="L1571" s="10">
        <v>-2.8165445852121832E-2</v>
      </c>
    </row>
    <row r="1572" spans="10:12" x14ac:dyDescent="0.3">
      <c r="J1572">
        <v>1549</v>
      </c>
      <c r="K1572" s="10">
        <v>0.24443366388503976</v>
      </c>
      <c r="L1572" s="10">
        <v>5.7314599327543805E-2</v>
      </c>
    </row>
    <row r="1573" spans="10:12" x14ac:dyDescent="0.3">
      <c r="J1573">
        <v>1550</v>
      </c>
      <c r="K1573" s="10">
        <v>0.19912703587896086</v>
      </c>
      <c r="L1573" s="10">
        <v>0.42233587255477123</v>
      </c>
    </row>
    <row r="1574" spans="10:12" x14ac:dyDescent="0.3">
      <c r="J1574">
        <v>1551</v>
      </c>
      <c r="K1574" s="10">
        <v>0.21407781605871812</v>
      </c>
      <c r="L1574" s="10">
        <v>0.30995329675728805</v>
      </c>
    </row>
    <row r="1575" spans="10:12" x14ac:dyDescent="0.3">
      <c r="J1575">
        <v>1552</v>
      </c>
      <c r="K1575" s="10">
        <v>0.28335390645518915</v>
      </c>
      <c r="L1575" s="10">
        <v>-4.324907876651464E-2</v>
      </c>
    </row>
    <row r="1576" spans="10:12" x14ac:dyDescent="0.3">
      <c r="J1576">
        <v>1553</v>
      </c>
      <c r="K1576" s="10">
        <v>0.24947155762434833</v>
      </c>
      <c r="L1576" s="10">
        <v>0.72339691522940419</v>
      </c>
    </row>
    <row r="1577" spans="10:12" x14ac:dyDescent="0.3">
      <c r="J1577">
        <v>1554</v>
      </c>
      <c r="K1577" s="10">
        <v>0.26622942634254332</v>
      </c>
      <c r="L1577" s="10">
        <v>0.10383273957787123</v>
      </c>
    </row>
    <row r="1578" spans="10:12" x14ac:dyDescent="0.3">
      <c r="J1578">
        <v>1555</v>
      </c>
      <c r="K1578" s="10">
        <v>0.21116895844474937</v>
      </c>
      <c r="L1578" s="10">
        <v>0.16874227781188639</v>
      </c>
    </row>
    <row r="1579" spans="10:12" x14ac:dyDescent="0.3">
      <c r="J1579">
        <v>1556</v>
      </c>
      <c r="K1579" s="10">
        <v>0.19618427763844512</v>
      </c>
      <c r="L1579" s="10">
        <v>0.44095407319801322</v>
      </c>
    </row>
    <row r="1580" spans="10:12" x14ac:dyDescent="0.3">
      <c r="J1580">
        <v>1557</v>
      </c>
      <c r="K1580" s="10">
        <v>0.19617946120943183</v>
      </c>
      <c r="L1580" s="10">
        <v>0.17149293202284713</v>
      </c>
    </row>
    <row r="1581" spans="10:12" x14ac:dyDescent="0.3">
      <c r="J1581">
        <v>1558</v>
      </c>
      <c r="K1581" s="10">
        <v>0.2547699684945835</v>
      </c>
      <c r="L1581" s="10">
        <v>0.13595801520893047</v>
      </c>
    </row>
    <row r="1582" spans="10:12" x14ac:dyDescent="0.3">
      <c r="J1582">
        <v>1559</v>
      </c>
      <c r="K1582" s="10">
        <v>0.19603817707282073</v>
      </c>
      <c r="L1582" s="10">
        <v>0.34747511084454635</v>
      </c>
    </row>
    <row r="1583" spans="10:12" x14ac:dyDescent="0.3">
      <c r="J1583">
        <v>1560</v>
      </c>
      <c r="K1583" s="10">
        <v>0.22216998962756368</v>
      </c>
      <c r="L1583" s="10">
        <v>0.36809243725825624</v>
      </c>
    </row>
    <row r="1584" spans="10:12" x14ac:dyDescent="0.3">
      <c r="J1584">
        <v>1561</v>
      </c>
      <c r="K1584" s="10">
        <v>0.20531714469301526</v>
      </c>
      <c r="L1584" s="10">
        <v>0.41918190024882351</v>
      </c>
    </row>
    <row r="1585" spans="10:12" x14ac:dyDescent="0.3">
      <c r="J1585">
        <v>1562</v>
      </c>
      <c r="K1585" s="10">
        <v>0.23919876481617885</v>
      </c>
      <c r="L1585" s="10">
        <v>0.12694900734560008</v>
      </c>
    </row>
    <row r="1586" spans="10:12" x14ac:dyDescent="0.3">
      <c r="J1586">
        <v>1563</v>
      </c>
      <c r="K1586" s="10">
        <v>0.19448110999312901</v>
      </c>
      <c r="L1586" s="10">
        <v>0.23366686580286888</v>
      </c>
    </row>
    <row r="1587" spans="10:12" x14ac:dyDescent="0.3">
      <c r="J1587">
        <v>1564</v>
      </c>
      <c r="K1587" s="10">
        <v>0.19104464725895151</v>
      </c>
      <c r="L1587" s="10">
        <v>0.23578471610229651</v>
      </c>
    </row>
    <row r="1588" spans="10:12" x14ac:dyDescent="0.3">
      <c r="J1588">
        <v>1565</v>
      </c>
      <c r="K1588" s="10">
        <v>0.20087800675593875</v>
      </c>
      <c r="L1588" s="10">
        <v>0.43447190066637065</v>
      </c>
    </row>
    <row r="1589" spans="10:12" x14ac:dyDescent="0.3">
      <c r="J1589">
        <v>1566</v>
      </c>
      <c r="K1589" s="10">
        <v>0.21380347237131209</v>
      </c>
      <c r="L1589" s="10">
        <v>0.56536746974577512</v>
      </c>
    </row>
    <row r="1590" spans="10:12" x14ac:dyDescent="0.3">
      <c r="J1590">
        <v>1567</v>
      </c>
      <c r="K1590" s="10">
        <v>0.21413753718357023</v>
      </c>
      <c r="L1590" s="10">
        <v>4.7150634203701511E-2</v>
      </c>
    </row>
    <row r="1591" spans="10:12" x14ac:dyDescent="0.3">
      <c r="J1591">
        <v>1568</v>
      </c>
      <c r="K1591" s="10">
        <v>0.18884726215286857</v>
      </c>
      <c r="L1591" s="10">
        <v>0.31000726379486609</v>
      </c>
    </row>
    <row r="1592" spans="10:12" x14ac:dyDescent="0.3">
      <c r="J1592">
        <v>1569</v>
      </c>
      <c r="K1592" s="10">
        <v>0.23659581850344422</v>
      </c>
      <c r="L1592" s="10">
        <v>9.3559610376877905E-2</v>
      </c>
    </row>
    <row r="1593" spans="10:12" x14ac:dyDescent="0.3">
      <c r="J1593">
        <v>1570</v>
      </c>
      <c r="K1593" s="10">
        <v>0.20133767093500976</v>
      </c>
      <c r="L1593" s="10">
        <v>0.20166008296774435</v>
      </c>
    </row>
    <row r="1594" spans="10:12" x14ac:dyDescent="0.3">
      <c r="J1594">
        <v>1571</v>
      </c>
      <c r="K1594" s="10">
        <v>0.20639009369182637</v>
      </c>
      <c r="L1594" s="10">
        <v>0.51556498249282956</v>
      </c>
    </row>
    <row r="1595" spans="10:12" x14ac:dyDescent="0.3">
      <c r="J1595">
        <v>1572</v>
      </c>
      <c r="K1595" s="10">
        <v>0.19937294881651987</v>
      </c>
      <c r="L1595" s="10">
        <v>0.43967489783633928</v>
      </c>
    </row>
    <row r="1596" spans="10:12" x14ac:dyDescent="0.3">
      <c r="J1596">
        <v>1573</v>
      </c>
      <c r="K1596" s="10">
        <v>0.26628247536010136</v>
      </c>
      <c r="L1596" s="10">
        <v>1.449469286672686E-2</v>
      </c>
    </row>
    <row r="1597" spans="10:12" x14ac:dyDescent="0.3">
      <c r="J1597">
        <v>1574</v>
      </c>
      <c r="K1597" s="10">
        <v>0.18982016161353171</v>
      </c>
      <c r="L1597" s="10">
        <v>0.36039933366870425</v>
      </c>
    </row>
    <row r="1598" spans="10:12" x14ac:dyDescent="0.3">
      <c r="J1598">
        <v>1575</v>
      </c>
      <c r="K1598" s="10">
        <v>0.20705860545680299</v>
      </c>
      <c r="L1598" s="10">
        <v>0.17508042978091232</v>
      </c>
    </row>
    <row r="1599" spans="10:12" x14ac:dyDescent="0.3">
      <c r="J1599">
        <v>1576</v>
      </c>
      <c r="K1599" s="10">
        <v>0.20906711477746651</v>
      </c>
      <c r="L1599" s="10">
        <v>8.3367985038294762E-2</v>
      </c>
    </row>
    <row r="1600" spans="10:12" x14ac:dyDescent="0.3">
      <c r="J1600">
        <v>1577</v>
      </c>
      <c r="K1600" s="10">
        <v>0.20169566806592149</v>
      </c>
      <c r="L1600" s="10">
        <v>0.23637810732751785</v>
      </c>
    </row>
    <row r="1601" spans="10:12" x14ac:dyDescent="0.3">
      <c r="J1601">
        <v>1578</v>
      </c>
      <c r="K1601" s="10">
        <v>0.23408331172452773</v>
      </c>
      <c r="L1601" s="10">
        <v>0.6565063799390719</v>
      </c>
    </row>
    <row r="1602" spans="10:12" x14ac:dyDescent="0.3">
      <c r="J1602">
        <v>1579</v>
      </c>
      <c r="K1602" s="10">
        <v>0.24827752353688756</v>
      </c>
      <c r="L1602" s="10">
        <v>0.18843857651539084</v>
      </c>
    </row>
    <row r="1603" spans="10:12" x14ac:dyDescent="0.3">
      <c r="J1603">
        <v>1580</v>
      </c>
      <c r="K1603" s="10">
        <v>0.21505774967332886</v>
      </c>
      <c r="L1603" s="10">
        <v>9.2914134826354439E-2</v>
      </c>
    </row>
    <row r="1604" spans="10:12" x14ac:dyDescent="0.3">
      <c r="J1604">
        <v>1581</v>
      </c>
      <c r="K1604" s="10">
        <v>0.20718035320705452</v>
      </c>
      <c r="L1604" s="10">
        <v>0.5017095740980918</v>
      </c>
    </row>
    <row r="1605" spans="10:12" x14ac:dyDescent="0.3">
      <c r="J1605">
        <v>1582</v>
      </c>
      <c r="K1605" s="10">
        <v>0.19954997124382612</v>
      </c>
      <c r="L1605" s="10">
        <v>0.41218399388407356</v>
      </c>
    </row>
    <row r="1606" spans="10:12" x14ac:dyDescent="0.3">
      <c r="J1606">
        <v>1583</v>
      </c>
      <c r="K1606" s="10">
        <v>0.20408107089084263</v>
      </c>
      <c r="L1606" s="10">
        <v>0.12731564780675322</v>
      </c>
    </row>
    <row r="1607" spans="10:12" x14ac:dyDescent="0.3">
      <c r="J1607">
        <v>1584</v>
      </c>
      <c r="K1607" s="10">
        <v>0.20170167745579667</v>
      </c>
      <c r="L1607" s="10">
        <v>0.48723620422376351</v>
      </c>
    </row>
    <row r="1608" spans="10:12" x14ac:dyDescent="0.3">
      <c r="J1608">
        <v>1585</v>
      </c>
      <c r="K1608" s="10">
        <v>0.22810439747703545</v>
      </c>
      <c r="L1608" s="10">
        <v>0.28476724810270077</v>
      </c>
    </row>
    <row r="1609" spans="10:12" x14ac:dyDescent="0.3">
      <c r="J1609">
        <v>1586</v>
      </c>
      <c r="K1609" s="10">
        <v>0.20192928576185279</v>
      </c>
      <c r="L1609" s="10">
        <v>0.23627939072188625</v>
      </c>
    </row>
    <row r="1610" spans="10:12" x14ac:dyDescent="0.3">
      <c r="J1610">
        <v>1587</v>
      </c>
      <c r="K1610" s="10">
        <v>0.23263722541786697</v>
      </c>
      <c r="L1610" s="10">
        <v>2.4700651849156256E-2</v>
      </c>
    </row>
    <row r="1611" spans="10:12" x14ac:dyDescent="0.3">
      <c r="J1611">
        <v>1588</v>
      </c>
      <c r="K1611" s="10">
        <v>0.19581784762652465</v>
      </c>
      <c r="L1611" s="10">
        <v>0.42886575934701199</v>
      </c>
    </row>
    <row r="1612" spans="10:12" x14ac:dyDescent="0.3">
      <c r="J1612">
        <v>1589</v>
      </c>
      <c r="K1612" s="10">
        <v>0.21048380019357957</v>
      </c>
      <c r="L1612" s="10">
        <v>0.11365850813452083</v>
      </c>
    </row>
    <row r="1613" spans="10:12" x14ac:dyDescent="0.3">
      <c r="J1613">
        <v>1590</v>
      </c>
      <c r="K1613" s="10">
        <v>0.20809911950937862</v>
      </c>
      <c r="L1613" s="10">
        <v>0.24322496730282966</v>
      </c>
    </row>
    <row r="1614" spans="10:12" x14ac:dyDescent="0.3">
      <c r="J1614">
        <v>1591</v>
      </c>
      <c r="K1614" s="10">
        <v>0.19397987539677072</v>
      </c>
      <c r="L1614" s="10">
        <v>0.40847323581319417</v>
      </c>
    </row>
    <row r="1615" spans="10:12" x14ac:dyDescent="0.3">
      <c r="J1615">
        <v>1592</v>
      </c>
      <c r="K1615" s="10">
        <v>0.18908817186677526</v>
      </c>
      <c r="L1615" s="10">
        <v>0.2929977741210027</v>
      </c>
    </row>
    <row r="1616" spans="10:12" x14ac:dyDescent="0.3">
      <c r="J1616">
        <v>1593</v>
      </c>
      <c r="K1616" s="10">
        <v>0.1896495899041763</v>
      </c>
      <c r="L1616" s="10">
        <v>0.26634171697726683</v>
      </c>
    </row>
    <row r="1617" spans="10:12" x14ac:dyDescent="0.3">
      <c r="J1617">
        <v>1594</v>
      </c>
      <c r="K1617" s="10">
        <v>0.26698358719662141</v>
      </c>
      <c r="L1617" s="10">
        <v>2.0713523971439586E-3</v>
      </c>
    </row>
    <row r="1618" spans="10:12" x14ac:dyDescent="0.3">
      <c r="J1618">
        <v>1595</v>
      </c>
      <c r="K1618" s="10">
        <v>0.22354059451473604</v>
      </c>
      <c r="L1618" s="10">
        <v>4.1424880562190847E-6</v>
      </c>
    </row>
    <row r="1619" spans="10:12" x14ac:dyDescent="0.3">
      <c r="J1619">
        <v>1596</v>
      </c>
      <c r="K1619" s="10">
        <v>0.20746781402365763</v>
      </c>
      <c r="L1619" s="10">
        <v>0.32346690345722556</v>
      </c>
    </row>
    <row r="1620" spans="10:12" x14ac:dyDescent="0.3">
      <c r="J1620">
        <v>1597</v>
      </c>
      <c r="K1620" s="10">
        <v>0.23946994626427284</v>
      </c>
      <c r="L1620" s="10">
        <v>0.19186168491829461</v>
      </c>
    </row>
    <row r="1621" spans="10:12" x14ac:dyDescent="0.3">
      <c r="J1621">
        <v>1598</v>
      </c>
      <c r="K1621" s="10">
        <v>0.21846103527714875</v>
      </c>
      <c r="L1621" s="10">
        <v>0.18604972777162226</v>
      </c>
    </row>
    <row r="1622" spans="10:12" x14ac:dyDescent="0.3">
      <c r="J1622">
        <v>1599</v>
      </c>
      <c r="K1622" s="10">
        <v>0.19843720963763645</v>
      </c>
      <c r="L1622" s="10">
        <v>0.45840580671057651</v>
      </c>
    </row>
    <row r="1623" spans="10:12" x14ac:dyDescent="0.3">
      <c r="J1623">
        <v>1600</v>
      </c>
      <c r="K1623" s="10">
        <v>0.20758180303493218</v>
      </c>
      <c r="L1623" s="10">
        <v>0.10101054021603025</v>
      </c>
    </row>
    <row r="1624" spans="10:12" x14ac:dyDescent="0.3">
      <c r="J1624">
        <v>1601</v>
      </c>
      <c r="K1624" s="10">
        <v>0.21675134849151759</v>
      </c>
      <c r="L1624" s="10">
        <v>0.12300503466184148</v>
      </c>
    </row>
    <row r="1625" spans="10:12" x14ac:dyDescent="0.3">
      <c r="J1625">
        <v>1602</v>
      </c>
      <c r="K1625" s="10">
        <v>0.25545029334348712</v>
      </c>
      <c r="L1625" s="10">
        <v>7.8736933366602355E-2</v>
      </c>
    </row>
    <row r="1626" spans="10:12" x14ac:dyDescent="0.3">
      <c r="J1626">
        <v>1603</v>
      </c>
      <c r="K1626" s="10">
        <v>0.20462431183730681</v>
      </c>
      <c r="L1626" s="10">
        <v>0.47257133583712152</v>
      </c>
    </row>
    <row r="1627" spans="10:12" x14ac:dyDescent="0.3">
      <c r="J1627">
        <v>1604</v>
      </c>
      <c r="K1627" s="10">
        <v>0.19991046480748634</v>
      </c>
      <c r="L1627" s="10">
        <v>0.17811866752828631</v>
      </c>
    </row>
    <row r="1628" spans="10:12" x14ac:dyDescent="0.3">
      <c r="J1628">
        <v>1605</v>
      </c>
      <c r="K1628" s="10">
        <v>0.19887032445429317</v>
      </c>
      <c r="L1628" s="10">
        <v>0.33105019579294859</v>
      </c>
    </row>
    <row r="1629" spans="10:12" x14ac:dyDescent="0.3">
      <c r="J1629">
        <v>1606</v>
      </c>
      <c r="K1629" s="10">
        <v>0.23815746229539175</v>
      </c>
      <c r="L1629" s="10">
        <v>8.0225576656650602E-2</v>
      </c>
    </row>
    <row r="1630" spans="10:12" x14ac:dyDescent="0.3">
      <c r="J1630">
        <v>1607</v>
      </c>
      <c r="K1630" s="10">
        <v>0.23426898065542787</v>
      </c>
      <c r="L1630" s="10">
        <v>8.0779261891214191E-2</v>
      </c>
    </row>
    <row r="1631" spans="10:12" x14ac:dyDescent="0.3">
      <c r="J1631">
        <v>1608</v>
      </c>
      <c r="K1631" s="10">
        <v>0.23782605967024398</v>
      </c>
      <c r="L1631" s="10">
        <v>0.28390750504737583</v>
      </c>
    </row>
    <row r="1632" spans="10:12" x14ac:dyDescent="0.3">
      <c r="J1632">
        <v>1609</v>
      </c>
      <c r="K1632" s="10">
        <v>0.19154864470766828</v>
      </c>
      <c r="L1632" s="10">
        <v>0.39023210555022553</v>
      </c>
    </row>
    <row r="1633" spans="10:12" x14ac:dyDescent="0.3">
      <c r="J1633">
        <v>1610</v>
      </c>
      <c r="K1633" s="10">
        <v>0.22522411901525805</v>
      </c>
      <c r="L1633" s="10">
        <v>4.0765020094745731E-2</v>
      </c>
    </row>
    <row r="1634" spans="10:12" x14ac:dyDescent="0.3">
      <c r="J1634">
        <v>1611</v>
      </c>
      <c r="K1634" s="10">
        <v>0.20387623054241266</v>
      </c>
      <c r="L1634" s="10">
        <v>0.27761078331251765</v>
      </c>
    </row>
    <row r="1635" spans="10:12" x14ac:dyDescent="0.3">
      <c r="J1635">
        <v>1612</v>
      </c>
      <c r="K1635" s="10">
        <v>0.25148959227640583</v>
      </c>
      <c r="L1635" s="10">
        <v>0.10981727952451045</v>
      </c>
    </row>
    <row r="1636" spans="10:12" x14ac:dyDescent="0.3">
      <c r="J1636">
        <v>1613</v>
      </c>
      <c r="K1636" s="10">
        <v>0.22525449409998377</v>
      </c>
      <c r="L1636" s="10">
        <v>2.4864143277469469E-3</v>
      </c>
    </row>
    <row r="1637" spans="10:12" x14ac:dyDescent="0.3">
      <c r="J1637">
        <v>1614</v>
      </c>
      <c r="K1637" s="10">
        <v>0.2267020634120808</v>
      </c>
      <c r="L1637" s="10">
        <v>0.16447845848738296</v>
      </c>
    </row>
    <row r="1638" spans="10:12" x14ac:dyDescent="0.3">
      <c r="J1638">
        <v>1615</v>
      </c>
      <c r="K1638" s="10">
        <v>0.23463385129257147</v>
      </c>
      <c r="L1638" s="10">
        <v>0.19781421406846889</v>
      </c>
    </row>
    <row r="1639" spans="10:12" x14ac:dyDescent="0.3">
      <c r="J1639">
        <v>1616</v>
      </c>
      <c r="K1639" s="10">
        <v>0.1996215061869602</v>
      </c>
      <c r="L1639" s="10">
        <v>0.18807952852374749</v>
      </c>
    </row>
    <row r="1640" spans="10:12" x14ac:dyDescent="0.3">
      <c r="J1640">
        <v>1617</v>
      </c>
      <c r="K1640" s="10">
        <v>0.19292207689395333</v>
      </c>
      <c r="L1640" s="10">
        <v>0.21874353248773268</v>
      </c>
    </row>
    <row r="1641" spans="10:12" x14ac:dyDescent="0.3">
      <c r="J1641">
        <v>1618</v>
      </c>
      <c r="K1641" s="10">
        <v>0.20585954518114447</v>
      </c>
      <c r="L1641" s="10">
        <v>0.29710375605739214</v>
      </c>
    </row>
    <row r="1642" spans="10:12" x14ac:dyDescent="0.3">
      <c r="J1642">
        <v>1619</v>
      </c>
      <c r="K1642" s="10">
        <v>0.21046605599668722</v>
      </c>
      <c r="L1642" s="10">
        <v>0.32174844577242195</v>
      </c>
    </row>
    <row r="1643" spans="10:12" x14ac:dyDescent="0.3">
      <c r="J1643">
        <v>1620</v>
      </c>
      <c r="K1643" s="10">
        <v>0.20840883099551663</v>
      </c>
      <c r="L1643" s="10">
        <v>0.25028421569890613</v>
      </c>
    </row>
    <row r="1644" spans="10:12" x14ac:dyDescent="0.3">
      <c r="J1644">
        <v>1621</v>
      </c>
      <c r="K1644" s="10">
        <v>0.20743897599567479</v>
      </c>
      <c r="L1644" s="10">
        <v>0.51113230441713786</v>
      </c>
    </row>
    <row r="1645" spans="10:12" x14ac:dyDescent="0.3">
      <c r="J1645">
        <v>1622</v>
      </c>
      <c r="K1645" s="10">
        <v>0.21869944422130444</v>
      </c>
      <c r="L1645" s="10">
        <v>0.12345696896956185</v>
      </c>
    </row>
    <row r="1646" spans="10:12" x14ac:dyDescent="0.3">
      <c r="J1646">
        <v>1623</v>
      </c>
      <c r="K1646" s="10">
        <v>0.22180141936613548</v>
      </c>
      <c r="L1646" s="10">
        <v>3.6006732866613114E-2</v>
      </c>
    </row>
    <row r="1647" spans="10:12" x14ac:dyDescent="0.3">
      <c r="J1647">
        <v>1624</v>
      </c>
      <c r="K1647" s="10">
        <v>0.21519920974907292</v>
      </c>
      <c r="L1647" s="10">
        <v>0.11421965184843041</v>
      </c>
    </row>
    <row r="1648" spans="10:12" x14ac:dyDescent="0.3">
      <c r="J1648">
        <v>1625</v>
      </c>
      <c r="K1648" s="10">
        <v>0.18962342060636106</v>
      </c>
      <c r="L1648" s="10">
        <v>0.34801606319064393</v>
      </c>
    </row>
    <row r="1649" spans="10:12" x14ac:dyDescent="0.3">
      <c r="J1649">
        <v>1626</v>
      </c>
      <c r="K1649" s="10">
        <v>0.24954660568311018</v>
      </c>
      <c r="L1649" s="10">
        <v>-8.0142146370627304E-2</v>
      </c>
    </row>
    <row r="1650" spans="10:12" x14ac:dyDescent="0.3">
      <c r="J1650">
        <v>1627</v>
      </c>
      <c r="K1650" s="10">
        <v>0.2665456849656464</v>
      </c>
      <c r="L1650" s="10">
        <v>0.1481165400112823</v>
      </c>
    </row>
    <row r="1651" spans="10:12" x14ac:dyDescent="0.3">
      <c r="J1651">
        <v>1628</v>
      </c>
      <c r="K1651" s="10">
        <v>0.22609183536849456</v>
      </c>
      <c r="L1651" s="10">
        <v>6.7630374981821131E-3</v>
      </c>
    </row>
    <row r="1652" spans="10:12" x14ac:dyDescent="0.3">
      <c r="J1652">
        <v>1629</v>
      </c>
      <c r="K1652" s="10">
        <v>0.18889836860553366</v>
      </c>
      <c r="L1652" s="10">
        <v>0.28690883680537971</v>
      </c>
    </row>
    <row r="1653" spans="10:12" x14ac:dyDescent="0.3">
      <c r="J1653">
        <v>1630</v>
      </c>
      <c r="K1653" s="10">
        <v>0.19919767823609819</v>
      </c>
      <c r="L1653" s="10">
        <v>0.46784568441347657</v>
      </c>
    </row>
    <row r="1654" spans="10:12" x14ac:dyDescent="0.3">
      <c r="J1654">
        <v>1631</v>
      </c>
      <c r="K1654" s="10">
        <v>0.27029468154887465</v>
      </c>
      <c r="L1654" s="10">
        <v>0.1178934158510619</v>
      </c>
    </row>
    <row r="1655" spans="10:12" x14ac:dyDescent="0.3">
      <c r="J1655">
        <v>1632</v>
      </c>
      <c r="K1655" s="10">
        <v>0.20101048008511702</v>
      </c>
      <c r="L1655" s="10">
        <v>0.18353128676641167</v>
      </c>
    </row>
    <row r="1656" spans="10:12" x14ac:dyDescent="0.3">
      <c r="J1656">
        <v>1633</v>
      </c>
      <c r="K1656" s="10">
        <v>0.20080759065439127</v>
      </c>
      <c r="L1656" s="10">
        <v>0.26571360352302531</v>
      </c>
    </row>
    <row r="1657" spans="10:12" x14ac:dyDescent="0.3">
      <c r="J1657">
        <v>1634</v>
      </c>
      <c r="K1657" s="10">
        <v>0.23629082249059838</v>
      </c>
      <c r="L1657" s="10">
        <v>3.5751745064081165E-2</v>
      </c>
    </row>
    <row r="1658" spans="10:12" x14ac:dyDescent="0.3">
      <c r="J1658">
        <v>1635</v>
      </c>
      <c r="K1658" s="10">
        <v>0.24559457247338828</v>
      </c>
      <c r="L1658" s="10">
        <v>-4.1818284747875398E-2</v>
      </c>
    </row>
    <row r="1659" spans="10:12" x14ac:dyDescent="0.3">
      <c r="J1659">
        <v>1636</v>
      </c>
      <c r="K1659" s="10">
        <v>0.20353902063416285</v>
      </c>
      <c r="L1659" s="10">
        <v>0.11405764006732308</v>
      </c>
    </row>
    <row r="1660" spans="10:12" x14ac:dyDescent="0.3">
      <c r="J1660">
        <v>1637</v>
      </c>
      <c r="K1660" s="10">
        <v>0.20878562150735541</v>
      </c>
      <c r="L1660" s="10">
        <v>0.28760472685787181</v>
      </c>
    </row>
    <row r="1661" spans="10:12" x14ac:dyDescent="0.3">
      <c r="J1661">
        <v>1638</v>
      </c>
      <c r="K1661" s="10">
        <v>0.21654469017291217</v>
      </c>
      <c r="L1661" s="10">
        <v>0.54445908312736524</v>
      </c>
    </row>
    <row r="1662" spans="10:12" x14ac:dyDescent="0.3">
      <c r="J1662">
        <v>1639</v>
      </c>
      <c r="K1662" s="10">
        <v>0.20811833179126196</v>
      </c>
      <c r="L1662" s="10">
        <v>0.53087472329244412</v>
      </c>
    </row>
    <row r="1663" spans="10:12" x14ac:dyDescent="0.3">
      <c r="J1663">
        <v>1640</v>
      </c>
      <c r="K1663" s="10">
        <v>0.25573299200440019</v>
      </c>
      <c r="L1663" s="10">
        <v>-5.2464228296672119E-2</v>
      </c>
    </row>
    <row r="1664" spans="10:12" x14ac:dyDescent="0.3">
      <c r="J1664">
        <v>1641</v>
      </c>
      <c r="K1664" s="10">
        <v>0.1965892584982091</v>
      </c>
      <c r="L1664" s="10">
        <v>0.24832589438285435</v>
      </c>
    </row>
    <row r="1665" spans="10:12" x14ac:dyDescent="0.3">
      <c r="J1665">
        <v>1642</v>
      </c>
      <c r="K1665" s="10">
        <v>0.22395436526532722</v>
      </c>
      <c r="L1665" s="10">
        <v>0.3723876855348312</v>
      </c>
    </row>
    <row r="1666" spans="10:12" x14ac:dyDescent="0.3">
      <c r="J1666">
        <v>1643</v>
      </c>
      <c r="K1666" s="10">
        <v>0.19823819978508178</v>
      </c>
      <c r="L1666" s="10">
        <v>0.25990390908002931</v>
      </c>
    </row>
    <row r="1667" spans="10:12" x14ac:dyDescent="0.3">
      <c r="J1667">
        <v>1644</v>
      </c>
      <c r="K1667" s="10">
        <v>0.19288625913305582</v>
      </c>
      <c r="L1667" s="10">
        <v>0.30650712978791961</v>
      </c>
    </row>
    <row r="1668" spans="10:12" x14ac:dyDescent="0.3">
      <c r="J1668">
        <v>1645</v>
      </c>
      <c r="K1668" s="10">
        <v>0.18900545935358459</v>
      </c>
      <c r="L1668" s="10">
        <v>0.3325540851469807</v>
      </c>
    </row>
    <row r="1669" spans="10:12" x14ac:dyDescent="0.3">
      <c r="J1669">
        <v>1646</v>
      </c>
      <c r="K1669" s="10">
        <v>0.21006409024652337</v>
      </c>
      <c r="L1669" s="10">
        <v>0.21535740648410867</v>
      </c>
    </row>
    <row r="1670" spans="10:12" x14ac:dyDescent="0.3">
      <c r="J1670">
        <v>1647</v>
      </c>
      <c r="K1670" s="10">
        <v>0.31538583284196003</v>
      </c>
      <c r="L1670" s="10">
        <v>1.4484513976892793E-2</v>
      </c>
    </row>
    <row r="1671" spans="10:12" x14ac:dyDescent="0.3">
      <c r="J1671">
        <v>1648</v>
      </c>
      <c r="K1671" s="10">
        <v>0.19061904340844482</v>
      </c>
      <c r="L1671" s="10">
        <v>0.28142412941921074</v>
      </c>
    </row>
    <row r="1672" spans="10:12" x14ac:dyDescent="0.3">
      <c r="J1672">
        <v>1649</v>
      </c>
      <c r="K1672" s="10">
        <v>0.19390178893645868</v>
      </c>
      <c r="L1672" s="10">
        <v>0.23593288504699406</v>
      </c>
    </row>
    <row r="1673" spans="10:12" x14ac:dyDescent="0.3">
      <c r="J1673">
        <v>1650</v>
      </c>
      <c r="K1673" s="10">
        <v>0.20119575202704418</v>
      </c>
      <c r="L1673" s="10">
        <v>0.26373571791173617</v>
      </c>
    </row>
    <row r="1674" spans="10:12" x14ac:dyDescent="0.3">
      <c r="J1674">
        <v>1651</v>
      </c>
      <c r="K1674" s="10">
        <v>0.20311641209084999</v>
      </c>
      <c r="L1674" s="10">
        <v>0.49693691184066474</v>
      </c>
    </row>
    <row r="1675" spans="10:12" x14ac:dyDescent="0.3">
      <c r="J1675">
        <v>1652</v>
      </c>
      <c r="K1675" s="10">
        <v>0.21514445718250783</v>
      </c>
      <c r="L1675" s="10">
        <v>6.2583593621776276E-2</v>
      </c>
    </row>
    <row r="1676" spans="10:12" x14ac:dyDescent="0.3">
      <c r="J1676">
        <v>1653</v>
      </c>
      <c r="K1676" s="10">
        <v>0.22949571075383923</v>
      </c>
      <c r="L1676" s="10">
        <v>-8.8816294733349982E-3</v>
      </c>
    </row>
    <row r="1677" spans="10:12" x14ac:dyDescent="0.3">
      <c r="J1677">
        <v>1654</v>
      </c>
      <c r="K1677" s="10">
        <v>0.20097738185208602</v>
      </c>
      <c r="L1677" s="10">
        <v>0.13460594693671271</v>
      </c>
    </row>
    <row r="1678" spans="10:12" x14ac:dyDescent="0.3">
      <c r="J1678">
        <v>1655</v>
      </c>
      <c r="K1678" s="10">
        <v>0.24000302264671411</v>
      </c>
      <c r="L1678" s="10">
        <v>-3.472929054705956E-2</v>
      </c>
    </row>
    <row r="1679" spans="10:12" x14ac:dyDescent="0.3">
      <c r="J1679">
        <v>1656</v>
      </c>
      <c r="K1679" s="10">
        <v>0.19432312162832449</v>
      </c>
      <c r="L1679" s="10">
        <v>0.31899022376776898</v>
      </c>
    </row>
    <row r="1680" spans="10:12" x14ac:dyDescent="0.3">
      <c r="J1680">
        <v>1657</v>
      </c>
      <c r="K1680" s="10">
        <v>0.21435443251081154</v>
      </c>
      <c r="L1680" s="10">
        <v>0.13036997453796845</v>
      </c>
    </row>
    <row r="1681" spans="10:12" x14ac:dyDescent="0.3">
      <c r="J1681">
        <v>1658</v>
      </c>
      <c r="K1681" s="10">
        <v>0.23969399007389064</v>
      </c>
      <c r="L1681" s="10">
        <v>0.23279487421477835</v>
      </c>
    </row>
    <row r="1682" spans="10:12" x14ac:dyDescent="0.3">
      <c r="J1682">
        <v>1659</v>
      </c>
      <c r="K1682" s="10">
        <v>0.19496295411366929</v>
      </c>
      <c r="L1682" s="10">
        <v>0.27461251086935412</v>
      </c>
    </row>
    <row r="1683" spans="10:12" x14ac:dyDescent="0.3">
      <c r="J1683">
        <v>1660</v>
      </c>
      <c r="K1683" s="10">
        <v>0.20877365482894197</v>
      </c>
      <c r="L1683" s="10">
        <v>0.17395442442395831</v>
      </c>
    </row>
    <row r="1684" spans="10:12" x14ac:dyDescent="0.3">
      <c r="J1684">
        <v>1661</v>
      </c>
      <c r="K1684" s="10">
        <v>0.22675729484189491</v>
      </c>
      <c r="L1684" s="10">
        <v>0.13046374678743689</v>
      </c>
    </row>
    <row r="1685" spans="10:12" x14ac:dyDescent="0.3">
      <c r="J1685">
        <v>1662</v>
      </c>
      <c r="K1685" s="10">
        <v>0.20758715999329455</v>
      </c>
      <c r="L1685" s="10">
        <v>0.46293412120689176</v>
      </c>
    </row>
    <row r="1686" spans="10:12" x14ac:dyDescent="0.3">
      <c r="J1686">
        <v>1663</v>
      </c>
      <c r="K1686" s="10">
        <v>0.20503132222285708</v>
      </c>
      <c r="L1686" s="10">
        <v>0.47388570226218824</v>
      </c>
    </row>
    <row r="1687" spans="10:12" x14ac:dyDescent="0.3">
      <c r="J1687">
        <v>1664</v>
      </c>
      <c r="K1687" s="10">
        <v>0.34513118567314538</v>
      </c>
      <c r="L1687" s="10">
        <v>-4.9885135083383485E-2</v>
      </c>
    </row>
    <row r="1688" spans="10:12" x14ac:dyDescent="0.3">
      <c r="J1688">
        <v>1665</v>
      </c>
      <c r="K1688" s="10">
        <v>0.19778709378571829</v>
      </c>
      <c r="L1688" s="10">
        <v>0.33998760898407188</v>
      </c>
    </row>
    <row r="1689" spans="10:12" x14ac:dyDescent="0.3">
      <c r="J1689">
        <v>1666</v>
      </c>
      <c r="K1689" s="10">
        <v>0.25319627684362683</v>
      </c>
      <c r="L1689" s="10">
        <v>0.13343022400743532</v>
      </c>
    </row>
    <row r="1690" spans="10:12" x14ac:dyDescent="0.3">
      <c r="J1690">
        <v>1667</v>
      </c>
      <c r="K1690" s="10">
        <v>0.22969281082911169</v>
      </c>
      <c r="L1690" s="10">
        <v>0.17633315543601924</v>
      </c>
    </row>
    <row r="1691" spans="10:12" x14ac:dyDescent="0.3">
      <c r="J1691">
        <v>1668</v>
      </c>
      <c r="K1691" s="10">
        <v>0.18904708381168267</v>
      </c>
      <c r="L1691" s="10">
        <v>0.33004869288415256</v>
      </c>
    </row>
    <row r="1692" spans="10:12" x14ac:dyDescent="0.3">
      <c r="J1692">
        <v>1669</v>
      </c>
      <c r="K1692" s="10">
        <v>0.2401647955841916</v>
      </c>
      <c r="L1692" s="10">
        <v>0.68329762399220839</v>
      </c>
    </row>
    <row r="1693" spans="10:12" x14ac:dyDescent="0.3">
      <c r="J1693">
        <v>1670</v>
      </c>
      <c r="K1693" s="10">
        <v>0.23147246386686648</v>
      </c>
      <c r="L1693" s="10">
        <v>-4.7147731159268014E-4</v>
      </c>
    </row>
    <row r="1694" spans="10:12" x14ac:dyDescent="0.3">
      <c r="J1694">
        <v>1671</v>
      </c>
      <c r="K1694" s="10">
        <v>0.19015007776116283</v>
      </c>
      <c r="L1694" s="10">
        <v>0.29482590503341866</v>
      </c>
    </row>
    <row r="1695" spans="10:12" x14ac:dyDescent="0.3">
      <c r="J1695">
        <v>1672</v>
      </c>
      <c r="K1695" s="10">
        <v>0.19368520251929022</v>
      </c>
      <c r="L1695" s="10">
        <v>0.21458845078438807</v>
      </c>
    </row>
    <row r="1696" spans="10:12" x14ac:dyDescent="0.3">
      <c r="J1696">
        <v>1673</v>
      </c>
      <c r="K1696" s="10">
        <v>0.3089787552630025</v>
      </c>
      <c r="L1696" s="10">
        <v>1.7218975445419626E-2</v>
      </c>
    </row>
    <row r="1697" spans="10:12" x14ac:dyDescent="0.3">
      <c r="J1697">
        <v>1674</v>
      </c>
      <c r="K1697" s="10">
        <v>0.23765660622686557</v>
      </c>
      <c r="L1697" s="10">
        <v>9.2279357795912176E-2</v>
      </c>
    </row>
    <row r="1698" spans="10:12" x14ac:dyDescent="0.3">
      <c r="J1698">
        <v>1675</v>
      </c>
      <c r="K1698" s="10">
        <v>0.27478183017340196</v>
      </c>
      <c r="L1698" s="10">
        <v>1.7344849278646789E-2</v>
      </c>
    </row>
    <row r="1699" spans="10:12" x14ac:dyDescent="0.3">
      <c r="J1699">
        <v>1676</v>
      </c>
      <c r="K1699" s="10">
        <v>0.23019447014285757</v>
      </c>
      <c r="L1699" s="10">
        <v>0.59287630051533202</v>
      </c>
    </row>
    <row r="1700" spans="10:12" x14ac:dyDescent="0.3">
      <c r="J1700">
        <v>1677</v>
      </c>
      <c r="K1700" s="10">
        <v>0.20350520464798755</v>
      </c>
      <c r="L1700" s="10">
        <v>0.36332765629183378</v>
      </c>
    </row>
    <row r="1701" spans="10:12" x14ac:dyDescent="0.3">
      <c r="J1701">
        <v>1678</v>
      </c>
      <c r="K1701" s="10">
        <v>0.23155574650504127</v>
      </c>
      <c r="L1701" s="10">
        <v>3.6910403700014492E-2</v>
      </c>
    </row>
    <row r="1702" spans="10:12" x14ac:dyDescent="0.3">
      <c r="J1702">
        <v>1679</v>
      </c>
      <c r="K1702" s="10">
        <v>0.19706552860530119</v>
      </c>
      <c r="L1702" s="10">
        <v>0.2412751964538464</v>
      </c>
    </row>
    <row r="1703" spans="10:12" x14ac:dyDescent="0.3">
      <c r="J1703">
        <v>1680</v>
      </c>
      <c r="K1703" s="10">
        <v>0.24024252456919401</v>
      </c>
      <c r="L1703" s="10">
        <v>-6.0850818069495861E-2</v>
      </c>
    </row>
    <row r="1704" spans="10:12" x14ac:dyDescent="0.3">
      <c r="J1704">
        <v>1681</v>
      </c>
      <c r="K1704" s="10">
        <v>0.23240278116401375</v>
      </c>
      <c r="L1704" s="10">
        <v>-2.8346435442087092E-2</v>
      </c>
    </row>
    <row r="1705" spans="10:12" x14ac:dyDescent="0.3">
      <c r="J1705">
        <v>1682</v>
      </c>
      <c r="K1705" s="10">
        <v>0.21398621743839885</v>
      </c>
      <c r="L1705" s="10">
        <v>4.7811092364345165E-2</v>
      </c>
    </row>
    <row r="1706" spans="10:12" x14ac:dyDescent="0.3">
      <c r="J1706">
        <v>1683</v>
      </c>
      <c r="K1706" s="10">
        <v>0.30485607885328192</v>
      </c>
      <c r="L1706" s="10">
        <v>2.1388260530682077E-3</v>
      </c>
    </row>
    <row r="1707" spans="10:12" x14ac:dyDescent="0.3">
      <c r="J1707">
        <v>1684</v>
      </c>
      <c r="K1707" s="10">
        <v>0.19190993103585671</v>
      </c>
      <c r="L1707" s="10">
        <v>0.24035330462247262</v>
      </c>
    </row>
    <row r="1708" spans="10:12" x14ac:dyDescent="0.3">
      <c r="J1708">
        <v>1685</v>
      </c>
      <c r="K1708" s="10">
        <v>0.20666043571764553</v>
      </c>
      <c r="L1708" s="10">
        <v>0.32404574237991068</v>
      </c>
    </row>
    <row r="1709" spans="10:12" x14ac:dyDescent="0.3">
      <c r="J1709">
        <v>1686</v>
      </c>
      <c r="K1709" s="10">
        <v>0.22958175802776826</v>
      </c>
      <c r="L1709" s="10">
        <v>0.34918986734233071</v>
      </c>
    </row>
    <row r="1710" spans="10:12" x14ac:dyDescent="0.3">
      <c r="J1710">
        <v>1687</v>
      </c>
      <c r="K1710" s="10">
        <v>0.2477693622878899</v>
      </c>
      <c r="L1710" s="10">
        <v>-6.015930061600893E-2</v>
      </c>
    </row>
    <row r="1711" spans="10:12" x14ac:dyDescent="0.3">
      <c r="J1711">
        <v>1688</v>
      </c>
      <c r="K1711" s="10">
        <v>0.22282580474453029</v>
      </c>
      <c r="L1711" s="10">
        <v>0.4432023030396085</v>
      </c>
    </row>
    <row r="1712" spans="10:12" x14ac:dyDescent="0.3">
      <c r="J1712">
        <v>1689</v>
      </c>
      <c r="K1712" s="10">
        <v>0.3373402076324597</v>
      </c>
      <c r="L1712" s="10">
        <v>-4.0352307417194117E-2</v>
      </c>
    </row>
    <row r="1713" spans="10:12" x14ac:dyDescent="0.3">
      <c r="J1713">
        <v>1690</v>
      </c>
      <c r="K1713" s="10">
        <v>0.19120918985243279</v>
      </c>
      <c r="L1713" s="10">
        <v>0.26385225566658438</v>
      </c>
    </row>
    <row r="1714" spans="10:12" x14ac:dyDescent="0.3">
      <c r="J1714">
        <v>1691</v>
      </c>
      <c r="K1714" s="10">
        <v>0.19291905846046123</v>
      </c>
      <c r="L1714" s="10">
        <v>0.33947506201212319</v>
      </c>
    </row>
    <row r="1715" spans="10:12" x14ac:dyDescent="0.3">
      <c r="J1715">
        <v>1692</v>
      </c>
      <c r="K1715" s="10">
        <v>0.191606313740804</v>
      </c>
      <c r="L1715" s="10">
        <v>0.24652551884121732</v>
      </c>
    </row>
    <row r="1716" spans="10:12" x14ac:dyDescent="0.3">
      <c r="J1716">
        <v>1693</v>
      </c>
      <c r="K1716" s="10">
        <v>0.22839457744218183</v>
      </c>
      <c r="L1716" s="10">
        <v>0.27022145538848719</v>
      </c>
    </row>
    <row r="1717" spans="10:12" x14ac:dyDescent="0.3">
      <c r="J1717">
        <v>1694</v>
      </c>
      <c r="K1717" s="10">
        <v>0.19226788657815153</v>
      </c>
      <c r="L1717" s="10">
        <v>0.38186210088349831</v>
      </c>
    </row>
    <row r="1718" spans="10:12" x14ac:dyDescent="0.3">
      <c r="J1718">
        <v>1695</v>
      </c>
      <c r="K1718" s="10">
        <v>0.1888332758669046</v>
      </c>
      <c r="L1718" s="10">
        <v>0.28801798580046495</v>
      </c>
    </row>
    <row r="1719" spans="10:12" x14ac:dyDescent="0.3">
      <c r="J1719">
        <v>1696</v>
      </c>
      <c r="K1719" s="10">
        <v>0.20289425780379799</v>
      </c>
      <c r="L1719" s="10">
        <v>0.46479265146455634</v>
      </c>
    </row>
    <row r="1720" spans="10:12" x14ac:dyDescent="0.3">
      <c r="J1720">
        <v>1697</v>
      </c>
      <c r="K1720" s="10">
        <v>0.23728527401000124</v>
      </c>
      <c r="L1720" s="10">
        <v>-1.9744457683970359E-2</v>
      </c>
    </row>
    <row r="1721" spans="10:12" x14ac:dyDescent="0.3">
      <c r="J1721">
        <v>1698</v>
      </c>
      <c r="K1721" s="10">
        <v>0.19100308695372817</v>
      </c>
      <c r="L1721" s="10">
        <v>0.24967768319233455</v>
      </c>
    </row>
    <row r="1722" spans="10:12" x14ac:dyDescent="0.3">
      <c r="J1722">
        <v>1699</v>
      </c>
      <c r="K1722" s="10">
        <v>0.25074854349322495</v>
      </c>
      <c r="L1722" s="10">
        <v>0.72850980731834714</v>
      </c>
    </row>
    <row r="1723" spans="10:12" x14ac:dyDescent="0.3">
      <c r="J1723">
        <v>1700</v>
      </c>
      <c r="K1723" s="10">
        <v>0.19642875486559264</v>
      </c>
      <c r="L1723" s="10">
        <v>0.17701206072923828</v>
      </c>
    </row>
    <row r="1724" spans="10:12" x14ac:dyDescent="0.3">
      <c r="J1724">
        <v>1701</v>
      </c>
      <c r="K1724" s="10">
        <v>0.22648714126251912</v>
      </c>
      <c r="L1724" s="10">
        <v>0.40681607952148308</v>
      </c>
    </row>
    <row r="1725" spans="10:12" x14ac:dyDescent="0.3">
      <c r="J1725">
        <v>1702</v>
      </c>
      <c r="K1725" s="10">
        <v>0.22598432750069816</v>
      </c>
      <c r="L1725" s="10">
        <v>4.001921776358075E-2</v>
      </c>
    </row>
    <row r="1726" spans="10:12" x14ac:dyDescent="0.3">
      <c r="J1726">
        <v>1703</v>
      </c>
      <c r="K1726" s="10">
        <v>0.21808713073355718</v>
      </c>
      <c r="L1726" s="10">
        <v>0.58827226510918129</v>
      </c>
    </row>
    <row r="1727" spans="10:12" x14ac:dyDescent="0.3">
      <c r="J1727">
        <v>1704</v>
      </c>
      <c r="K1727" s="10">
        <v>0.19714465617758661</v>
      </c>
      <c r="L1727" s="10">
        <v>0.27911066558590936</v>
      </c>
    </row>
    <row r="1728" spans="10:12" x14ac:dyDescent="0.3">
      <c r="J1728">
        <v>1705</v>
      </c>
      <c r="K1728" s="10">
        <v>0.23313557229165585</v>
      </c>
      <c r="L1728" s="10">
        <v>0.65537393136884092</v>
      </c>
    </row>
    <row r="1729" spans="10:12" x14ac:dyDescent="0.3">
      <c r="J1729">
        <v>1706</v>
      </c>
      <c r="K1729" s="10">
        <v>0.23132816598803932</v>
      </c>
      <c r="L1729" s="10">
        <v>4.6953552276031957E-2</v>
      </c>
    </row>
    <row r="1730" spans="10:12" x14ac:dyDescent="0.3">
      <c r="J1730">
        <v>1707</v>
      </c>
      <c r="K1730" s="10">
        <v>0.22585165781000666</v>
      </c>
      <c r="L1730" s="10">
        <v>0.1488347633824065</v>
      </c>
    </row>
    <row r="1731" spans="10:12" x14ac:dyDescent="0.3">
      <c r="J1731">
        <v>1708</v>
      </c>
      <c r="K1731" s="10">
        <v>0.26982574637373885</v>
      </c>
      <c r="L1731" s="10">
        <v>0.13648484526602814</v>
      </c>
    </row>
    <row r="1732" spans="10:12" x14ac:dyDescent="0.3">
      <c r="J1732">
        <v>1709</v>
      </c>
      <c r="K1732" s="10">
        <v>0.19185148716420422</v>
      </c>
      <c r="L1732" s="10">
        <v>0.28156304526840309</v>
      </c>
    </row>
    <row r="1733" spans="10:12" x14ac:dyDescent="0.3">
      <c r="J1733">
        <v>1710</v>
      </c>
      <c r="K1733" s="10">
        <v>0.19666152356606692</v>
      </c>
      <c r="L1733" s="10">
        <v>0.27775894549074581</v>
      </c>
    </row>
    <row r="1734" spans="10:12" x14ac:dyDescent="0.3">
      <c r="J1734">
        <v>1711</v>
      </c>
      <c r="K1734" s="10">
        <v>0.2922767009486652</v>
      </c>
      <c r="L1734" s="10">
        <v>1.4158737374185808E-3</v>
      </c>
    </row>
    <row r="1735" spans="10:12" x14ac:dyDescent="0.3">
      <c r="J1735">
        <v>1712</v>
      </c>
      <c r="K1735" s="10">
        <v>0.19326368985908782</v>
      </c>
      <c r="L1735" s="10">
        <v>0.31422684579831978</v>
      </c>
    </row>
    <row r="1736" spans="10:12" x14ac:dyDescent="0.3">
      <c r="J1736">
        <v>1713</v>
      </c>
      <c r="K1736" s="10">
        <v>0.24983882434853857</v>
      </c>
      <c r="L1736" s="10">
        <v>2.9296497890731084E-2</v>
      </c>
    </row>
    <row r="1737" spans="10:12" x14ac:dyDescent="0.3">
      <c r="J1737">
        <v>1714</v>
      </c>
      <c r="K1737" s="10">
        <v>0.23282261913625063</v>
      </c>
      <c r="L1737" s="10">
        <v>-5.8758242956069573E-3</v>
      </c>
    </row>
    <row r="1738" spans="10:12" x14ac:dyDescent="0.3">
      <c r="J1738">
        <v>1715</v>
      </c>
      <c r="K1738" s="10">
        <v>0.22850871297658035</v>
      </c>
      <c r="L1738" s="10">
        <v>0.41854126147540943</v>
      </c>
    </row>
    <row r="1739" spans="10:12" x14ac:dyDescent="0.3">
      <c r="J1739">
        <v>1716</v>
      </c>
      <c r="K1739" s="10">
        <v>0.23056387470106887</v>
      </c>
      <c r="L1739" s="10">
        <v>0.3323806845503256</v>
      </c>
    </row>
    <row r="1740" spans="10:12" x14ac:dyDescent="0.3">
      <c r="J1740">
        <v>1717</v>
      </c>
      <c r="K1740" s="10">
        <v>0.21107135263767382</v>
      </c>
      <c r="L1740" s="10">
        <v>0.36120673756987232</v>
      </c>
    </row>
    <row r="1741" spans="10:12" x14ac:dyDescent="0.3">
      <c r="J1741">
        <v>1718</v>
      </c>
      <c r="K1741" s="10">
        <v>0.21171530068949077</v>
      </c>
      <c r="L1741" s="10">
        <v>0.15120758267511109</v>
      </c>
    </row>
    <row r="1742" spans="10:12" x14ac:dyDescent="0.3">
      <c r="J1742">
        <v>1719</v>
      </c>
      <c r="K1742" s="10">
        <v>0.20791006568141618</v>
      </c>
      <c r="L1742" s="10">
        <v>0.13924727484216476</v>
      </c>
    </row>
    <row r="1743" spans="10:12" x14ac:dyDescent="0.3">
      <c r="J1743">
        <v>1720</v>
      </c>
      <c r="K1743" s="10">
        <v>0.18971279197621085</v>
      </c>
      <c r="L1743" s="10">
        <v>0.2976568072878909</v>
      </c>
    </row>
    <row r="1744" spans="10:12" x14ac:dyDescent="0.3">
      <c r="J1744">
        <v>1721</v>
      </c>
      <c r="K1744" s="10">
        <v>0.2478527403833124</v>
      </c>
      <c r="L1744" s="10">
        <v>-8.1068692508437679E-2</v>
      </c>
    </row>
    <row r="1745" spans="10:12" x14ac:dyDescent="0.3">
      <c r="J1745">
        <v>1722</v>
      </c>
      <c r="K1745" s="10">
        <v>0.23328538003096813</v>
      </c>
      <c r="L1745" s="10">
        <v>-7.3060288161844039E-3</v>
      </c>
    </row>
    <row r="1746" spans="10:12" x14ac:dyDescent="0.3">
      <c r="J1746">
        <v>1723</v>
      </c>
      <c r="K1746" s="10">
        <v>0.19373945118632593</v>
      </c>
      <c r="L1746" s="10">
        <v>0.29747482881555598</v>
      </c>
    </row>
    <row r="1747" spans="10:12" x14ac:dyDescent="0.3">
      <c r="J1747">
        <v>1724</v>
      </c>
      <c r="K1747" s="10">
        <v>0.25154850183167327</v>
      </c>
      <c r="L1747" s="10">
        <v>-2.2369985031032574E-3</v>
      </c>
    </row>
    <row r="1748" spans="10:12" x14ac:dyDescent="0.3">
      <c r="J1748">
        <v>1725</v>
      </c>
      <c r="K1748" s="10">
        <v>0.19453658376341687</v>
      </c>
      <c r="L1748" s="10">
        <v>0.42028949720514291</v>
      </c>
    </row>
    <row r="1749" spans="10:12" x14ac:dyDescent="0.3">
      <c r="J1749">
        <v>1726</v>
      </c>
      <c r="K1749" s="10">
        <v>0.28186390420035873</v>
      </c>
      <c r="L1749" s="10">
        <v>0.8446956724185225</v>
      </c>
    </row>
    <row r="1750" spans="10:12" x14ac:dyDescent="0.3">
      <c r="J1750">
        <v>1727</v>
      </c>
      <c r="K1750" s="10">
        <v>0.23147277214565004</v>
      </c>
      <c r="L1750" s="10">
        <v>-1.6268271889025687E-2</v>
      </c>
    </row>
    <row r="1751" spans="10:12" x14ac:dyDescent="0.3">
      <c r="J1751">
        <v>1728</v>
      </c>
      <c r="K1751" s="10">
        <v>0.32460346664146966</v>
      </c>
      <c r="L1751" s="10">
        <v>-2.3419867624800222E-2</v>
      </c>
    </row>
    <row r="1752" spans="10:12" x14ac:dyDescent="0.3">
      <c r="J1752">
        <v>1729</v>
      </c>
      <c r="K1752" s="10">
        <v>0.2206426737322392</v>
      </c>
      <c r="L1752" s="10">
        <v>0.27635579577348551</v>
      </c>
    </row>
    <row r="1753" spans="10:12" x14ac:dyDescent="0.3">
      <c r="J1753">
        <v>1730</v>
      </c>
      <c r="K1753" s="10">
        <v>0.1984908864994914</v>
      </c>
      <c r="L1753" s="10">
        <v>0.21924189732594321</v>
      </c>
    </row>
    <row r="1754" spans="10:12" x14ac:dyDescent="0.3">
      <c r="J1754">
        <v>1731</v>
      </c>
      <c r="K1754" s="10">
        <v>0.19316566768540036</v>
      </c>
      <c r="L1754" s="10">
        <v>0.32778109215938617</v>
      </c>
    </row>
    <row r="1755" spans="10:12" x14ac:dyDescent="0.3">
      <c r="J1755">
        <v>1732</v>
      </c>
      <c r="K1755" s="10">
        <v>0.2586650301820318</v>
      </c>
      <c r="L1755" s="10">
        <v>4.4992737408334246E-2</v>
      </c>
    </row>
    <row r="1756" spans="10:12" x14ac:dyDescent="0.3">
      <c r="J1756">
        <v>1733</v>
      </c>
      <c r="K1756" s="10">
        <v>0.20164175002596216</v>
      </c>
      <c r="L1756" s="10">
        <v>0.45587596057975338</v>
      </c>
    </row>
    <row r="1757" spans="10:12" x14ac:dyDescent="0.3">
      <c r="J1757">
        <v>1734</v>
      </c>
      <c r="K1757" s="10">
        <v>0.2438689050550592</v>
      </c>
      <c r="L1757" s="10">
        <v>-8.7444762009105961E-2</v>
      </c>
    </row>
    <row r="1758" spans="10:12" x14ac:dyDescent="0.3">
      <c r="J1758">
        <v>1735</v>
      </c>
      <c r="K1758" s="10">
        <v>0.2308031873205097</v>
      </c>
      <c r="L1758" s="10">
        <v>0.13352383265459591</v>
      </c>
    </row>
    <row r="1759" spans="10:12" x14ac:dyDescent="0.3">
      <c r="J1759">
        <v>1736</v>
      </c>
      <c r="K1759" s="10">
        <v>0.20721569534178857</v>
      </c>
      <c r="L1759" s="10">
        <v>0.12721246738287562</v>
      </c>
    </row>
    <row r="1760" spans="10:12" x14ac:dyDescent="0.3">
      <c r="J1760">
        <v>1737</v>
      </c>
      <c r="K1760" s="10">
        <v>0.19919337720415314</v>
      </c>
      <c r="L1760" s="10">
        <v>0.37901829001502491</v>
      </c>
    </row>
    <row r="1761" spans="10:12" x14ac:dyDescent="0.3">
      <c r="J1761">
        <v>1738</v>
      </c>
      <c r="K1761" s="10">
        <v>0.19145736462494758</v>
      </c>
      <c r="L1761" s="10">
        <v>0.31344435589212138</v>
      </c>
    </row>
    <row r="1762" spans="10:12" x14ac:dyDescent="0.3">
      <c r="J1762">
        <v>1739</v>
      </c>
      <c r="K1762" s="10">
        <v>0.2303366736102106</v>
      </c>
      <c r="L1762" s="10">
        <v>0.28339607683076684</v>
      </c>
    </row>
    <row r="1763" spans="10:12" x14ac:dyDescent="0.3">
      <c r="J1763">
        <v>1740</v>
      </c>
      <c r="K1763" s="10">
        <v>0.28745551990254686</v>
      </c>
      <c r="L1763" s="10">
        <v>4.4572773639922993E-2</v>
      </c>
    </row>
    <row r="1764" spans="10:12" x14ac:dyDescent="0.3">
      <c r="J1764">
        <v>1741</v>
      </c>
      <c r="K1764" s="10">
        <v>0.22208553352019444</v>
      </c>
      <c r="L1764" s="10">
        <v>0.6017616665528831</v>
      </c>
    </row>
    <row r="1765" spans="10:12" x14ac:dyDescent="0.3">
      <c r="J1765">
        <v>1742</v>
      </c>
      <c r="K1765" s="10">
        <v>0.20433860880755472</v>
      </c>
      <c r="L1765" s="10">
        <v>0.2641583814425893</v>
      </c>
    </row>
    <row r="1766" spans="10:12" x14ac:dyDescent="0.3">
      <c r="J1766">
        <v>1743</v>
      </c>
      <c r="K1766" s="10">
        <v>0.21485400500250398</v>
      </c>
      <c r="L1766" s="10">
        <v>5.0348263305168964E-2</v>
      </c>
    </row>
    <row r="1767" spans="10:12" x14ac:dyDescent="0.3">
      <c r="J1767">
        <v>1744</v>
      </c>
      <c r="K1767" s="10">
        <v>0.19319893290492449</v>
      </c>
      <c r="L1767" s="10">
        <v>0.31408458746522661</v>
      </c>
    </row>
    <row r="1768" spans="10:12" x14ac:dyDescent="0.3">
      <c r="J1768">
        <v>1745</v>
      </c>
      <c r="K1768" s="10">
        <v>0.21641310084738277</v>
      </c>
      <c r="L1768" s="10">
        <v>0.13777204073255059</v>
      </c>
    </row>
    <row r="1769" spans="10:12" x14ac:dyDescent="0.3">
      <c r="J1769">
        <v>1746</v>
      </c>
      <c r="K1769" s="10">
        <v>0.19166232249303819</v>
      </c>
      <c r="L1769" s="10">
        <v>0.24389601167821601</v>
      </c>
    </row>
    <row r="1770" spans="10:12" x14ac:dyDescent="0.3">
      <c r="J1770">
        <v>1747</v>
      </c>
      <c r="K1770" s="10">
        <v>0.33190653715445551</v>
      </c>
      <c r="L1770" s="10">
        <v>-4.8127963059543435E-2</v>
      </c>
    </row>
    <row r="1771" spans="10:12" x14ac:dyDescent="0.3">
      <c r="J1771">
        <v>1748</v>
      </c>
      <c r="K1771" s="10">
        <v>0.21283953698652999</v>
      </c>
      <c r="L1771" s="10">
        <v>0.30852350194949441</v>
      </c>
    </row>
    <row r="1772" spans="10:12" x14ac:dyDescent="0.3">
      <c r="J1772">
        <v>1749</v>
      </c>
      <c r="K1772" s="10">
        <v>0.21663119499870595</v>
      </c>
      <c r="L1772" s="10">
        <v>0.39382087326610221</v>
      </c>
    </row>
    <row r="1773" spans="10:12" x14ac:dyDescent="0.3">
      <c r="J1773">
        <v>1750</v>
      </c>
      <c r="K1773" s="10">
        <v>0.2723866682922737</v>
      </c>
      <c r="L1773" s="10">
        <v>-8.951399000448923E-2</v>
      </c>
    </row>
    <row r="1774" spans="10:12" x14ac:dyDescent="0.3">
      <c r="J1774">
        <v>1751</v>
      </c>
      <c r="K1774" s="10">
        <v>0.20633744783827018</v>
      </c>
      <c r="L1774" s="10">
        <v>0.5102751370558003</v>
      </c>
    </row>
    <row r="1775" spans="10:12" x14ac:dyDescent="0.3">
      <c r="J1775">
        <v>1752</v>
      </c>
      <c r="K1775" s="10">
        <v>0.20979055234157828</v>
      </c>
      <c r="L1775" s="10">
        <v>0.14608748777476671</v>
      </c>
    </row>
    <row r="1776" spans="10:12" x14ac:dyDescent="0.3">
      <c r="J1776">
        <v>1753</v>
      </c>
      <c r="K1776" s="10">
        <v>0.23271074679011813</v>
      </c>
      <c r="L1776" s="10">
        <v>6.4969097617143159E-2</v>
      </c>
    </row>
    <row r="1777" spans="10:12" x14ac:dyDescent="0.3">
      <c r="J1777">
        <v>1754</v>
      </c>
      <c r="K1777" s="10">
        <v>0.23643142795156827</v>
      </c>
      <c r="L1777" s="10">
        <v>3.183479097993188E-2</v>
      </c>
    </row>
    <row r="1778" spans="10:12" x14ac:dyDescent="0.3">
      <c r="J1778">
        <v>1755</v>
      </c>
      <c r="K1778" s="10">
        <v>0.21527954186841264</v>
      </c>
      <c r="L1778" s="10">
        <v>0.54591704875034519</v>
      </c>
    </row>
    <row r="1779" spans="10:12" x14ac:dyDescent="0.3">
      <c r="J1779">
        <v>1756</v>
      </c>
      <c r="K1779" s="10">
        <v>0.19503604049047057</v>
      </c>
      <c r="L1779" s="10">
        <v>0.18538793292906047</v>
      </c>
    </row>
    <row r="1780" spans="10:12" x14ac:dyDescent="0.3">
      <c r="J1780">
        <v>1757</v>
      </c>
      <c r="K1780" s="10">
        <v>0.19125536982083804</v>
      </c>
      <c r="L1780" s="10">
        <v>0.37112417905629064</v>
      </c>
    </row>
    <row r="1781" spans="10:12" x14ac:dyDescent="0.3">
      <c r="J1781">
        <v>1758</v>
      </c>
      <c r="K1781" s="10">
        <v>0.21812817108014468</v>
      </c>
      <c r="L1781" s="10">
        <v>0.54286024882606088</v>
      </c>
    </row>
    <row r="1782" spans="10:12" x14ac:dyDescent="0.3">
      <c r="J1782">
        <v>1759</v>
      </c>
      <c r="K1782" s="10">
        <v>0.24170018209269456</v>
      </c>
      <c r="L1782" s="10">
        <v>2.2186479005341223E-2</v>
      </c>
    </row>
    <row r="1783" spans="10:12" x14ac:dyDescent="0.3">
      <c r="J1783">
        <v>1760</v>
      </c>
      <c r="K1783" s="10">
        <v>0.2217929390310967</v>
      </c>
      <c r="L1783" s="10">
        <v>8.1077864466720453E-3</v>
      </c>
    </row>
    <row r="1784" spans="10:12" x14ac:dyDescent="0.3">
      <c r="J1784">
        <v>1761</v>
      </c>
      <c r="K1784" s="10">
        <v>0.18892060017940535</v>
      </c>
      <c r="L1784" s="10">
        <v>0.32693691896899335</v>
      </c>
    </row>
    <row r="1785" spans="10:12" x14ac:dyDescent="0.3">
      <c r="J1785">
        <v>1762</v>
      </c>
      <c r="K1785" s="10">
        <v>0.19959264513333161</v>
      </c>
      <c r="L1785" s="10">
        <v>0.47160705374858319</v>
      </c>
    </row>
    <row r="1786" spans="10:12" x14ac:dyDescent="0.3">
      <c r="J1786">
        <v>1763</v>
      </c>
      <c r="K1786" s="10">
        <v>0.19546581497746901</v>
      </c>
      <c r="L1786" s="10">
        <v>0.32799927374466931</v>
      </c>
    </row>
    <row r="1787" spans="10:12" x14ac:dyDescent="0.3">
      <c r="J1787">
        <v>1764</v>
      </c>
      <c r="K1787" s="10">
        <v>0.2865998995479192</v>
      </c>
      <c r="L1787" s="10">
        <v>-5.3617332359023065E-2</v>
      </c>
    </row>
    <row r="1788" spans="10:12" x14ac:dyDescent="0.3">
      <c r="J1788">
        <v>1765</v>
      </c>
      <c r="K1788" s="10">
        <v>0.18991260426369563</v>
      </c>
      <c r="L1788" s="10">
        <v>0.26512908905476029</v>
      </c>
    </row>
    <row r="1789" spans="10:12" x14ac:dyDescent="0.3">
      <c r="J1789">
        <v>1766</v>
      </c>
      <c r="K1789" s="10">
        <v>0.23738404139721736</v>
      </c>
      <c r="L1789" s="10">
        <v>-5.8080420457823981E-2</v>
      </c>
    </row>
    <row r="1790" spans="10:12" x14ac:dyDescent="0.3">
      <c r="J1790">
        <v>1767</v>
      </c>
      <c r="K1790" s="10">
        <v>0.20492891289871357</v>
      </c>
      <c r="L1790" s="10">
        <v>0.11663206232518782</v>
      </c>
    </row>
    <row r="1791" spans="10:12" x14ac:dyDescent="0.3">
      <c r="J1791">
        <v>1768</v>
      </c>
      <c r="K1791" s="10">
        <v>0.21222888901474657</v>
      </c>
      <c r="L1791" s="10">
        <v>0.36710247543391822</v>
      </c>
    </row>
    <row r="1792" spans="10:12" x14ac:dyDescent="0.3">
      <c r="J1792">
        <v>1769</v>
      </c>
      <c r="K1792" s="10">
        <v>0.23342735905472603</v>
      </c>
      <c r="L1792" s="10">
        <v>1.6643197987166902E-2</v>
      </c>
    </row>
    <row r="1793" spans="10:12" x14ac:dyDescent="0.3">
      <c r="J1793">
        <v>1770</v>
      </c>
      <c r="K1793" s="10">
        <v>0.23333101139303897</v>
      </c>
      <c r="L1793" s="10">
        <v>-4.5401447100146812E-2</v>
      </c>
    </row>
    <row r="1794" spans="10:12" x14ac:dyDescent="0.3">
      <c r="J1794">
        <v>1771</v>
      </c>
      <c r="K1794" s="10">
        <v>0.20229557328747014</v>
      </c>
      <c r="L1794" s="10">
        <v>0.27639219945394256</v>
      </c>
    </row>
    <row r="1795" spans="10:12" x14ac:dyDescent="0.3">
      <c r="J1795">
        <v>1772</v>
      </c>
      <c r="K1795" s="10">
        <v>0.24178816688339672</v>
      </c>
      <c r="L1795" s="10">
        <v>0.69411104818592029</v>
      </c>
    </row>
    <row r="1796" spans="10:12" x14ac:dyDescent="0.3">
      <c r="J1796">
        <v>1773</v>
      </c>
      <c r="K1796" s="10">
        <v>0.21838990124827432</v>
      </c>
      <c r="L1796" s="10">
        <v>4.9907214219923585E-2</v>
      </c>
    </row>
    <row r="1797" spans="10:12" x14ac:dyDescent="0.3">
      <c r="J1797">
        <v>1774</v>
      </c>
      <c r="K1797" s="10">
        <v>0.21106746863623388</v>
      </c>
      <c r="L1797" s="10">
        <v>0.53219225575018758</v>
      </c>
    </row>
    <row r="1798" spans="10:12" x14ac:dyDescent="0.3">
      <c r="J1798">
        <v>1775</v>
      </c>
      <c r="K1798" s="10">
        <v>0.19678206621407493</v>
      </c>
      <c r="L1798" s="10">
        <v>0.22350808407895584</v>
      </c>
    </row>
    <row r="1799" spans="10:12" x14ac:dyDescent="0.3">
      <c r="J1799">
        <v>1776</v>
      </c>
      <c r="K1799" s="10">
        <v>0.2182266115228215</v>
      </c>
      <c r="L1799" s="10">
        <v>6.0477369938519612E-2</v>
      </c>
    </row>
    <row r="1800" spans="10:12" x14ac:dyDescent="0.3">
      <c r="J1800">
        <v>1777</v>
      </c>
      <c r="K1800" s="10">
        <v>0.21048084956081325</v>
      </c>
      <c r="L1800" s="10">
        <v>0.25185459868661103</v>
      </c>
    </row>
    <row r="1801" spans="10:12" x14ac:dyDescent="0.3">
      <c r="J1801">
        <v>1778</v>
      </c>
      <c r="K1801" s="10">
        <v>0.1980972860563083</v>
      </c>
      <c r="L1801" s="10">
        <v>0.20754611531785047</v>
      </c>
    </row>
    <row r="1802" spans="10:12" x14ac:dyDescent="0.3">
      <c r="J1802">
        <v>1779</v>
      </c>
      <c r="K1802" s="10">
        <v>0.19116341809033219</v>
      </c>
      <c r="L1802" s="10">
        <v>0.25105146481470009</v>
      </c>
    </row>
    <row r="1803" spans="10:12" x14ac:dyDescent="0.3">
      <c r="J1803">
        <v>1780</v>
      </c>
      <c r="K1803" s="10">
        <v>0.20081841419322374</v>
      </c>
      <c r="L1803" s="10">
        <v>0.29427568425808964</v>
      </c>
    </row>
    <row r="1804" spans="10:12" x14ac:dyDescent="0.3">
      <c r="J1804">
        <v>1781</v>
      </c>
      <c r="K1804" s="10">
        <v>0.19434705617644904</v>
      </c>
      <c r="L1804" s="10">
        <v>0.41908728188801053</v>
      </c>
    </row>
    <row r="1805" spans="10:12" x14ac:dyDescent="0.3">
      <c r="J1805">
        <v>1782</v>
      </c>
      <c r="K1805" s="10">
        <v>0.27281419218882136</v>
      </c>
      <c r="L1805" s="10">
        <v>-6.8564179695770576E-3</v>
      </c>
    </row>
    <row r="1806" spans="10:12" x14ac:dyDescent="0.3">
      <c r="J1806">
        <v>1783</v>
      </c>
      <c r="K1806" s="10">
        <v>0.19325961875121186</v>
      </c>
      <c r="L1806" s="10">
        <v>0.33832544133474401</v>
      </c>
    </row>
    <row r="1807" spans="10:12" x14ac:dyDescent="0.3">
      <c r="J1807">
        <v>1784</v>
      </c>
      <c r="K1807" s="10">
        <v>0.24473437013652166</v>
      </c>
      <c r="L1807" s="10">
        <v>2.3198352539076018E-2</v>
      </c>
    </row>
    <row r="1808" spans="10:12" x14ac:dyDescent="0.3">
      <c r="J1808">
        <v>1785</v>
      </c>
      <c r="K1808" s="10">
        <v>0.19727714371951199</v>
      </c>
      <c r="L1808" s="10">
        <v>0.16917643549002023</v>
      </c>
    </row>
    <row r="1809" spans="10:12" x14ac:dyDescent="0.3">
      <c r="J1809">
        <v>1786</v>
      </c>
      <c r="K1809" s="10">
        <v>0.2059333526940092</v>
      </c>
      <c r="L1809" s="10">
        <v>0.21704968733125285</v>
      </c>
    </row>
    <row r="1810" spans="10:12" x14ac:dyDescent="0.3">
      <c r="J1810">
        <v>1787</v>
      </c>
      <c r="K1810" s="10">
        <v>0.19160976480195993</v>
      </c>
      <c r="L1810" s="10">
        <v>0.39279008709996943</v>
      </c>
    </row>
    <row r="1811" spans="10:12" x14ac:dyDescent="0.3">
      <c r="J1811">
        <v>1788</v>
      </c>
      <c r="K1811" s="10">
        <v>0.20553841958698088</v>
      </c>
      <c r="L1811" s="10">
        <v>0.51664229251554483</v>
      </c>
    </row>
    <row r="1812" spans="10:12" x14ac:dyDescent="0.3">
      <c r="J1812">
        <v>1789</v>
      </c>
      <c r="K1812" s="10">
        <v>0.26855508187982779</v>
      </c>
      <c r="L1812" s="10">
        <v>-2.4726734611006315E-3</v>
      </c>
    </row>
    <row r="1813" spans="10:12" x14ac:dyDescent="0.3">
      <c r="J1813">
        <v>1790</v>
      </c>
      <c r="K1813" s="10">
        <v>0.22194216767456051</v>
      </c>
      <c r="L1813" s="10">
        <v>3.5783157924086949E-2</v>
      </c>
    </row>
    <row r="1814" spans="10:12" x14ac:dyDescent="0.3">
      <c r="J1814">
        <v>1791</v>
      </c>
      <c r="K1814" s="10">
        <v>0.22985842975062701</v>
      </c>
      <c r="L1814" s="10">
        <v>0.37501760135331147</v>
      </c>
    </row>
    <row r="1815" spans="10:12" x14ac:dyDescent="0.3">
      <c r="J1815">
        <v>1792</v>
      </c>
      <c r="K1815" s="10">
        <v>0.2136624508762513</v>
      </c>
      <c r="L1815" s="10">
        <v>0.40785694378851761</v>
      </c>
    </row>
    <row r="1816" spans="10:12" x14ac:dyDescent="0.3">
      <c r="J1816">
        <v>1793</v>
      </c>
      <c r="K1816" s="10">
        <v>0.23466756231518038</v>
      </c>
      <c r="L1816" s="10">
        <v>0.32574751791679191</v>
      </c>
    </row>
    <row r="1817" spans="10:12" x14ac:dyDescent="0.3">
      <c r="J1817">
        <v>1794</v>
      </c>
      <c r="K1817" s="10">
        <v>0.24536554943154401</v>
      </c>
      <c r="L1817" s="10">
        <v>3.3667522590086929E-2</v>
      </c>
    </row>
    <row r="1818" spans="10:12" x14ac:dyDescent="0.3">
      <c r="J1818">
        <v>1795</v>
      </c>
      <c r="K1818" s="10">
        <v>0.22581388815314579</v>
      </c>
      <c r="L1818" s="10">
        <v>0.11005618807399695</v>
      </c>
    </row>
    <row r="1819" spans="10:12" x14ac:dyDescent="0.3">
      <c r="J1819">
        <v>1796</v>
      </c>
      <c r="K1819" s="10">
        <v>0.19779171962079301</v>
      </c>
      <c r="L1819" s="10">
        <v>0.17978808244036446</v>
      </c>
    </row>
    <row r="1820" spans="10:12" x14ac:dyDescent="0.3">
      <c r="J1820">
        <v>1797</v>
      </c>
      <c r="K1820" s="10">
        <v>0.19487266502431411</v>
      </c>
      <c r="L1820" s="10">
        <v>0.24498932845886051</v>
      </c>
    </row>
    <row r="1821" spans="10:12" x14ac:dyDescent="0.3">
      <c r="J1821">
        <v>1798</v>
      </c>
      <c r="K1821" s="10">
        <v>0.18927897437534724</v>
      </c>
      <c r="L1821" s="10">
        <v>0.26975026409588931</v>
      </c>
    </row>
    <row r="1822" spans="10:12" x14ac:dyDescent="0.3">
      <c r="J1822">
        <v>1799</v>
      </c>
      <c r="K1822" s="10">
        <v>0.21586921617513299</v>
      </c>
      <c r="L1822" s="10">
        <v>0.39436220331128435</v>
      </c>
    </row>
    <row r="1823" spans="10:12" x14ac:dyDescent="0.3">
      <c r="J1823">
        <v>1800</v>
      </c>
      <c r="K1823" s="10">
        <v>0.1926386492175807</v>
      </c>
      <c r="L1823" s="10">
        <v>0.25450177800104851</v>
      </c>
    </row>
    <row r="1824" spans="10:12" x14ac:dyDescent="0.3">
      <c r="J1824">
        <v>1801</v>
      </c>
      <c r="K1824" s="10">
        <v>0.20342337291091203</v>
      </c>
      <c r="L1824" s="10">
        <v>0.12912825761972618</v>
      </c>
    </row>
    <row r="1825" spans="10:12" x14ac:dyDescent="0.3">
      <c r="J1825">
        <v>1802</v>
      </c>
      <c r="K1825" s="10">
        <v>0.21305325484615048</v>
      </c>
      <c r="L1825" s="10">
        <v>0.31911213306679381</v>
      </c>
    </row>
    <row r="1826" spans="10:12" x14ac:dyDescent="0.3">
      <c r="J1826">
        <v>1803</v>
      </c>
      <c r="K1826" s="10">
        <v>0.21706091501783203</v>
      </c>
      <c r="L1826" s="10">
        <v>0.50208344850011843</v>
      </c>
    </row>
    <row r="1827" spans="10:12" x14ac:dyDescent="0.3">
      <c r="J1827">
        <v>1804</v>
      </c>
      <c r="K1827" s="10">
        <v>0.2389995485742793</v>
      </c>
      <c r="L1827" s="10">
        <v>-4.3531707919427995E-3</v>
      </c>
    </row>
    <row r="1828" spans="10:12" x14ac:dyDescent="0.3">
      <c r="J1828">
        <v>1805</v>
      </c>
      <c r="K1828" s="10">
        <v>0.22962903423025174</v>
      </c>
      <c r="L1828" s="10">
        <v>0.63861062191707829</v>
      </c>
    </row>
    <row r="1829" spans="10:12" x14ac:dyDescent="0.3">
      <c r="J1829">
        <v>1806</v>
      </c>
      <c r="K1829" s="10">
        <v>0.25462153916722297</v>
      </c>
      <c r="L1829" s="10">
        <v>0.74440288282684641</v>
      </c>
    </row>
    <row r="1830" spans="10:12" x14ac:dyDescent="0.3">
      <c r="J1830">
        <v>1807</v>
      </c>
      <c r="K1830" s="10">
        <v>0.19601452072226958</v>
      </c>
      <c r="L1830" s="10">
        <v>0.39738943458117365</v>
      </c>
    </row>
    <row r="1831" spans="10:12" x14ac:dyDescent="0.3">
      <c r="J1831">
        <v>1808</v>
      </c>
      <c r="K1831" s="10">
        <v>0.21402047780003122</v>
      </c>
      <c r="L1831" s="10">
        <v>0.20821621541218957</v>
      </c>
    </row>
    <row r="1832" spans="10:12" x14ac:dyDescent="0.3">
      <c r="J1832">
        <v>1809</v>
      </c>
      <c r="K1832" s="10">
        <v>0.19443650947678462</v>
      </c>
      <c r="L1832" s="10">
        <v>0.20012369829802035</v>
      </c>
    </row>
    <row r="1833" spans="10:12" x14ac:dyDescent="0.3">
      <c r="J1833">
        <v>1810</v>
      </c>
      <c r="K1833" s="10">
        <v>0.214623558508268</v>
      </c>
      <c r="L1833" s="10">
        <v>0.2426414722345642</v>
      </c>
    </row>
    <row r="1834" spans="10:12" x14ac:dyDescent="0.3">
      <c r="J1834">
        <v>1811</v>
      </c>
      <c r="K1834" s="10">
        <v>0.19726539399249463</v>
      </c>
      <c r="L1834" s="10">
        <v>0.21043262476493024</v>
      </c>
    </row>
    <row r="1835" spans="10:12" x14ac:dyDescent="0.3">
      <c r="J1835">
        <v>1812</v>
      </c>
      <c r="K1835" s="10">
        <v>0.21654116842073731</v>
      </c>
      <c r="L1835" s="10">
        <v>8.8738567836672361E-2</v>
      </c>
    </row>
    <row r="1836" spans="10:12" x14ac:dyDescent="0.3">
      <c r="J1836">
        <v>1813</v>
      </c>
      <c r="K1836" s="10">
        <v>0.23576005788123328</v>
      </c>
      <c r="L1836" s="10">
        <v>0.26421361857525971</v>
      </c>
    </row>
    <row r="1837" spans="10:12" x14ac:dyDescent="0.3">
      <c r="J1837">
        <v>1814</v>
      </c>
      <c r="K1837" s="10">
        <v>0.18879382735858585</v>
      </c>
      <c r="L1837" s="10">
        <v>0.31742388612566341</v>
      </c>
    </row>
    <row r="1838" spans="10:12" x14ac:dyDescent="0.3">
      <c r="J1838">
        <v>1815</v>
      </c>
      <c r="K1838" s="10">
        <v>0.19569844030582143</v>
      </c>
      <c r="L1838" s="10">
        <v>0.39973479373807114</v>
      </c>
    </row>
    <row r="1839" spans="10:12" x14ac:dyDescent="0.3">
      <c r="J1839">
        <v>1816</v>
      </c>
      <c r="K1839" s="10">
        <v>0.19635089598063166</v>
      </c>
      <c r="L1839" s="10">
        <v>0.44505395008192244</v>
      </c>
    </row>
    <row r="1840" spans="10:12" x14ac:dyDescent="0.3">
      <c r="J1840">
        <v>1817</v>
      </c>
      <c r="K1840" s="10">
        <v>0.19693723771268978</v>
      </c>
      <c r="L1840" s="10">
        <v>0.28112413895926935</v>
      </c>
    </row>
    <row r="1841" spans="10:12" x14ac:dyDescent="0.3">
      <c r="J1841">
        <v>1818</v>
      </c>
      <c r="K1841" s="10">
        <v>0.20776845398638663</v>
      </c>
      <c r="L1841" s="10">
        <v>0.45360927876312884</v>
      </c>
    </row>
    <row r="1842" spans="10:12" x14ac:dyDescent="0.3">
      <c r="J1842">
        <v>1819</v>
      </c>
      <c r="K1842" s="10">
        <v>0.22978062407150882</v>
      </c>
      <c r="L1842" s="10">
        <v>1.5130599591374756E-2</v>
      </c>
    </row>
    <row r="1843" spans="10:12" x14ac:dyDescent="0.3">
      <c r="J1843">
        <v>1820</v>
      </c>
      <c r="K1843" s="10">
        <v>0.20472014243080558</v>
      </c>
      <c r="L1843" s="10">
        <v>0.23079446448219257</v>
      </c>
    </row>
    <row r="1844" spans="10:12" x14ac:dyDescent="0.3">
      <c r="J1844">
        <v>1821</v>
      </c>
      <c r="K1844" s="10">
        <v>0.19959050465670583</v>
      </c>
      <c r="L1844" s="10">
        <v>0.15689001471780128</v>
      </c>
    </row>
    <row r="1845" spans="10:12" x14ac:dyDescent="0.3">
      <c r="J1845">
        <v>1822</v>
      </c>
      <c r="K1845" s="10">
        <v>0.22500048856545632</v>
      </c>
      <c r="L1845" s="10">
        <v>0.14364073116089296</v>
      </c>
    </row>
    <row r="1846" spans="10:12" x14ac:dyDescent="0.3">
      <c r="J1846">
        <v>1823</v>
      </c>
      <c r="K1846" s="10">
        <v>0.19896782519177042</v>
      </c>
      <c r="L1846" s="10">
        <v>0.26699287885311906</v>
      </c>
    </row>
    <row r="1847" spans="10:12" x14ac:dyDescent="0.3">
      <c r="J1847">
        <v>1824</v>
      </c>
      <c r="K1847" s="10">
        <v>0.20401077490316777</v>
      </c>
      <c r="L1847" s="10">
        <v>0.30971248788081396</v>
      </c>
    </row>
    <row r="1848" spans="10:12" x14ac:dyDescent="0.3">
      <c r="J1848">
        <v>1825</v>
      </c>
      <c r="K1848" s="10">
        <v>0.19031052003312335</v>
      </c>
      <c r="L1848" s="10">
        <v>0.28477659290009044</v>
      </c>
    </row>
    <row r="1849" spans="10:12" x14ac:dyDescent="0.3">
      <c r="J1849">
        <v>1826</v>
      </c>
      <c r="K1849" s="10">
        <v>0.21923754390279412</v>
      </c>
      <c r="L1849" s="10">
        <v>0.12855785539925627</v>
      </c>
    </row>
    <row r="1850" spans="10:12" x14ac:dyDescent="0.3">
      <c r="J1850">
        <v>1827</v>
      </c>
      <c r="K1850" s="10">
        <v>0.19014704182709052</v>
      </c>
      <c r="L1850" s="10">
        <v>0.36511537580550774</v>
      </c>
    </row>
    <row r="1851" spans="10:12" x14ac:dyDescent="0.3">
      <c r="J1851">
        <v>1828</v>
      </c>
      <c r="K1851" s="10">
        <v>0.19870200395497309</v>
      </c>
      <c r="L1851" s="10">
        <v>0.20940540098836721</v>
      </c>
    </row>
    <row r="1852" spans="10:12" x14ac:dyDescent="0.3">
      <c r="J1852">
        <v>1829</v>
      </c>
      <c r="K1852" s="10">
        <v>0.20461900407407033</v>
      </c>
      <c r="L1852" s="10">
        <v>0.47605838804474515</v>
      </c>
    </row>
    <row r="1853" spans="10:12" x14ac:dyDescent="0.3">
      <c r="J1853">
        <v>1830</v>
      </c>
      <c r="K1853" s="10">
        <v>0.21076072576744365</v>
      </c>
      <c r="L1853" s="10">
        <v>0.53833649688651031</v>
      </c>
    </row>
    <row r="1854" spans="10:12" x14ac:dyDescent="0.3">
      <c r="J1854">
        <v>1831</v>
      </c>
      <c r="K1854" s="10">
        <v>0.23326136534240458</v>
      </c>
      <c r="L1854" s="10">
        <v>-3.6778884427320101E-2</v>
      </c>
    </row>
    <row r="1855" spans="10:12" x14ac:dyDescent="0.3">
      <c r="J1855">
        <v>1832</v>
      </c>
      <c r="K1855" s="10">
        <v>0.25867660018359412</v>
      </c>
      <c r="L1855" s="10">
        <v>-6.0566759419765241E-2</v>
      </c>
    </row>
    <row r="1856" spans="10:12" x14ac:dyDescent="0.3">
      <c r="J1856">
        <v>1833</v>
      </c>
      <c r="K1856" s="10">
        <v>0.3057102765577831</v>
      </c>
      <c r="L1856" s="10">
        <v>4.0508773195293543E-2</v>
      </c>
    </row>
    <row r="1857" spans="10:12" x14ac:dyDescent="0.3">
      <c r="J1857">
        <v>1834</v>
      </c>
      <c r="K1857" s="10">
        <v>0.24101533702264794</v>
      </c>
      <c r="L1857" s="10">
        <v>-7.4783085923666323E-2</v>
      </c>
    </row>
    <row r="1858" spans="10:12" x14ac:dyDescent="0.3">
      <c r="J1858">
        <v>1835</v>
      </c>
      <c r="K1858" s="10">
        <v>0.18907645865061337</v>
      </c>
      <c r="L1858" s="10">
        <v>0.27813192034663242</v>
      </c>
    </row>
    <row r="1859" spans="10:12" x14ac:dyDescent="0.3">
      <c r="J1859">
        <v>1836</v>
      </c>
      <c r="K1859" s="10">
        <v>0.22588554062591487</v>
      </c>
      <c r="L1859" s="10">
        <v>0.15323675991663704</v>
      </c>
    </row>
    <row r="1860" spans="10:12" x14ac:dyDescent="0.3">
      <c r="J1860">
        <v>1837</v>
      </c>
      <c r="K1860" s="10">
        <v>0.22126387670303616</v>
      </c>
      <c r="L1860" s="10">
        <v>0.1539767252043481</v>
      </c>
    </row>
    <row r="1861" spans="10:12" x14ac:dyDescent="0.3">
      <c r="J1861">
        <v>1838</v>
      </c>
      <c r="K1861" s="10">
        <v>0.18909604490931212</v>
      </c>
      <c r="L1861" s="10">
        <v>0.31896116005997588</v>
      </c>
    </row>
    <row r="1862" spans="10:12" x14ac:dyDescent="0.3">
      <c r="J1862">
        <v>1839</v>
      </c>
      <c r="K1862" s="10">
        <v>0.31906779267889812</v>
      </c>
      <c r="L1862" s="10">
        <v>-1.6098769935649685E-2</v>
      </c>
    </row>
    <row r="1863" spans="10:12" x14ac:dyDescent="0.3">
      <c r="J1863">
        <v>1840</v>
      </c>
      <c r="K1863" s="10">
        <v>0.23072089287844333</v>
      </c>
      <c r="L1863" s="10">
        <v>-2.4272618464250363E-2</v>
      </c>
    </row>
    <row r="1864" spans="10:12" x14ac:dyDescent="0.3">
      <c r="J1864">
        <v>1841</v>
      </c>
      <c r="K1864" s="10">
        <v>0.19576398734993283</v>
      </c>
      <c r="L1864" s="10">
        <v>0.4203963904519526</v>
      </c>
    </row>
    <row r="1865" spans="10:12" x14ac:dyDescent="0.3">
      <c r="J1865">
        <v>1842</v>
      </c>
      <c r="K1865" s="10">
        <v>0.19738827859182598</v>
      </c>
      <c r="L1865" s="10">
        <v>0.19772228139799652</v>
      </c>
    </row>
    <row r="1866" spans="10:12" x14ac:dyDescent="0.3">
      <c r="J1866">
        <v>1843</v>
      </c>
      <c r="K1866" s="10">
        <v>0.20693832219805827</v>
      </c>
      <c r="L1866" s="10">
        <v>0.31940921390282745</v>
      </c>
    </row>
    <row r="1867" spans="10:12" x14ac:dyDescent="0.3">
      <c r="J1867">
        <v>1844</v>
      </c>
      <c r="K1867" s="10">
        <v>0.19754024511294865</v>
      </c>
      <c r="L1867" s="10">
        <v>0.24724515989468127</v>
      </c>
    </row>
    <row r="1868" spans="10:12" x14ac:dyDescent="0.3">
      <c r="J1868">
        <v>1845</v>
      </c>
      <c r="K1868" s="10">
        <v>0.18990657166329689</v>
      </c>
      <c r="L1868" s="10">
        <v>0.35820359888993647</v>
      </c>
    </row>
    <row r="1869" spans="10:12" x14ac:dyDescent="0.3">
      <c r="J1869">
        <v>1846</v>
      </c>
      <c r="K1869" s="10">
        <v>0.32076619531473255</v>
      </c>
      <c r="L1869" s="10">
        <v>-7.1864209348567618E-2</v>
      </c>
    </row>
    <row r="1870" spans="10:12" x14ac:dyDescent="0.3">
      <c r="J1870">
        <v>1847</v>
      </c>
      <c r="K1870" s="10">
        <v>0.21346541393384491</v>
      </c>
      <c r="L1870" s="10">
        <v>0.49415763008942254</v>
      </c>
    </row>
    <row r="1871" spans="10:12" x14ac:dyDescent="0.3">
      <c r="J1871">
        <v>1848</v>
      </c>
      <c r="K1871" s="10">
        <v>0.21616740918864194</v>
      </c>
      <c r="L1871" s="10">
        <v>0.34797748972292902</v>
      </c>
    </row>
    <row r="1872" spans="10:12" x14ac:dyDescent="0.3">
      <c r="J1872">
        <v>1849</v>
      </c>
      <c r="K1872" s="10">
        <v>0.22942710420893694</v>
      </c>
      <c r="L1872" s="10">
        <v>0.59028025674281481</v>
      </c>
    </row>
    <row r="1873" spans="10:12" x14ac:dyDescent="0.3">
      <c r="J1873">
        <v>1850</v>
      </c>
      <c r="K1873" s="10">
        <v>0.19834345834247685</v>
      </c>
      <c r="L1873" s="10">
        <v>0.19239541315048092</v>
      </c>
    </row>
    <row r="1874" spans="10:12" x14ac:dyDescent="0.3">
      <c r="J1874">
        <v>1851</v>
      </c>
      <c r="K1874" s="10">
        <v>0.24959007025442417</v>
      </c>
      <c r="L1874" s="10">
        <v>-2.3537615950239704E-2</v>
      </c>
    </row>
    <row r="1875" spans="10:12" x14ac:dyDescent="0.3">
      <c r="J1875">
        <v>1852</v>
      </c>
      <c r="K1875" s="10">
        <v>0.23050568208805852</v>
      </c>
      <c r="L1875" s="10">
        <v>0.33796413388127244</v>
      </c>
    </row>
    <row r="1876" spans="10:12" x14ac:dyDescent="0.3">
      <c r="J1876">
        <v>1853</v>
      </c>
      <c r="K1876" s="10">
        <v>0.26351045738282147</v>
      </c>
      <c r="L1876" s="10">
        <v>8.7759480180724325E-2</v>
      </c>
    </row>
    <row r="1877" spans="10:12" x14ac:dyDescent="0.3">
      <c r="J1877">
        <v>1854</v>
      </c>
      <c r="K1877" s="10">
        <v>0.19927718974468211</v>
      </c>
      <c r="L1877" s="10">
        <v>0.21055534679044119</v>
      </c>
    </row>
    <row r="1878" spans="10:12" x14ac:dyDescent="0.3">
      <c r="J1878">
        <v>1855</v>
      </c>
      <c r="K1878" s="10">
        <v>0.20162740839219651</v>
      </c>
      <c r="L1878" s="10">
        <v>0.12597073500556349</v>
      </c>
    </row>
    <row r="1879" spans="10:12" x14ac:dyDescent="0.3">
      <c r="J1879">
        <v>1856</v>
      </c>
      <c r="K1879" s="10">
        <v>0.2194007519677415</v>
      </c>
      <c r="L1879" s="10">
        <v>3.2085860917182414E-2</v>
      </c>
    </row>
    <row r="1880" spans="10:12" x14ac:dyDescent="0.3">
      <c r="J1880">
        <v>1857</v>
      </c>
      <c r="K1880" s="10">
        <v>0.21322048201014079</v>
      </c>
      <c r="L1880" s="10">
        <v>0.16527489758493663</v>
      </c>
    </row>
    <row r="1881" spans="10:12" x14ac:dyDescent="0.3">
      <c r="J1881">
        <v>1858</v>
      </c>
      <c r="K1881" s="10">
        <v>0.1890344861976061</v>
      </c>
      <c r="L1881" s="10">
        <v>0.3301335900264582</v>
      </c>
    </row>
    <row r="1882" spans="10:12" x14ac:dyDescent="0.3">
      <c r="J1882">
        <v>1859</v>
      </c>
      <c r="K1882" s="10">
        <v>0.19461384656072045</v>
      </c>
      <c r="L1882" s="10">
        <v>0.371148983186879</v>
      </c>
    </row>
    <row r="1883" spans="10:12" x14ac:dyDescent="0.3">
      <c r="J1883">
        <v>1860</v>
      </c>
      <c r="K1883" s="10">
        <v>0.20489260485184121</v>
      </c>
      <c r="L1883" s="10">
        <v>0.29067931479898462</v>
      </c>
    </row>
    <row r="1884" spans="10:12" x14ac:dyDescent="0.3">
      <c r="J1884">
        <v>1861</v>
      </c>
      <c r="K1884" s="10">
        <v>0.23394557723461756</v>
      </c>
      <c r="L1884" s="10">
        <v>-2.6243533108529796E-2</v>
      </c>
    </row>
    <row r="1885" spans="10:12" x14ac:dyDescent="0.3">
      <c r="J1885">
        <v>1862</v>
      </c>
      <c r="K1885" s="10">
        <v>0.21928199947278385</v>
      </c>
      <c r="L1885" s="10">
        <v>6.5772031974911049E-2</v>
      </c>
    </row>
    <row r="1886" spans="10:12" x14ac:dyDescent="0.3">
      <c r="J1886">
        <v>1863</v>
      </c>
      <c r="K1886" s="10">
        <v>0.19805214248775468</v>
      </c>
      <c r="L1886" s="10">
        <v>0.27834699373728511</v>
      </c>
    </row>
    <row r="1887" spans="10:12" x14ac:dyDescent="0.3">
      <c r="J1887">
        <v>1864</v>
      </c>
      <c r="K1887" s="10">
        <v>0.19075716931375977</v>
      </c>
      <c r="L1887" s="10">
        <v>0.23690167366448842</v>
      </c>
    </row>
    <row r="1888" spans="10:12" x14ac:dyDescent="0.3">
      <c r="J1888">
        <v>1865</v>
      </c>
      <c r="K1888" s="10">
        <v>0.20099594227178924</v>
      </c>
      <c r="L1888" s="10">
        <v>0.40556559724936259</v>
      </c>
    </row>
    <row r="1889" spans="10:12" x14ac:dyDescent="0.3">
      <c r="J1889">
        <v>1866</v>
      </c>
      <c r="K1889" s="10">
        <v>0.2452925558784694</v>
      </c>
      <c r="L1889" s="10">
        <v>-2.6754912270222989E-2</v>
      </c>
    </row>
    <row r="1890" spans="10:12" x14ac:dyDescent="0.3">
      <c r="J1890">
        <v>1867</v>
      </c>
      <c r="K1890" s="10">
        <v>0.19626197123087991</v>
      </c>
      <c r="L1890" s="10">
        <v>0.28935434440800173</v>
      </c>
    </row>
    <row r="1891" spans="10:12" x14ac:dyDescent="0.3">
      <c r="J1891">
        <v>1868</v>
      </c>
      <c r="K1891" s="10">
        <v>0.21122881051169956</v>
      </c>
      <c r="L1891" s="10">
        <v>0.54625782105917231</v>
      </c>
    </row>
    <row r="1892" spans="10:12" x14ac:dyDescent="0.3">
      <c r="J1892">
        <v>1869</v>
      </c>
      <c r="K1892" s="10">
        <v>0.21661512525549512</v>
      </c>
      <c r="L1892" s="10">
        <v>0.41870216432137614</v>
      </c>
    </row>
    <row r="1893" spans="10:12" x14ac:dyDescent="0.3">
      <c r="J1893">
        <v>1870</v>
      </c>
      <c r="K1893" s="10">
        <v>0.25949473226244452</v>
      </c>
      <c r="L1893" s="10">
        <v>-2.4681401305217884E-2</v>
      </c>
    </row>
    <row r="1894" spans="10:12" x14ac:dyDescent="0.3">
      <c r="J1894">
        <v>1871</v>
      </c>
      <c r="K1894" s="10">
        <v>0.21194748224096166</v>
      </c>
      <c r="L1894" s="10">
        <v>0.21079504582627537</v>
      </c>
    </row>
    <row r="1895" spans="10:12" x14ac:dyDescent="0.3">
      <c r="J1895">
        <v>1872</v>
      </c>
      <c r="K1895" s="10">
        <v>0.20024552197950377</v>
      </c>
      <c r="L1895" s="10">
        <v>0.46684733412969792</v>
      </c>
    </row>
    <row r="1896" spans="10:12" x14ac:dyDescent="0.3">
      <c r="J1896">
        <v>1873</v>
      </c>
      <c r="K1896" s="10">
        <v>0.24086597539680843</v>
      </c>
      <c r="L1896" s="10">
        <v>0.68655031064978578</v>
      </c>
    </row>
    <row r="1897" spans="10:12" x14ac:dyDescent="0.3">
      <c r="J1897">
        <v>1874</v>
      </c>
      <c r="K1897" s="10">
        <v>0.19133643376436776</v>
      </c>
      <c r="L1897" s="10">
        <v>0.38365019933218825</v>
      </c>
    </row>
    <row r="1898" spans="10:12" x14ac:dyDescent="0.3">
      <c r="J1898">
        <v>1875</v>
      </c>
      <c r="K1898" s="10">
        <v>0.19448495809295893</v>
      </c>
      <c r="L1898" s="10">
        <v>0.20539648303890351</v>
      </c>
    </row>
    <row r="1899" spans="10:12" x14ac:dyDescent="0.3">
      <c r="J1899">
        <v>1876</v>
      </c>
      <c r="K1899" s="10">
        <v>0.21273564531649392</v>
      </c>
      <c r="L1899" s="10">
        <v>0.25460118588894259</v>
      </c>
    </row>
    <row r="1900" spans="10:12" x14ac:dyDescent="0.3">
      <c r="J1900">
        <v>1877</v>
      </c>
      <c r="K1900" s="10">
        <v>0.23165037721907347</v>
      </c>
      <c r="L1900" s="10">
        <v>4.732897659451589E-2</v>
      </c>
    </row>
    <row r="1901" spans="10:12" x14ac:dyDescent="0.3">
      <c r="J1901">
        <v>1878</v>
      </c>
      <c r="K1901" s="10">
        <v>0.19615316225878501</v>
      </c>
      <c r="L1901" s="10">
        <v>0.32568792045639788</v>
      </c>
    </row>
    <row r="1902" spans="10:12" x14ac:dyDescent="0.3">
      <c r="J1902">
        <v>1879</v>
      </c>
      <c r="K1902" s="10">
        <v>0.22515972385666538</v>
      </c>
      <c r="L1902" s="10">
        <v>-5.4758250506113659E-4</v>
      </c>
    </row>
    <row r="1903" spans="10:12" x14ac:dyDescent="0.3">
      <c r="J1903">
        <v>1880</v>
      </c>
      <c r="K1903" s="10">
        <v>0.22295671289578237</v>
      </c>
      <c r="L1903" s="10">
        <v>0.34328232562376482</v>
      </c>
    </row>
    <row r="1904" spans="10:12" x14ac:dyDescent="0.3">
      <c r="J1904">
        <v>1881</v>
      </c>
      <c r="K1904" s="10">
        <v>0.20656255925197881</v>
      </c>
      <c r="L1904" s="10">
        <v>0.45168410046822161</v>
      </c>
    </row>
    <row r="1905" spans="10:12" x14ac:dyDescent="0.3">
      <c r="J1905">
        <v>1882</v>
      </c>
      <c r="K1905" s="10">
        <v>0.20946954019576738</v>
      </c>
      <c r="L1905" s="10">
        <v>0.33891809361183683</v>
      </c>
    </row>
    <row r="1906" spans="10:12" x14ac:dyDescent="0.3">
      <c r="J1906">
        <v>1883</v>
      </c>
      <c r="K1906" s="10">
        <v>0.20534685351254828</v>
      </c>
      <c r="L1906" s="10">
        <v>0.22162905704000452</v>
      </c>
    </row>
    <row r="1907" spans="10:12" x14ac:dyDescent="0.3">
      <c r="J1907">
        <v>1884</v>
      </c>
      <c r="K1907" s="10">
        <v>0.2029683850156577</v>
      </c>
      <c r="L1907" s="10">
        <v>0.26341538529266989</v>
      </c>
    </row>
    <row r="1908" spans="10:12" x14ac:dyDescent="0.3">
      <c r="J1908">
        <v>1885</v>
      </c>
      <c r="K1908" s="10">
        <v>0.18975243513715781</v>
      </c>
      <c r="L1908" s="10">
        <v>0.35878621204264871</v>
      </c>
    </row>
    <row r="1909" spans="10:12" x14ac:dyDescent="0.3">
      <c r="J1909">
        <v>1886</v>
      </c>
      <c r="K1909" s="10">
        <v>0.19042863423494882</v>
      </c>
      <c r="L1909" s="10">
        <v>0.33609437910228085</v>
      </c>
    </row>
    <row r="1910" spans="10:12" x14ac:dyDescent="0.3">
      <c r="J1910">
        <v>1887</v>
      </c>
      <c r="K1910" s="10">
        <v>0.2121514994611215</v>
      </c>
      <c r="L1910" s="10">
        <v>0.49281441918711327</v>
      </c>
    </row>
    <row r="1911" spans="10:12" x14ac:dyDescent="0.3">
      <c r="J1911">
        <v>1888</v>
      </c>
      <c r="K1911" s="10">
        <v>0.19886527129458809</v>
      </c>
      <c r="L1911" s="10">
        <v>0.14578754442517097</v>
      </c>
    </row>
    <row r="1912" spans="10:12" x14ac:dyDescent="0.3">
      <c r="J1912">
        <v>1889</v>
      </c>
      <c r="K1912" s="10">
        <v>0.20753423108360874</v>
      </c>
      <c r="L1912" s="10">
        <v>0.24908723690359652</v>
      </c>
    </row>
    <row r="1913" spans="10:12" x14ac:dyDescent="0.3">
      <c r="J1913">
        <v>1890</v>
      </c>
      <c r="K1913" s="10">
        <v>0.19222732229672387</v>
      </c>
      <c r="L1913" s="10">
        <v>0.35765722213105555</v>
      </c>
    </row>
    <row r="1914" spans="10:12" x14ac:dyDescent="0.3">
      <c r="J1914">
        <v>1891</v>
      </c>
      <c r="K1914" s="10">
        <v>0.1893528808794506</v>
      </c>
      <c r="L1914" s="10">
        <v>0.34694084557147503</v>
      </c>
    </row>
    <row r="1915" spans="10:12" x14ac:dyDescent="0.3">
      <c r="J1915">
        <v>1892</v>
      </c>
      <c r="K1915" s="10">
        <v>0.19869998545150888</v>
      </c>
      <c r="L1915" s="10">
        <v>0.26721498474847594</v>
      </c>
    </row>
    <row r="1916" spans="10:12" x14ac:dyDescent="0.3">
      <c r="J1916">
        <v>1893</v>
      </c>
      <c r="K1916" s="10">
        <v>0.21953058439457046</v>
      </c>
      <c r="L1916" s="10">
        <v>0.43759979684992051</v>
      </c>
    </row>
    <row r="1917" spans="10:12" x14ac:dyDescent="0.3">
      <c r="J1917">
        <v>1894</v>
      </c>
      <c r="K1917" s="10">
        <v>0.21025784427731475</v>
      </c>
      <c r="L1917" s="10">
        <v>0.45891388543161071</v>
      </c>
    </row>
    <row r="1918" spans="10:12" x14ac:dyDescent="0.3">
      <c r="J1918">
        <v>1895</v>
      </c>
      <c r="K1918" s="10">
        <v>0.21426799123213774</v>
      </c>
      <c r="L1918" s="10">
        <v>0.12917151336765331</v>
      </c>
    </row>
    <row r="1919" spans="10:12" x14ac:dyDescent="0.3">
      <c r="J1919">
        <v>1896</v>
      </c>
      <c r="K1919" s="10">
        <v>0.19212756895373537</v>
      </c>
      <c r="L1919" s="10">
        <v>0.40026164542187898</v>
      </c>
    </row>
    <row r="1920" spans="10:12" x14ac:dyDescent="0.3">
      <c r="J1920">
        <v>1897</v>
      </c>
      <c r="K1920" s="10">
        <v>0.19784866009325244</v>
      </c>
      <c r="L1920" s="10">
        <v>0.20345314988171773</v>
      </c>
    </row>
    <row r="1921" spans="10:12" x14ac:dyDescent="0.3">
      <c r="J1921">
        <v>1898</v>
      </c>
      <c r="K1921" s="10">
        <v>0.19361536229184481</v>
      </c>
      <c r="L1921" s="10">
        <v>0.40461279825164215</v>
      </c>
    </row>
    <row r="1922" spans="10:12" x14ac:dyDescent="0.3">
      <c r="J1922">
        <v>1899</v>
      </c>
      <c r="K1922" s="10">
        <v>0.19960432130169678</v>
      </c>
      <c r="L1922" s="10">
        <v>0.23047466479496248</v>
      </c>
    </row>
    <row r="1923" spans="10:12" x14ac:dyDescent="0.3">
      <c r="J1923">
        <v>1900</v>
      </c>
      <c r="K1923" s="10">
        <v>0.20963157573574623</v>
      </c>
      <c r="L1923" s="10">
        <v>7.2896073292540775E-2</v>
      </c>
    </row>
    <row r="1924" spans="10:12" x14ac:dyDescent="0.3">
      <c r="J1924">
        <v>1901</v>
      </c>
      <c r="K1924" s="10">
        <v>0.19471982600617174</v>
      </c>
      <c r="L1924" s="10">
        <v>0.22603385368775625</v>
      </c>
    </row>
    <row r="1925" spans="10:12" x14ac:dyDescent="0.3">
      <c r="J1925">
        <v>1902</v>
      </c>
      <c r="K1925" s="10">
        <v>0.19283312781697326</v>
      </c>
      <c r="L1925" s="10">
        <v>0.3668840978038681</v>
      </c>
    </row>
    <row r="1926" spans="10:12" x14ac:dyDescent="0.3">
      <c r="J1926">
        <v>1903</v>
      </c>
      <c r="K1926" s="10">
        <v>0.23111410862385073</v>
      </c>
      <c r="L1926" s="10">
        <v>6.4593893538896524E-2</v>
      </c>
    </row>
    <row r="1927" spans="10:12" x14ac:dyDescent="0.3">
      <c r="J1927">
        <v>1904</v>
      </c>
      <c r="K1927" s="10">
        <v>0.33363334947266876</v>
      </c>
      <c r="L1927" s="10">
        <v>-5.6748099072481413E-2</v>
      </c>
    </row>
    <row r="1928" spans="10:12" x14ac:dyDescent="0.3">
      <c r="J1928">
        <v>1905</v>
      </c>
      <c r="K1928" s="10">
        <v>0.19156556739627528</v>
      </c>
      <c r="L1928" s="10">
        <v>0.26814276175740193</v>
      </c>
    </row>
    <row r="1929" spans="10:12" x14ac:dyDescent="0.3">
      <c r="J1929">
        <v>1906</v>
      </c>
      <c r="K1929" s="10">
        <v>0.26901670364493563</v>
      </c>
      <c r="L1929" s="10">
        <v>-7.9431437721420417E-2</v>
      </c>
    </row>
    <row r="1930" spans="10:12" x14ac:dyDescent="0.3">
      <c r="J1930">
        <v>1907</v>
      </c>
      <c r="K1930" s="10">
        <v>0.2101278498823585</v>
      </c>
      <c r="L1930" s="10">
        <v>0.33982905773047339</v>
      </c>
    </row>
    <row r="1931" spans="10:12" x14ac:dyDescent="0.3">
      <c r="J1931">
        <v>1908</v>
      </c>
      <c r="K1931" s="10">
        <v>0.21350819710081961</v>
      </c>
      <c r="L1931" s="10">
        <v>5.4659512153445715E-2</v>
      </c>
    </row>
    <row r="1932" spans="10:12" x14ac:dyDescent="0.3">
      <c r="J1932">
        <v>1909</v>
      </c>
      <c r="K1932" s="10">
        <v>0.20599567840151975</v>
      </c>
      <c r="L1932" s="10">
        <v>0.51565468905914102</v>
      </c>
    </row>
    <row r="1933" spans="10:12" x14ac:dyDescent="0.3">
      <c r="J1933">
        <v>1910</v>
      </c>
      <c r="K1933" s="10">
        <v>0.23688145039435854</v>
      </c>
      <c r="L1933" s="10">
        <v>6.3404452503210917E-2</v>
      </c>
    </row>
    <row r="1934" spans="10:12" x14ac:dyDescent="0.3">
      <c r="J1934">
        <v>1911</v>
      </c>
      <c r="K1934" s="10">
        <v>0.21469210123601851</v>
      </c>
      <c r="L1934" s="10">
        <v>6.8320026809171569E-2</v>
      </c>
    </row>
    <row r="1935" spans="10:12" x14ac:dyDescent="0.3">
      <c r="J1935">
        <v>1912</v>
      </c>
      <c r="K1935" s="10">
        <v>0.19765643569923153</v>
      </c>
      <c r="L1935" s="10">
        <v>0.2153926273005374</v>
      </c>
    </row>
    <row r="1936" spans="10:12" x14ac:dyDescent="0.3">
      <c r="J1936">
        <v>1913</v>
      </c>
      <c r="K1936" s="10">
        <v>0.27712296466388703</v>
      </c>
      <c r="L1936" s="10">
        <v>-3.0138870700798851E-2</v>
      </c>
    </row>
    <row r="1937" spans="10:12" x14ac:dyDescent="0.3">
      <c r="J1937">
        <v>1914</v>
      </c>
      <c r="K1937" s="10">
        <v>0.20438700241335692</v>
      </c>
      <c r="L1937" s="10">
        <v>0.13410520730998143</v>
      </c>
    </row>
    <row r="1938" spans="10:12" x14ac:dyDescent="0.3">
      <c r="J1938">
        <v>1915</v>
      </c>
      <c r="K1938" s="10">
        <v>0.19358019568101828</v>
      </c>
      <c r="L1938" s="10">
        <v>0.39678498252995087</v>
      </c>
    </row>
    <row r="1939" spans="10:12" x14ac:dyDescent="0.3">
      <c r="J1939">
        <v>1916</v>
      </c>
      <c r="K1939" s="10">
        <v>0.2849052223321375</v>
      </c>
      <c r="L1939" s="10">
        <v>-1.3418912623381143E-3</v>
      </c>
    </row>
    <row r="1940" spans="10:12" x14ac:dyDescent="0.3">
      <c r="J1940">
        <v>1917</v>
      </c>
      <c r="K1940" s="10">
        <v>0.24254457877160601</v>
      </c>
      <c r="L1940" s="10">
        <v>0.13394298803566868</v>
      </c>
    </row>
    <row r="1941" spans="10:12" x14ac:dyDescent="0.3">
      <c r="J1941">
        <v>1918</v>
      </c>
      <c r="K1941" s="10">
        <v>0.19545094664268062</v>
      </c>
      <c r="L1941" s="10">
        <v>0.22344681638883912</v>
      </c>
    </row>
    <row r="1942" spans="10:12" x14ac:dyDescent="0.3">
      <c r="J1942">
        <v>1919</v>
      </c>
      <c r="K1942" s="10">
        <v>0.19300581156882196</v>
      </c>
      <c r="L1942" s="10">
        <v>0.33734527860725716</v>
      </c>
    </row>
    <row r="1943" spans="10:12" x14ac:dyDescent="0.3">
      <c r="J1943">
        <v>1920</v>
      </c>
      <c r="K1943" s="10">
        <v>0.20461396738921714</v>
      </c>
      <c r="L1943" s="10">
        <v>0.14333628683375782</v>
      </c>
    </row>
    <row r="1944" spans="10:12" x14ac:dyDescent="0.3">
      <c r="J1944">
        <v>1921</v>
      </c>
      <c r="K1944" s="10">
        <v>0.23108605628359827</v>
      </c>
      <c r="L1944" s="10">
        <v>1.7948421225173712E-2</v>
      </c>
    </row>
    <row r="1945" spans="10:12" x14ac:dyDescent="0.3">
      <c r="J1945">
        <v>1922</v>
      </c>
      <c r="K1945" s="10">
        <v>0.19263515637845577</v>
      </c>
      <c r="L1945" s="10">
        <v>0.28923831926197247</v>
      </c>
    </row>
    <row r="1946" spans="10:12" x14ac:dyDescent="0.3">
      <c r="J1946">
        <v>1923</v>
      </c>
      <c r="K1946" s="10">
        <v>0.25573076255625343</v>
      </c>
      <c r="L1946" s="10">
        <v>-3.3284632083804833E-2</v>
      </c>
    </row>
    <row r="1947" spans="10:12" x14ac:dyDescent="0.3">
      <c r="J1947">
        <v>1924</v>
      </c>
      <c r="K1947" s="10">
        <v>0.2553529985928305</v>
      </c>
      <c r="L1947" s="10">
        <v>-7.0541450613506598E-2</v>
      </c>
    </row>
    <row r="1948" spans="10:12" x14ac:dyDescent="0.3">
      <c r="J1948">
        <v>1925</v>
      </c>
      <c r="K1948" s="10">
        <v>0.21157602274819298</v>
      </c>
      <c r="L1948" s="10">
        <v>0.37778198189426448</v>
      </c>
    </row>
    <row r="1949" spans="10:12" x14ac:dyDescent="0.3">
      <c r="J1949">
        <v>1926</v>
      </c>
      <c r="K1949" s="10">
        <v>0.20052839432570749</v>
      </c>
      <c r="L1949" s="10">
        <v>0.33299191513301396</v>
      </c>
    </row>
    <row r="1950" spans="10:12" x14ac:dyDescent="0.3">
      <c r="J1950">
        <v>1927</v>
      </c>
      <c r="K1950" s="10">
        <v>0.21277070358026848</v>
      </c>
      <c r="L1950" s="10">
        <v>0.23175025598364285</v>
      </c>
    </row>
    <row r="1951" spans="10:12" x14ac:dyDescent="0.3">
      <c r="J1951">
        <v>1928</v>
      </c>
      <c r="K1951" s="10">
        <v>0.19875198421942916</v>
      </c>
      <c r="L1951" s="10">
        <v>0.42576222598804692</v>
      </c>
    </row>
    <row r="1952" spans="10:12" x14ac:dyDescent="0.3">
      <c r="J1952">
        <v>1929</v>
      </c>
      <c r="K1952" s="10">
        <v>0.24226662499342835</v>
      </c>
      <c r="L1952" s="10">
        <v>-6.8103589118184496E-2</v>
      </c>
    </row>
    <row r="1953" spans="10:12" x14ac:dyDescent="0.3">
      <c r="J1953">
        <v>1930</v>
      </c>
      <c r="K1953" s="10">
        <v>0.20053518899059633</v>
      </c>
      <c r="L1953" s="10">
        <v>0.46848455909941555</v>
      </c>
    </row>
    <row r="1954" spans="10:12" x14ac:dyDescent="0.3">
      <c r="J1954">
        <v>1931</v>
      </c>
      <c r="K1954" s="10">
        <v>0.35578564266064377</v>
      </c>
      <c r="L1954" s="10">
        <v>-7.6724597023932251E-2</v>
      </c>
    </row>
    <row r="1955" spans="10:12" x14ac:dyDescent="0.3">
      <c r="J1955">
        <v>1932</v>
      </c>
      <c r="K1955" s="10">
        <v>0.23142443344335134</v>
      </c>
      <c r="L1955" s="10">
        <v>0.39003295925115544</v>
      </c>
    </row>
    <row r="1956" spans="10:12" x14ac:dyDescent="0.3">
      <c r="J1956">
        <v>1933</v>
      </c>
      <c r="K1956" s="10">
        <v>0.19132314608461468</v>
      </c>
      <c r="L1956" s="10">
        <v>0.23754608675293973</v>
      </c>
    </row>
    <row r="1957" spans="10:12" x14ac:dyDescent="0.3">
      <c r="J1957">
        <v>1934</v>
      </c>
      <c r="K1957" s="10">
        <v>0.21850711206128776</v>
      </c>
      <c r="L1957" s="10">
        <v>7.1338425275176906E-2</v>
      </c>
    </row>
    <row r="1958" spans="10:12" x14ac:dyDescent="0.3">
      <c r="J1958">
        <v>1935</v>
      </c>
      <c r="K1958" s="10">
        <v>0.21437801411194324</v>
      </c>
      <c r="L1958" s="10">
        <v>0.51145183902502356</v>
      </c>
    </row>
    <row r="1959" spans="10:12" x14ac:dyDescent="0.3">
      <c r="J1959">
        <v>1936</v>
      </c>
      <c r="K1959" s="10">
        <v>0.23796044411656786</v>
      </c>
      <c r="L1959" s="10">
        <v>0.25727065819751266</v>
      </c>
    </row>
    <row r="1960" spans="10:12" x14ac:dyDescent="0.3">
      <c r="J1960">
        <v>1937</v>
      </c>
      <c r="K1960" s="10">
        <v>0.19053953671407506</v>
      </c>
      <c r="L1960" s="10">
        <v>0.36789175453718892</v>
      </c>
    </row>
    <row r="1961" spans="10:12" x14ac:dyDescent="0.3">
      <c r="J1961">
        <v>1938</v>
      </c>
      <c r="K1961" s="10">
        <v>0.24654662552713358</v>
      </c>
      <c r="L1961" s="10">
        <v>0.71151727019779243</v>
      </c>
    </row>
    <row r="1962" spans="10:12" x14ac:dyDescent="0.3">
      <c r="J1962">
        <v>1939</v>
      </c>
      <c r="K1962" s="10">
        <v>0.20388242836628506</v>
      </c>
      <c r="L1962" s="10">
        <v>0.15374008506759959</v>
      </c>
    </row>
    <row r="1963" spans="10:12" x14ac:dyDescent="0.3">
      <c r="J1963">
        <v>1940</v>
      </c>
      <c r="K1963" s="10">
        <v>0.20119446332501495</v>
      </c>
      <c r="L1963" s="10">
        <v>0.48533613473901277</v>
      </c>
    </row>
    <row r="1964" spans="10:12" x14ac:dyDescent="0.3">
      <c r="J1964">
        <v>1941</v>
      </c>
      <c r="K1964" s="10">
        <v>0.32252524425416451</v>
      </c>
      <c r="L1964" s="10">
        <v>-8.2233736883802103E-2</v>
      </c>
    </row>
    <row r="1965" spans="10:12" x14ac:dyDescent="0.3">
      <c r="J1965">
        <v>1942</v>
      </c>
      <c r="K1965" s="10">
        <v>0.20140914677788013</v>
      </c>
      <c r="L1965" s="10">
        <v>0.31168656373213105</v>
      </c>
    </row>
    <row r="1966" spans="10:12" x14ac:dyDescent="0.3">
      <c r="J1966">
        <v>1943</v>
      </c>
      <c r="K1966" s="10">
        <v>0.19998167741337708</v>
      </c>
      <c r="L1966" s="10">
        <v>0.25051051919999179</v>
      </c>
    </row>
    <row r="1967" spans="10:12" x14ac:dyDescent="0.3">
      <c r="J1967">
        <v>1944</v>
      </c>
      <c r="K1967" s="10">
        <v>0.19353553088439354</v>
      </c>
      <c r="L1967" s="10">
        <v>0.24703434024967263</v>
      </c>
    </row>
    <row r="1968" spans="10:12" x14ac:dyDescent="0.3">
      <c r="J1968">
        <v>1945</v>
      </c>
      <c r="K1968" s="10">
        <v>0.20712572679363983</v>
      </c>
      <c r="L1968" s="10">
        <v>0.29965550959578147</v>
      </c>
    </row>
    <row r="1969" spans="10:12" x14ac:dyDescent="0.3">
      <c r="J1969">
        <v>1946</v>
      </c>
      <c r="K1969" s="10">
        <v>0.19901522230567142</v>
      </c>
      <c r="L1969" s="10">
        <v>0.23088312978946635</v>
      </c>
    </row>
    <row r="1970" spans="10:12" x14ac:dyDescent="0.3">
      <c r="J1970">
        <v>1947</v>
      </c>
      <c r="K1970" s="10">
        <v>0.22993621307435738</v>
      </c>
      <c r="L1970" s="10">
        <v>8.3737146627191519E-2</v>
      </c>
    </row>
    <row r="1971" spans="10:12" x14ac:dyDescent="0.3">
      <c r="J1971">
        <v>1948</v>
      </c>
      <c r="K1971" s="10">
        <v>0.21579748195346576</v>
      </c>
      <c r="L1971" s="10">
        <v>0.16046565572516489</v>
      </c>
    </row>
    <row r="1972" spans="10:12" x14ac:dyDescent="0.3">
      <c r="J1972">
        <v>1949</v>
      </c>
      <c r="K1972" s="10">
        <v>0.22765937427789132</v>
      </c>
      <c r="L1972" s="10">
        <v>0.12223245311144455</v>
      </c>
    </row>
    <row r="1973" spans="10:12" x14ac:dyDescent="0.3">
      <c r="J1973">
        <v>1950</v>
      </c>
      <c r="K1973" s="10">
        <v>0.30293043247220325</v>
      </c>
      <c r="L1973" s="10">
        <v>2.9766316834415121E-3</v>
      </c>
    </row>
    <row r="1974" spans="10:12" x14ac:dyDescent="0.3">
      <c r="J1974">
        <v>1951</v>
      </c>
      <c r="K1974" s="10">
        <v>0.19415502529741746</v>
      </c>
      <c r="L1974" s="10">
        <v>0.32246995668944656</v>
      </c>
    </row>
    <row r="1975" spans="10:12" x14ac:dyDescent="0.3">
      <c r="J1975">
        <v>1952</v>
      </c>
      <c r="K1975" s="10">
        <v>0.2327080488042674</v>
      </c>
      <c r="L1975" s="10">
        <v>-4.2748644993676019E-2</v>
      </c>
    </row>
    <row r="1976" spans="10:12" x14ac:dyDescent="0.3">
      <c r="J1976">
        <v>1953</v>
      </c>
      <c r="K1976" s="10">
        <v>0.21023142132082409</v>
      </c>
      <c r="L1976" s="10">
        <v>0.18196136821080602</v>
      </c>
    </row>
    <row r="1977" spans="10:12" x14ac:dyDescent="0.3">
      <c r="J1977">
        <v>1954</v>
      </c>
      <c r="K1977" s="10">
        <v>0.2244641197480986</v>
      </c>
      <c r="L1977" s="10">
        <v>0.45917470731765597</v>
      </c>
    </row>
    <row r="1978" spans="10:12" x14ac:dyDescent="0.3">
      <c r="J1978">
        <v>1955</v>
      </c>
      <c r="K1978" s="10">
        <v>0.20809027148064208</v>
      </c>
      <c r="L1978" s="10">
        <v>8.5815486329843205E-2</v>
      </c>
    </row>
    <row r="1979" spans="10:12" x14ac:dyDescent="0.3">
      <c r="J1979">
        <v>1956</v>
      </c>
      <c r="K1979" s="10">
        <v>0.2464894836884968</v>
      </c>
      <c r="L1979" s="10">
        <v>-4.491271635054489E-2</v>
      </c>
    </row>
    <row r="1980" spans="10:12" x14ac:dyDescent="0.3">
      <c r="J1980">
        <v>1957</v>
      </c>
      <c r="K1980" s="10">
        <v>0.24004091918565512</v>
      </c>
      <c r="L1980" s="10">
        <v>0.17126608403803001</v>
      </c>
    </row>
    <row r="1981" spans="10:12" x14ac:dyDescent="0.3">
      <c r="J1981">
        <v>1958</v>
      </c>
      <c r="K1981" s="10">
        <v>0.2084556891158334</v>
      </c>
      <c r="L1981" s="10">
        <v>0.15887157389172613</v>
      </c>
    </row>
    <row r="1982" spans="10:12" x14ac:dyDescent="0.3">
      <c r="J1982">
        <v>1959</v>
      </c>
      <c r="K1982" s="10">
        <v>0.21978261463708593</v>
      </c>
      <c r="L1982" s="10">
        <v>0.29719224723722082</v>
      </c>
    </row>
    <row r="1983" spans="10:12" x14ac:dyDescent="0.3">
      <c r="J1983">
        <v>1960</v>
      </c>
      <c r="K1983" s="10">
        <v>0.19409895632639507</v>
      </c>
      <c r="L1983" s="10">
        <v>0.42403965871636112</v>
      </c>
    </row>
    <row r="1984" spans="10:12" x14ac:dyDescent="0.3">
      <c r="J1984">
        <v>1961</v>
      </c>
      <c r="K1984" s="10">
        <v>0.19011895299166678</v>
      </c>
      <c r="L1984" s="10">
        <v>0.34782809140347404</v>
      </c>
    </row>
    <row r="1985" spans="10:12" x14ac:dyDescent="0.3">
      <c r="J1985">
        <v>1962</v>
      </c>
      <c r="K1985" s="10">
        <v>0.21271969100829755</v>
      </c>
      <c r="L1985" s="10">
        <v>0.16063355218297184</v>
      </c>
    </row>
    <row r="1986" spans="10:12" x14ac:dyDescent="0.3">
      <c r="J1986">
        <v>1963</v>
      </c>
      <c r="K1986" s="10">
        <v>0.21795348461268882</v>
      </c>
      <c r="L1986" s="10">
        <v>0.25637105926861148</v>
      </c>
    </row>
    <row r="1987" spans="10:12" x14ac:dyDescent="0.3">
      <c r="J1987">
        <v>1964</v>
      </c>
      <c r="K1987" s="10">
        <v>0.19664165239843054</v>
      </c>
      <c r="L1987" s="10">
        <v>0.29886808818712829</v>
      </c>
    </row>
    <row r="1988" spans="10:12" x14ac:dyDescent="0.3">
      <c r="J1988">
        <v>1965</v>
      </c>
      <c r="K1988" s="10">
        <v>0.29960598753826934</v>
      </c>
      <c r="L1988" s="10">
        <v>-8.693137994646051E-2</v>
      </c>
    </row>
    <row r="1989" spans="10:12" x14ac:dyDescent="0.3">
      <c r="J1989">
        <v>1966</v>
      </c>
      <c r="K1989" s="10">
        <v>0.26473427867163402</v>
      </c>
      <c r="L1989" s="10">
        <v>0.15997374272232545</v>
      </c>
    </row>
    <row r="1990" spans="10:12" x14ac:dyDescent="0.3">
      <c r="J1990">
        <v>1967</v>
      </c>
      <c r="K1990" s="10">
        <v>0.1936109917888639</v>
      </c>
      <c r="L1990" s="10">
        <v>0.29496847780983887</v>
      </c>
    </row>
    <row r="1991" spans="10:12" x14ac:dyDescent="0.3">
      <c r="J1991">
        <v>1968</v>
      </c>
      <c r="K1991" s="10">
        <v>0.22129109652533765</v>
      </c>
      <c r="L1991" s="10">
        <v>4.6626497201481612E-2</v>
      </c>
    </row>
    <row r="1992" spans="10:12" x14ac:dyDescent="0.3">
      <c r="J1992">
        <v>1969</v>
      </c>
      <c r="K1992" s="10">
        <v>0.18956448809691445</v>
      </c>
      <c r="L1992" s="10">
        <v>0.29227335492074269</v>
      </c>
    </row>
    <row r="1993" spans="10:12" x14ac:dyDescent="0.3">
      <c r="J1993">
        <v>1970</v>
      </c>
      <c r="K1993" s="10">
        <v>0.19301354602636495</v>
      </c>
      <c r="L1993" s="10">
        <v>0.23987483278511218</v>
      </c>
    </row>
    <row r="1994" spans="10:12" x14ac:dyDescent="0.3">
      <c r="J1994">
        <v>1971</v>
      </c>
      <c r="K1994" s="10">
        <v>0.22053417154695032</v>
      </c>
      <c r="L1994" s="10">
        <v>0.12187414427701293</v>
      </c>
    </row>
    <row r="1995" spans="10:12" x14ac:dyDescent="0.3">
      <c r="J1995">
        <v>1972</v>
      </c>
      <c r="K1995" s="10">
        <v>0.18890077269018876</v>
      </c>
      <c r="L1995" s="10">
        <v>0.28434519778279688</v>
      </c>
    </row>
    <row r="1996" spans="10:12" x14ac:dyDescent="0.3">
      <c r="J1996">
        <v>1973</v>
      </c>
      <c r="K1996" s="10">
        <v>0.21427290064060295</v>
      </c>
      <c r="L1996" s="10">
        <v>5.0809404279478547E-2</v>
      </c>
    </row>
    <row r="1997" spans="10:12" x14ac:dyDescent="0.3">
      <c r="J1997">
        <v>1974</v>
      </c>
      <c r="K1997" s="10">
        <v>0.20681750487515269</v>
      </c>
      <c r="L1997" s="10">
        <v>0.4125084421410582</v>
      </c>
    </row>
    <row r="1998" spans="10:12" x14ac:dyDescent="0.3">
      <c r="J1998">
        <v>1975</v>
      </c>
      <c r="K1998" s="10">
        <v>0.22826446728992342</v>
      </c>
      <c r="L1998" s="10">
        <v>0.16006610814001915</v>
      </c>
    </row>
    <row r="1999" spans="10:12" x14ac:dyDescent="0.3">
      <c r="J1999">
        <v>1976</v>
      </c>
      <c r="K1999" s="10">
        <v>0.20966100746516214</v>
      </c>
      <c r="L1999" s="10">
        <v>0.11872858022252768</v>
      </c>
    </row>
    <row r="2000" spans="10:12" x14ac:dyDescent="0.3">
      <c r="J2000">
        <v>1977</v>
      </c>
      <c r="K2000" s="10">
        <v>0.21066910387390181</v>
      </c>
      <c r="L2000" s="10">
        <v>0.26935542305376664</v>
      </c>
    </row>
    <row r="2001" spans="10:12" x14ac:dyDescent="0.3">
      <c r="J2001">
        <v>1978</v>
      </c>
      <c r="K2001" s="10">
        <v>0.20867076449313671</v>
      </c>
      <c r="L2001" s="10">
        <v>0.22256649082855209</v>
      </c>
    </row>
    <row r="2002" spans="10:12" x14ac:dyDescent="0.3">
      <c r="J2002">
        <v>1979</v>
      </c>
      <c r="K2002" s="10">
        <v>0.22590323587976183</v>
      </c>
      <c r="L2002" s="10">
        <v>1.288736483207778E-3</v>
      </c>
    </row>
    <row r="2003" spans="10:12" x14ac:dyDescent="0.3">
      <c r="J2003">
        <v>1980</v>
      </c>
      <c r="K2003" s="10">
        <v>0.2233904420379044</v>
      </c>
      <c r="L2003" s="10">
        <v>7.558965771025819E-2</v>
      </c>
    </row>
    <row r="2004" spans="10:12" x14ac:dyDescent="0.3">
      <c r="J2004">
        <v>1981</v>
      </c>
      <c r="K2004" s="10">
        <v>0.20847062538906555</v>
      </c>
      <c r="L2004" s="10">
        <v>8.0647813106945326E-2</v>
      </c>
    </row>
    <row r="2005" spans="10:12" x14ac:dyDescent="0.3">
      <c r="J2005">
        <v>1982</v>
      </c>
      <c r="K2005" s="10">
        <v>0.19188744041249778</v>
      </c>
      <c r="L2005" s="10">
        <v>0.21750061491027511</v>
      </c>
    </row>
    <row r="2006" spans="10:12" x14ac:dyDescent="0.3">
      <c r="J2006">
        <v>1983</v>
      </c>
      <c r="K2006" s="10">
        <v>0.21817806292963937</v>
      </c>
      <c r="L2006" s="10">
        <v>0.3858250512496561</v>
      </c>
    </row>
    <row r="2007" spans="10:12" x14ac:dyDescent="0.3">
      <c r="J2007">
        <v>1984</v>
      </c>
      <c r="K2007" s="10">
        <v>0.23146095603223671</v>
      </c>
      <c r="L2007" s="10">
        <v>5.6031706181793088E-2</v>
      </c>
    </row>
    <row r="2008" spans="10:12" x14ac:dyDescent="0.3">
      <c r="J2008">
        <v>1985</v>
      </c>
      <c r="K2008" s="10">
        <v>0.22499344315203251</v>
      </c>
      <c r="L2008" s="10">
        <v>0.37121805063584595</v>
      </c>
    </row>
    <row r="2009" spans="10:12" x14ac:dyDescent="0.3">
      <c r="J2009">
        <v>1986</v>
      </c>
      <c r="K2009" s="10">
        <v>0.2275528503014273</v>
      </c>
      <c r="L2009" s="10">
        <v>5.4624837942624585E-3</v>
      </c>
    </row>
    <row r="2010" spans="10:12" x14ac:dyDescent="0.3">
      <c r="J2010">
        <v>1987</v>
      </c>
      <c r="K2010" s="10">
        <v>0.2135531720180277</v>
      </c>
      <c r="L2010" s="10">
        <v>0.5642400528628061</v>
      </c>
    </row>
    <row r="2011" spans="10:12" x14ac:dyDescent="0.3">
      <c r="J2011">
        <v>1988</v>
      </c>
      <c r="K2011" s="10">
        <v>0.225329783094629</v>
      </c>
      <c r="L2011" s="10">
        <v>0.31410575501843774</v>
      </c>
    </row>
    <row r="2012" spans="10:12" x14ac:dyDescent="0.3">
      <c r="J2012">
        <v>1989</v>
      </c>
      <c r="K2012" s="10">
        <v>0.19694471346870196</v>
      </c>
      <c r="L2012" s="10">
        <v>0.29680891660830538</v>
      </c>
    </row>
    <row r="2013" spans="10:12" x14ac:dyDescent="0.3">
      <c r="J2013">
        <v>1990</v>
      </c>
      <c r="K2013" s="10">
        <v>0.19787976550819439</v>
      </c>
      <c r="L2013" s="10">
        <v>0.15642213188518092</v>
      </c>
    </row>
    <row r="2014" spans="10:12" x14ac:dyDescent="0.3">
      <c r="J2014">
        <v>1991</v>
      </c>
      <c r="K2014" s="10">
        <v>0.22426607837947729</v>
      </c>
      <c r="L2014" s="10">
        <v>0.28807217326169732</v>
      </c>
    </row>
    <row r="2015" spans="10:12" x14ac:dyDescent="0.3">
      <c r="J2015">
        <v>1992</v>
      </c>
      <c r="K2015" s="10">
        <v>0.21492496133054004</v>
      </c>
      <c r="L2015" s="10">
        <v>4.8721038635280697E-2</v>
      </c>
    </row>
    <row r="2016" spans="10:12" x14ac:dyDescent="0.3">
      <c r="J2016">
        <v>1993</v>
      </c>
      <c r="K2016" s="10">
        <v>0.22516645391261977</v>
      </c>
      <c r="L2016" s="10">
        <v>0.10205545656362418</v>
      </c>
    </row>
    <row r="2017" spans="10:12" x14ac:dyDescent="0.3">
      <c r="J2017">
        <v>1994</v>
      </c>
      <c r="K2017" s="10">
        <v>0.20544306415228575</v>
      </c>
      <c r="L2017" s="10">
        <v>0.21643145639927899</v>
      </c>
    </row>
    <row r="2018" spans="10:12" x14ac:dyDescent="0.3">
      <c r="J2018">
        <v>1995</v>
      </c>
      <c r="K2018" s="10">
        <v>0.19506444835643227</v>
      </c>
      <c r="L2018" s="10">
        <v>0.2083993482452243</v>
      </c>
    </row>
    <row r="2019" spans="10:12" x14ac:dyDescent="0.3">
      <c r="J2019">
        <v>1996</v>
      </c>
      <c r="K2019" s="10">
        <v>0.21088860632138673</v>
      </c>
      <c r="L2019" s="10">
        <v>0.38213566719683334</v>
      </c>
    </row>
    <row r="2020" spans="10:12" x14ac:dyDescent="0.3">
      <c r="J2020">
        <v>1997</v>
      </c>
      <c r="K2020" s="10">
        <v>0.25604434971101353</v>
      </c>
      <c r="L2020" s="10">
        <v>-4.6155355527932457E-2</v>
      </c>
    </row>
    <row r="2021" spans="10:12" x14ac:dyDescent="0.3">
      <c r="J2021">
        <v>1998</v>
      </c>
      <c r="K2021" s="10">
        <v>0.19322090791337498</v>
      </c>
      <c r="L2021" s="10">
        <v>0.36890239674945857</v>
      </c>
    </row>
    <row r="2022" spans="10:12" x14ac:dyDescent="0.3">
      <c r="J2022">
        <v>1999</v>
      </c>
      <c r="K2022" s="10">
        <v>0.20603480463301835</v>
      </c>
      <c r="L2022" s="10">
        <v>0.4971657732053692</v>
      </c>
    </row>
    <row r="2023" spans="10:12" x14ac:dyDescent="0.3">
      <c r="J2023">
        <v>2000</v>
      </c>
      <c r="K2023" s="10">
        <v>0.20410059352365179</v>
      </c>
      <c r="L2023" s="10">
        <v>0.281968225471662</v>
      </c>
    </row>
    <row r="2024" spans="10:12" x14ac:dyDescent="0.3">
      <c r="J2024">
        <v>2001</v>
      </c>
      <c r="K2024" s="10">
        <v>0.2234626599145316</v>
      </c>
      <c r="L2024" s="10">
        <v>0.32373998692187966</v>
      </c>
    </row>
    <row r="2025" spans="10:12" x14ac:dyDescent="0.3">
      <c r="J2025">
        <v>2002</v>
      </c>
      <c r="K2025" s="10">
        <v>0.21883219093495856</v>
      </c>
      <c r="L2025" s="10">
        <v>0.31745440808775388</v>
      </c>
    </row>
    <row r="2026" spans="10:12" x14ac:dyDescent="0.3">
      <c r="J2026">
        <v>2003</v>
      </c>
      <c r="K2026" s="10">
        <v>0.2041977559691272</v>
      </c>
      <c r="L2026" s="10">
        <v>0.18103030694541919</v>
      </c>
    </row>
    <row r="2027" spans="10:12" x14ac:dyDescent="0.3">
      <c r="J2027">
        <v>2004</v>
      </c>
      <c r="K2027" s="10">
        <v>0.20356171694964131</v>
      </c>
      <c r="L2027" s="10">
        <v>0.18194174319006334</v>
      </c>
    </row>
    <row r="2028" spans="10:12" x14ac:dyDescent="0.3">
      <c r="J2028">
        <v>2005</v>
      </c>
      <c r="K2028" s="10">
        <v>0.2640787855629555</v>
      </c>
      <c r="L2028" s="10">
        <v>0.21474958533088689</v>
      </c>
    </row>
    <row r="2029" spans="10:12" x14ac:dyDescent="0.3">
      <c r="J2029">
        <v>2006</v>
      </c>
      <c r="K2029" s="10">
        <v>0.22780742100082255</v>
      </c>
      <c r="L2029" s="10">
        <v>7.3883155628865049E-2</v>
      </c>
    </row>
    <row r="2030" spans="10:12" x14ac:dyDescent="0.3">
      <c r="J2030">
        <v>2007</v>
      </c>
      <c r="K2030" s="10">
        <v>0.19632283189154567</v>
      </c>
      <c r="L2030" s="10">
        <v>0.43700719540078653</v>
      </c>
    </row>
    <row r="2031" spans="10:12" x14ac:dyDescent="0.3">
      <c r="J2031">
        <v>2008</v>
      </c>
      <c r="K2031" s="10">
        <v>0.19243264765922111</v>
      </c>
      <c r="L2031" s="10">
        <v>0.38176076279031279</v>
      </c>
    </row>
    <row r="2032" spans="10:12" x14ac:dyDescent="0.3">
      <c r="J2032">
        <v>2009</v>
      </c>
      <c r="K2032" s="10">
        <v>0.22369875506900591</v>
      </c>
      <c r="L2032" s="10">
        <v>2.3817086125344639E-4</v>
      </c>
    </row>
    <row r="2033" spans="10:12" x14ac:dyDescent="0.3">
      <c r="J2033">
        <v>2010</v>
      </c>
      <c r="K2033" s="10">
        <v>0.20383066923875814</v>
      </c>
      <c r="L2033" s="10">
        <v>0.48332843911870754</v>
      </c>
    </row>
    <row r="2034" spans="10:12" x14ac:dyDescent="0.3">
      <c r="J2034">
        <v>2011</v>
      </c>
      <c r="K2034" s="10">
        <v>0.24897371436542678</v>
      </c>
      <c r="L2034" s="10">
        <v>0.17750318858294262</v>
      </c>
    </row>
    <row r="2035" spans="10:12" x14ac:dyDescent="0.3">
      <c r="J2035">
        <v>2012</v>
      </c>
      <c r="K2035" s="10">
        <v>0.21380077354161517</v>
      </c>
      <c r="L2035" s="10">
        <v>5.0402516128825355E-2</v>
      </c>
    </row>
    <row r="2036" spans="10:12" x14ac:dyDescent="0.3">
      <c r="J2036">
        <v>2013</v>
      </c>
      <c r="K2036" s="10">
        <v>0.21431215428337927</v>
      </c>
      <c r="L2036" s="10">
        <v>0.55672856077171184</v>
      </c>
    </row>
    <row r="2037" spans="10:12" x14ac:dyDescent="0.3">
      <c r="J2037">
        <v>2014</v>
      </c>
      <c r="K2037" s="10">
        <v>0.23191288521017767</v>
      </c>
      <c r="L2037" s="10">
        <v>-3.660099146160975E-2</v>
      </c>
    </row>
    <row r="2038" spans="10:12" x14ac:dyDescent="0.3">
      <c r="J2038">
        <v>2015</v>
      </c>
      <c r="K2038" s="10">
        <v>0.19471286073810518</v>
      </c>
      <c r="L2038" s="10">
        <v>0.4140738617442431</v>
      </c>
    </row>
    <row r="2039" spans="10:12" x14ac:dyDescent="0.3">
      <c r="J2039">
        <v>2016</v>
      </c>
      <c r="K2039" s="10">
        <v>0.21783293083478469</v>
      </c>
      <c r="L2039" s="10">
        <v>0.53345751908753591</v>
      </c>
    </row>
    <row r="2040" spans="10:12" x14ac:dyDescent="0.3">
      <c r="J2040">
        <v>2017</v>
      </c>
      <c r="K2040" s="10">
        <v>0.25484245141964307</v>
      </c>
      <c r="L2040" s="10">
        <v>0.14880995973443739</v>
      </c>
    </row>
    <row r="2041" spans="10:12" x14ac:dyDescent="0.3">
      <c r="J2041">
        <v>2018</v>
      </c>
      <c r="K2041" s="10">
        <v>0.21530620163647743</v>
      </c>
      <c r="L2041" s="10">
        <v>8.4953767209227288E-2</v>
      </c>
    </row>
    <row r="2042" spans="10:12" x14ac:dyDescent="0.3">
      <c r="J2042">
        <v>2019</v>
      </c>
      <c r="K2042" s="10">
        <v>0.18999342208785241</v>
      </c>
      <c r="L2042" s="10">
        <v>0.34740930653895957</v>
      </c>
    </row>
    <row r="2043" spans="10:12" x14ac:dyDescent="0.3">
      <c r="J2043">
        <v>2020</v>
      </c>
      <c r="K2043" s="10">
        <v>0.19179484678462796</v>
      </c>
      <c r="L2043" s="10">
        <v>0.3638978102451752</v>
      </c>
    </row>
    <row r="2044" spans="10:12" x14ac:dyDescent="0.3">
      <c r="J2044">
        <v>2021</v>
      </c>
      <c r="K2044" s="10">
        <v>0.25543164190508677</v>
      </c>
      <c r="L2044" s="10">
        <v>0.74800969207104706</v>
      </c>
    </row>
    <row r="2045" spans="10:12" x14ac:dyDescent="0.3">
      <c r="J2045">
        <v>2022</v>
      </c>
      <c r="K2045" s="10">
        <v>0.20688374988207614</v>
      </c>
      <c r="L2045" s="10">
        <v>8.9997816335210978E-2</v>
      </c>
    </row>
    <row r="2046" spans="10:12" x14ac:dyDescent="0.3">
      <c r="J2046">
        <v>2023</v>
      </c>
      <c r="K2046" s="10">
        <v>0.22430561215998615</v>
      </c>
      <c r="L2046" s="10">
        <v>1.2005909865419884E-2</v>
      </c>
    </row>
    <row r="2047" spans="10:12" x14ac:dyDescent="0.3">
      <c r="J2047">
        <v>2024</v>
      </c>
      <c r="K2047" s="10">
        <v>0.24979343386206931</v>
      </c>
      <c r="L2047" s="10">
        <v>0.2421944014568449</v>
      </c>
    </row>
    <row r="2048" spans="10:12" x14ac:dyDescent="0.3">
      <c r="J2048">
        <v>2025</v>
      </c>
      <c r="K2048" s="10">
        <v>0.19990021228339341</v>
      </c>
      <c r="L2048" s="10">
        <v>0.41385079725519397</v>
      </c>
    </row>
    <row r="2049" spans="10:12" x14ac:dyDescent="0.3">
      <c r="J2049">
        <v>2026</v>
      </c>
      <c r="K2049" s="10">
        <v>0.20153879478533007</v>
      </c>
      <c r="L2049" s="10">
        <v>0.42298031268644171</v>
      </c>
    </row>
    <row r="2050" spans="10:12" x14ac:dyDescent="0.3">
      <c r="J2050">
        <v>2027</v>
      </c>
      <c r="K2050" s="10">
        <v>0.20828616196088556</v>
      </c>
      <c r="L2050" s="10">
        <v>0.52421471305709966</v>
      </c>
    </row>
    <row r="2051" spans="10:12" x14ac:dyDescent="0.3">
      <c r="J2051">
        <v>2028</v>
      </c>
      <c r="K2051" s="10">
        <v>0.20869423437476739</v>
      </c>
      <c r="L2051" s="10">
        <v>0.31578666816656364</v>
      </c>
    </row>
    <row r="2052" spans="10:12" x14ac:dyDescent="0.3">
      <c r="J2052">
        <v>2029</v>
      </c>
      <c r="K2052" s="10">
        <v>0.20338974987111896</v>
      </c>
      <c r="L2052" s="10">
        <v>0.41137028869642306</v>
      </c>
    </row>
    <row r="2053" spans="10:12" x14ac:dyDescent="0.3">
      <c r="J2053">
        <v>2030</v>
      </c>
      <c r="K2053" s="10">
        <v>0.19251807184780292</v>
      </c>
      <c r="L2053" s="10">
        <v>0.27829108633952765</v>
      </c>
    </row>
    <row r="2054" spans="10:12" x14ac:dyDescent="0.3">
      <c r="J2054">
        <v>2031</v>
      </c>
      <c r="K2054" s="10">
        <v>0.22344907779158202</v>
      </c>
      <c r="L2054" s="10">
        <v>0.61211474872079463</v>
      </c>
    </row>
    <row r="2055" spans="10:12" x14ac:dyDescent="0.3">
      <c r="J2055">
        <v>2032</v>
      </c>
      <c r="K2055" s="10">
        <v>0.26800628651438196</v>
      </c>
      <c r="L2055" s="10">
        <v>-6.3590726338450837E-2</v>
      </c>
    </row>
    <row r="2056" spans="10:12" x14ac:dyDescent="0.3">
      <c r="J2056">
        <v>2033</v>
      </c>
      <c r="K2056" s="10">
        <v>0.20862205104933415</v>
      </c>
      <c r="L2056" s="10">
        <v>0.52010868821529621</v>
      </c>
    </row>
    <row r="2057" spans="10:12" x14ac:dyDescent="0.3">
      <c r="J2057">
        <v>2034</v>
      </c>
      <c r="K2057" s="10">
        <v>0.20055714610809444</v>
      </c>
      <c r="L2057" s="10">
        <v>0.24815919646523224</v>
      </c>
    </row>
    <row r="2058" spans="10:12" x14ac:dyDescent="0.3">
      <c r="J2058">
        <v>2035</v>
      </c>
      <c r="K2058" s="10">
        <v>0.21527348365435342</v>
      </c>
      <c r="L2058" s="10">
        <v>0.52981292381063705</v>
      </c>
    </row>
    <row r="2059" spans="10:12" x14ac:dyDescent="0.3">
      <c r="J2059">
        <v>2036</v>
      </c>
      <c r="K2059" s="10">
        <v>0.21378219398524967</v>
      </c>
      <c r="L2059" s="10">
        <v>0.29459752345984019</v>
      </c>
    </row>
    <row r="2060" spans="10:12" x14ac:dyDescent="0.3">
      <c r="J2060">
        <v>2037</v>
      </c>
      <c r="K2060" s="10">
        <v>0.2293292544715469</v>
      </c>
      <c r="L2060" s="10">
        <v>5.4208120880392702E-2</v>
      </c>
    </row>
    <row r="2061" spans="10:12" x14ac:dyDescent="0.3">
      <c r="J2061">
        <v>2038</v>
      </c>
      <c r="K2061" s="10">
        <v>0.23328523695653655</v>
      </c>
      <c r="L2061" s="10">
        <v>0.33845432636894474</v>
      </c>
    </row>
    <row r="2062" spans="10:12" x14ac:dyDescent="0.3">
      <c r="J2062">
        <v>2039</v>
      </c>
      <c r="K2062" s="10">
        <v>0.24164185041621106</v>
      </c>
      <c r="L2062" s="10">
        <v>0.13245835322755223</v>
      </c>
    </row>
    <row r="2063" spans="10:12" x14ac:dyDescent="0.3">
      <c r="J2063">
        <v>2040</v>
      </c>
      <c r="K2063" s="10">
        <v>0.19741403156654708</v>
      </c>
      <c r="L2063" s="10">
        <v>0.22664676202611508</v>
      </c>
    </row>
    <row r="2064" spans="10:12" x14ac:dyDescent="0.3">
      <c r="J2064">
        <v>2041</v>
      </c>
      <c r="K2064" s="10">
        <v>0.211946117621713</v>
      </c>
      <c r="L2064" s="10">
        <v>8.4564799757681136E-2</v>
      </c>
    </row>
    <row r="2065" spans="10:12" x14ac:dyDescent="0.3">
      <c r="J2065">
        <v>2042</v>
      </c>
      <c r="K2065" s="10">
        <v>0.20954574088154546</v>
      </c>
      <c r="L2065" s="10">
        <v>7.3175325428280258E-2</v>
      </c>
    </row>
    <row r="2066" spans="10:12" x14ac:dyDescent="0.3">
      <c r="J2066">
        <v>2043</v>
      </c>
      <c r="K2066" s="10">
        <v>0.20103312354824793</v>
      </c>
      <c r="L2066" s="10">
        <v>0.27474282725282778</v>
      </c>
    </row>
    <row r="2067" spans="10:12" x14ac:dyDescent="0.3">
      <c r="J2067">
        <v>2044</v>
      </c>
      <c r="K2067" s="10">
        <v>0.19664834715627508</v>
      </c>
      <c r="L2067" s="10">
        <v>0.20290044322084266</v>
      </c>
    </row>
    <row r="2068" spans="10:12" x14ac:dyDescent="0.3">
      <c r="J2068">
        <v>2045</v>
      </c>
      <c r="K2068" s="10">
        <v>0.19638791895446323</v>
      </c>
      <c r="L2068" s="10">
        <v>0.29901432722664784</v>
      </c>
    </row>
    <row r="2069" spans="10:12" x14ac:dyDescent="0.3">
      <c r="J2069">
        <v>2046</v>
      </c>
      <c r="K2069" s="10">
        <v>0.19449747594476782</v>
      </c>
      <c r="L2069" s="10">
        <v>0.39335797781080811</v>
      </c>
    </row>
    <row r="2070" spans="10:12" x14ac:dyDescent="0.3">
      <c r="J2070">
        <v>2047</v>
      </c>
      <c r="K2070" s="10">
        <v>0.20298487483167932</v>
      </c>
      <c r="L2070" s="10">
        <v>0.14540764987105906</v>
      </c>
    </row>
    <row r="2071" spans="10:12" x14ac:dyDescent="0.3">
      <c r="J2071">
        <v>2048</v>
      </c>
      <c r="K2071" s="10">
        <v>0.20366189287461639</v>
      </c>
      <c r="L2071" s="10">
        <v>0.26621091719518652</v>
      </c>
    </row>
    <row r="2072" spans="10:12" x14ac:dyDescent="0.3">
      <c r="J2072">
        <v>2049</v>
      </c>
      <c r="K2072" s="10">
        <v>0.19549407909738881</v>
      </c>
      <c r="L2072" s="10">
        <v>0.31683464348243584</v>
      </c>
    </row>
    <row r="2073" spans="10:12" x14ac:dyDescent="0.3">
      <c r="J2073">
        <v>2050</v>
      </c>
      <c r="K2073" s="10">
        <v>0.19974380533580266</v>
      </c>
      <c r="L2073" s="10">
        <v>0.18508936914349744</v>
      </c>
    </row>
    <row r="2074" spans="10:12" x14ac:dyDescent="0.3">
      <c r="J2074">
        <v>2051</v>
      </c>
      <c r="K2074" s="10">
        <v>0.20017677687276131</v>
      </c>
      <c r="L2074" s="10">
        <v>0.17141944752790253</v>
      </c>
    </row>
    <row r="2075" spans="10:12" x14ac:dyDescent="0.3">
      <c r="J2075">
        <v>2052</v>
      </c>
      <c r="K2075" s="10">
        <v>0.21830126902580052</v>
      </c>
      <c r="L2075" s="10">
        <v>0.58114969001298811</v>
      </c>
    </row>
    <row r="2076" spans="10:12" x14ac:dyDescent="0.3">
      <c r="J2076">
        <v>2053</v>
      </c>
      <c r="K2076" s="10">
        <v>0.22409249239179896</v>
      </c>
      <c r="L2076" s="10">
        <v>0.47063907818506251</v>
      </c>
    </row>
    <row r="2077" spans="10:12" x14ac:dyDescent="0.3">
      <c r="J2077">
        <v>2054</v>
      </c>
      <c r="K2077" s="10">
        <v>0.21725139934652044</v>
      </c>
      <c r="L2077" s="10">
        <v>0.17168544154113743</v>
      </c>
    </row>
    <row r="2078" spans="10:12" x14ac:dyDescent="0.3">
      <c r="J2078">
        <v>2055</v>
      </c>
      <c r="K2078" s="10">
        <v>0.19429491622207964</v>
      </c>
      <c r="L2078" s="10">
        <v>0.22703876151520797</v>
      </c>
    </row>
    <row r="2079" spans="10:12" x14ac:dyDescent="0.3">
      <c r="J2079">
        <v>2056</v>
      </c>
      <c r="K2079" s="10">
        <v>0.19249664663436972</v>
      </c>
      <c r="L2079" s="10">
        <v>0.21235244531858827</v>
      </c>
    </row>
    <row r="2080" spans="10:12" x14ac:dyDescent="0.3">
      <c r="J2080">
        <v>2057</v>
      </c>
      <c r="K2080" s="10">
        <v>0.22011759670846495</v>
      </c>
      <c r="L2080" s="10">
        <v>4.1992247417010735E-2</v>
      </c>
    </row>
    <row r="2081" spans="10:12" x14ac:dyDescent="0.3">
      <c r="J2081">
        <v>2058</v>
      </c>
      <c r="K2081" s="10">
        <v>0.19561386512789675</v>
      </c>
      <c r="L2081" s="10">
        <v>0.34196204548231346</v>
      </c>
    </row>
    <row r="2082" spans="10:12" x14ac:dyDescent="0.3">
      <c r="J2082">
        <v>2059</v>
      </c>
      <c r="K2082" s="10">
        <v>0.23177223228030877</v>
      </c>
      <c r="L2082" s="10">
        <v>0.16343221587071488</v>
      </c>
    </row>
    <row r="2083" spans="10:12" x14ac:dyDescent="0.3">
      <c r="J2083">
        <v>2060</v>
      </c>
      <c r="K2083" s="10">
        <v>0.23194774006912533</v>
      </c>
      <c r="L2083" s="10">
        <v>4.6438763692841452E-2</v>
      </c>
    </row>
    <row r="2084" spans="10:12" x14ac:dyDescent="0.3">
      <c r="J2084">
        <v>2061</v>
      </c>
      <c r="K2084" s="10">
        <v>0.2350615796381762</v>
      </c>
      <c r="L2084" s="10">
        <v>8.2295532819486733E-2</v>
      </c>
    </row>
    <row r="2085" spans="10:12" x14ac:dyDescent="0.3">
      <c r="J2085">
        <v>2062</v>
      </c>
      <c r="K2085" s="10">
        <v>0.2360986698267406</v>
      </c>
      <c r="L2085" s="10">
        <v>-4.9727669788190168E-2</v>
      </c>
    </row>
    <row r="2086" spans="10:12" x14ac:dyDescent="0.3">
      <c r="J2086">
        <v>2063</v>
      </c>
      <c r="K2086" s="10">
        <v>0.3359618355431484</v>
      </c>
      <c r="L2086" s="10">
        <v>-4.7608320793829609E-2</v>
      </c>
    </row>
    <row r="2087" spans="10:12" x14ac:dyDescent="0.3">
      <c r="J2087">
        <v>2064</v>
      </c>
      <c r="K2087" s="10">
        <v>0.25075225560414499</v>
      </c>
      <c r="L2087" s="10">
        <v>8.0918267204320493E-2</v>
      </c>
    </row>
    <row r="2088" spans="10:12" x14ac:dyDescent="0.3">
      <c r="J2088">
        <v>2065</v>
      </c>
      <c r="K2088" s="10">
        <v>0.19541687436922742</v>
      </c>
      <c r="L2088" s="10">
        <v>0.40500992507867922</v>
      </c>
    </row>
    <row r="2089" spans="10:12" x14ac:dyDescent="0.3">
      <c r="J2089">
        <v>2066</v>
      </c>
      <c r="K2089" s="10">
        <v>0.1924000176363784</v>
      </c>
      <c r="L2089" s="10">
        <v>0.23649730140674069</v>
      </c>
    </row>
    <row r="2090" spans="10:12" x14ac:dyDescent="0.3">
      <c r="J2090">
        <v>2067</v>
      </c>
      <c r="K2090" s="10">
        <v>0.1931000107519569</v>
      </c>
      <c r="L2090" s="10">
        <v>0.30308622679446667</v>
      </c>
    </row>
    <row r="2091" spans="10:12" x14ac:dyDescent="0.3">
      <c r="J2091">
        <v>2068</v>
      </c>
      <c r="K2091" s="10">
        <v>0.19934435215199317</v>
      </c>
      <c r="L2091" s="10">
        <v>0.46506036111684462</v>
      </c>
    </row>
    <row r="2092" spans="10:12" x14ac:dyDescent="0.3">
      <c r="J2092">
        <v>2069</v>
      </c>
      <c r="K2092" s="10">
        <v>0.22263183950914889</v>
      </c>
      <c r="L2092" s="10">
        <v>5.1998630895365536E-2</v>
      </c>
    </row>
    <row r="2093" spans="10:12" x14ac:dyDescent="0.3">
      <c r="J2093">
        <v>2070</v>
      </c>
      <c r="K2093" s="10">
        <v>0.21103051350290006</v>
      </c>
      <c r="L2093" s="10">
        <v>7.9774876686886459E-2</v>
      </c>
    </row>
    <row r="2094" spans="10:12" x14ac:dyDescent="0.3">
      <c r="J2094">
        <v>2071</v>
      </c>
      <c r="K2094" s="10">
        <v>0.25737730650142349</v>
      </c>
      <c r="L2094" s="10">
        <v>0.11959196514159325</v>
      </c>
    </row>
    <row r="2095" spans="10:12" x14ac:dyDescent="0.3">
      <c r="J2095">
        <v>2072</v>
      </c>
      <c r="K2095" s="10">
        <v>0.20791381447235915</v>
      </c>
      <c r="L2095" s="10">
        <v>0.43418486447394389</v>
      </c>
    </row>
    <row r="2096" spans="10:12" x14ac:dyDescent="0.3">
      <c r="J2096">
        <v>2073</v>
      </c>
      <c r="K2096" s="10">
        <v>0.25938426367962086</v>
      </c>
      <c r="L2096" s="10">
        <v>0.20825916366443997</v>
      </c>
    </row>
    <row r="2097" spans="10:12" x14ac:dyDescent="0.3">
      <c r="J2097">
        <v>2074</v>
      </c>
      <c r="K2097" s="10">
        <v>0.22953204253384576</v>
      </c>
      <c r="L2097" s="10">
        <v>0.4029516978810519</v>
      </c>
    </row>
    <row r="2098" spans="10:12" x14ac:dyDescent="0.3">
      <c r="J2098">
        <v>2075</v>
      </c>
      <c r="K2098" s="10">
        <v>0.20761644469172685</v>
      </c>
      <c r="L2098" s="10">
        <v>0.3530631363732476</v>
      </c>
    </row>
    <row r="2099" spans="10:12" x14ac:dyDescent="0.3">
      <c r="J2099">
        <v>2076</v>
      </c>
      <c r="K2099" s="10">
        <v>0.19057160113960084</v>
      </c>
      <c r="L2099" s="10">
        <v>0.30778408144355723</v>
      </c>
    </row>
    <row r="2100" spans="10:12" x14ac:dyDescent="0.3">
      <c r="J2100">
        <v>2077</v>
      </c>
      <c r="K2100" s="10">
        <v>0.21854567626977478</v>
      </c>
      <c r="L2100" s="10">
        <v>0.25187790959895606</v>
      </c>
    </row>
    <row r="2101" spans="10:12" x14ac:dyDescent="0.3">
      <c r="J2101">
        <v>2078</v>
      </c>
      <c r="K2101" s="10">
        <v>0.2576419560438421</v>
      </c>
      <c r="L2101" s="10">
        <v>4.8798748018810553E-2</v>
      </c>
    </row>
    <row r="2102" spans="10:12" x14ac:dyDescent="0.3">
      <c r="J2102">
        <v>2079</v>
      </c>
      <c r="K2102" s="10">
        <v>0.23758922029200474</v>
      </c>
      <c r="L2102" s="10">
        <v>0.3138077953307446</v>
      </c>
    </row>
    <row r="2103" spans="10:12" x14ac:dyDescent="0.3">
      <c r="J2103">
        <v>2080</v>
      </c>
      <c r="K2103" s="10">
        <v>0.22855642311539143</v>
      </c>
      <c r="L2103" s="10">
        <v>0.30843590209307148</v>
      </c>
    </row>
    <row r="2104" spans="10:12" x14ac:dyDescent="0.3">
      <c r="J2104">
        <v>2081</v>
      </c>
      <c r="K2104" s="10">
        <v>0.18948445902094552</v>
      </c>
      <c r="L2104" s="10">
        <v>0.30345249881077491</v>
      </c>
    </row>
    <row r="2105" spans="10:12" x14ac:dyDescent="0.3">
      <c r="J2105">
        <v>2082</v>
      </c>
      <c r="K2105" s="10">
        <v>0.20580179034392498</v>
      </c>
      <c r="L2105" s="10">
        <v>0.26783426468482568</v>
      </c>
    </row>
    <row r="2106" spans="10:12" x14ac:dyDescent="0.3">
      <c r="J2106">
        <v>2083</v>
      </c>
      <c r="K2106" s="10">
        <v>0.22156603081572143</v>
      </c>
      <c r="L2106" s="10">
        <v>7.8514444933080477E-2</v>
      </c>
    </row>
    <row r="2107" spans="10:12" x14ac:dyDescent="0.3">
      <c r="J2107">
        <v>2084</v>
      </c>
      <c r="K2107" s="10">
        <v>0.2149886593918727</v>
      </c>
      <c r="L2107" s="10">
        <v>0.23984108870902371</v>
      </c>
    </row>
    <row r="2108" spans="10:12" x14ac:dyDescent="0.3">
      <c r="J2108">
        <v>2085</v>
      </c>
      <c r="K2108" s="10">
        <v>0.19972625155983867</v>
      </c>
      <c r="L2108" s="10">
        <v>0.41535505971041603</v>
      </c>
    </row>
    <row r="2109" spans="10:12" x14ac:dyDescent="0.3">
      <c r="J2109">
        <v>2086</v>
      </c>
      <c r="K2109" s="10">
        <v>0.19084493923801496</v>
      </c>
      <c r="L2109" s="10">
        <v>0.30202560437423065</v>
      </c>
    </row>
    <row r="2110" spans="10:12" x14ac:dyDescent="0.3">
      <c r="J2110">
        <v>2087</v>
      </c>
      <c r="K2110" s="10">
        <v>0.19256036239598573</v>
      </c>
      <c r="L2110" s="10">
        <v>0.21599501085830253</v>
      </c>
    </row>
    <row r="2111" spans="10:12" x14ac:dyDescent="0.3">
      <c r="J2111">
        <v>2088</v>
      </c>
      <c r="K2111" s="10">
        <v>0.23437283684635168</v>
      </c>
      <c r="L2111" s="10">
        <v>0.63822477237483655</v>
      </c>
    </row>
    <row r="2112" spans="10:12" x14ac:dyDescent="0.3">
      <c r="J2112">
        <v>2089</v>
      </c>
      <c r="K2112" s="10">
        <v>0.23710224099923008</v>
      </c>
      <c r="L2112" s="10">
        <v>0.22482310402968744</v>
      </c>
    </row>
    <row r="2113" spans="10:12" x14ac:dyDescent="0.3">
      <c r="J2113">
        <v>2090</v>
      </c>
      <c r="K2113" s="10">
        <v>0.20338396804591474</v>
      </c>
      <c r="L2113" s="10">
        <v>0.27673196600000127</v>
      </c>
    </row>
    <row r="2114" spans="10:12" x14ac:dyDescent="0.3">
      <c r="J2114">
        <v>2091</v>
      </c>
      <c r="K2114" s="10">
        <v>0.27509031523070648</v>
      </c>
      <c r="L2114" s="10">
        <v>0.13267241103618765</v>
      </c>
    </row>
    <row r="2115" spans="10:12" x14ac:dyDescent="0.3">
      <c r="J2115">
        <v>2092</v>
      </c>
      <c r="K2115" s="10">
        <v>0.19569993325849552</v>
      </c>
      <c r="L2115" s="10">
        <v>0.3465598304760677</v>
      </c>
    </row>
    <row r="2116" spans="10:12" x14ac:dyDescent="0.3">
      <c r="J2116">
        <v>2093</v>
      </c>
      <c r="K2116" s="10">
        <v>0.24899153512471608</v>
      </c>
      <c r="L2116" s="10">
        <v>-6.7970475164898958E-2</v>
      </c>
    </row>
    <row r="2117" spans="10:12" x14ac:dyDescent="0.3">
      <c r="J2117">
        <v>2094</v>
      </c>
      <c r="K2117" s="10">
        <v>0.19499073280013116</v>
      </c>
      <c r="L2117" s="10">
        <v>0.42541163009998995</v>
      </c>
    </row>
    <row r="2118" spans="10:12" x14ac:dyDescent="0.3">
      <c r="J2118">
        <v>2095</v>
      </c>
      <c r="K2118" s="10">
        <v>0.20291103744767794</v>
      </c>
      <c r="L2118" s="10">
        <v>0.11898144557651363</v>
      </c>
    </row>
    <row r="2119" spans="10:12" x14ac:dyDescent="0.3">
      <c r="J2119">
        <v>2096</v>
      </c>
      <c r="K2119" s="10">
        <v>0.22214289861884284</v>
      </c>
      <c r="L2119" s="10">
        <v>9.8801788373896776E-2</v>
      </c>
    </row>
    <row r="2120" spans="10:12" x14ac:dyDescent="0.3">
      <c r="J2120">
        <v>2097</v>
      </c>
      <c r="K2120" s="10">
        <v>0.22919266929815371</v>
      </c>
      <c r="L2120" s="10">
        <v>0.4023755885479392</v>
      </c>
    </row>
    <row r="2121" spans="10:12" x14ac:dyDescent="0.3">
      <c r="J2121">
        <v>2098</v>
      </c>
      <c r="K2121" s="10">
        <v>0.18948222970427123</v>
      </c>
      <c r="L2121" s="10">
        <v>0.3500726679376594</v>
      </c>
    </row>
    <row r="2122" spans="10:12" x14ac:dyDescent="0.3">
      <c r="J2122">
        <v>2099</v>
      </c>
      <c r="K2122" s="10">
        <v>0.20139420485012263</v>
      </c>
      <c r="L2122" s="10">
        <v>0.21283768327531027</v>
      </c>
    </row>
    <row r="2123" spans="10:12" x14ac:dyDescent="0.3">
      <c r="J2123">
        <v>2100</v>
      </c>
      <c r="K2123" s="10">
        <v>0.20249011036447573</v>
      </c>
      <c r="L2123" s="10">
        <v>0.19106866729691016</v>
      </c>
    </row>
    <row r="2124" spans="10:12" x14ac:dyDescent="0.3">
      <c r="J2124">
        <v>2101</v>
      </c>
      <c r="K2124" s="10">
        <v>0.31946068762443375</v>
      </c>
      <c r="L2124" s="10">
        <v>-8.1966752472192983E-2</v>
      </c>
    </row>
    <row r="2125" spans="10:12" x14ac:dyDescent="0.3">
      <c r="J2125">
        <v>2102</v>
      </c>
      <c r="K2125" s="10">
        <v>0.19491784355409067</v>
      </c>
      <c r="L2125" s="10">
        <v>0.20400592494807279</v>
      </c>
    </row>
    <row r="2126" spans="10:12" x14ac:dyDescent="0.3">
      <c r="J2126">
        <v>2103</v>
      </c>
      <c r="K2126" s="10">
        <v>0.20810588262780735</v>
      </c>
      <c r="L2126" s="10">
        <v>0.30751069197226744</v>
      </c>
    </row>
    <row r="2127" spans="10:12" x14ac:dyDescent="0.3">
      <c r="J2127">
        <v>2104</v>
      </c>
      <c r="K2127" s="10">
        <v>0.2356667072007711</v>
      </c>
      <c r="L2127" s="10">
        <v>0.35236630322684076</v>
      </c>
    </row>
    <row r="2128" spans="10:12" x14ac:dyDescent="0.3">
      <c r="J2128">
        <v>2105</v>
      </c>
      <c r="K2128" s="10">
        <v>0.1894470506452087</v>
      </c>
      <c r="L2128" s="10">
        <v>0.34315133782386625</v>
      </c>
    </row>
    <row r="2129" spans="10:12" x14ac:dyDescent="0.3">
      <c r="J2129">
        <v>2106</v>
      </c>
      <c r="K2129" s="10">
        <v>0.27184773153196967</v>
      </c>
      <c r="L2129" s="10">
        <v>6.6034453631161172E-2</v>
      </c>
    </row>
    <row r="2130" spans="10:12" x14ac:dyDescent="0.3">
      <c r="J2130">
        <v>2107</v>
      </c>
      <c r="K2130" s="10">
        <v>0.19648183940686764</v>
      </c>
      <c r="L2130" s="10">
        <v>0.17611530268846537</v>
      </c>
    </row>
    <row r="2131" spans="10:12" x14ac:dyDescent="0.3">
      <c r="J2131">
        <v>2108</v>
      </c>
      <c r="K2131" s="10">
        <v>0.25417696410227869</v>
      </c>
      <c r="L2131" s="10">
        <v>0.22638342270246886</v>
      </c>
    </row>
    <row r="2132" spans="10:12" x14ac:dyDescent="0.3">
      <c r="J2132">
        <v>2109</v>
      </c>
      <c r="K2132" s="10">
        <v>0.20098351177395726</v>
      </c>
      <c r="L2132" s="10">
        <v>0.44554864286371654</v>
      </c>
    </row>
    <row r="2133" spans="10:12" x14ac:dyDescent="0.3">
      <c r="J2133">
        <v>2110</v>
      </c>
      <c r="K2133" s="10">
        <v>0.2251934134887987</v>
      </c>
      <c r="L2133" s="10">
        <v>0.37318924468281151</v>
      </c>
    </row>
    <row r="2134" spans="10:12" x14ac:dyDescent="0.3">
      <c r="J2134">
        <v>2111</v>
      </c>
      <c r="K2134" s="10">
        <v>0.22762691313067546</v>
      </c>
      <c r="L2134" s="10">
        <v>2.2002646310337846E-2</v>
      </c>
    </row>
    <row r="2135" spans="10:12" x14ac:dyDescent="0.3">
      <c r="J2135">
        <v>2112</v>
      </c>
      <c r="K2135" s="10">
        <v>0.24987340207309627</v>
      </c>
      <c r="L2135" s="10">
        <v>0.72711994240590572</v>
      </c>
    </row>
    <row r="2136" spans="10:12" x14ac:dyDescent="0.3">
      <c r="J2136">
        <v>2113</v>
      </c>
      <c r="K2136" s="10">
        <v>0.21501760484066043</v>
      </c>
      <c r="L2136" s="10">
        <v>0.26221871009092024</v>
      </c>
    </row>
    <row r="2137" spans="10:12" x14ac:dyDescent="0.3">
      <c r="J2137">
        <v>2114</v>
      </c>
      <c r="K2137" s="10">
        <v>0.21744468494472544</v>
      </c>
      <c r="L2137" s="10">
        <v>0.23182244134836383</v>
      </c>
    </row>
    <row r="2138" spans="10:12" x14ac:dyDescent="0.3">
      <c r="J2138">
        <v>2115</v>
      </c>
      <c r="K2138" s="10">
        <v>0.25100182603550797</v>
      </c>
      <c r="L2138" s="10">
        <v>5.1788011930060177E-2</v>
      </c>
    </row>
    <row r="2139" spans="10:12" x14ac:dyDescent="0.3">
      <c r="J2139">
        <v>2116</v>
      </c>
      <c r="K2139" s="10">
        <v>0.18931091328055419</v>
      </c>
      <c r="L2139" s="10">
        <v>0.34469815028786771</v>
      </c>
    </row>
    <row r="2140" spans="10:12" x14ac:dyDescent="0.3">
      <c r="J2140">
        <v>2117</v>
      </c>
      <c r="K2140" s="10">
        <v>0.19141661178810518</v>
      </c>
      <c r="L2140" s="10">
        <v>0.3841041399468072</v>
      </c>
    </row>
    <row r="2141" spans="10:12" x14ac:dyDescent="0.3">
      <c r="J2141">
        <v>2118</v>
      </c>
      <c r="K2141" s="10">
        <v>0.23579679122733396</v>
      </c>
      <c r="L2141" s="10">
        <v>0.18628530671854307</v>
      </c>
    </row>
    <row r="2142" spans="10:12" x14ac:dyDescent="0.3">
      <c r="J2142">
        <v>2119</v>
      </c>
      <c r="K2142" s="10">
        <v>0.20307773868573767</v>
      </c>
      <c r="L2142" s="10">
        <v>0.13772369496272555</v>
      </c>
    </row>
    <row r="2143" spans="10:12" x14ac:dyDescent="0.3">
      <c r="J2143">
        <v>2120</v>
      </c>
      <c r="K2143" s="10">
        <v>0.20625610046870521</v>
      </c>
      <c r="L2143" s="10">
        <v>0.23335919668774507</v>
      </c>
    </row>
    <row r="2144" spans="10:12" x14ac:dyDescent="0.3">
      <c r="J2144">
        <v>2121</v>
      </c>
      <c r="K2144" s="10">
        <v>0.19055440496170753</v>
      </c>
      <c r="L2144" s="10">
        <v>0.24880111777752906</v>
      </c>
    </row>
    <row r="2145" spans="10:12" x14ac:dyDescent="0.3">
      <c r="J2145">
        <v>2122</v>
      </c>
      <c r="K2145" s="10">
        <v>0.19682996125402977</v>
      </c>
      <c r="L2145" s="10">
        <v>0.26684409918998597</v>
      </c>
    </row>
    <row r="2146" spans="10:12" x14ac:dyDescent="0.3">
      <c r="J2146">
        <v>2123</v>
      </c>
      <c r="K2146" s="10">
        <v>0.22609170507542356</v>
      </c>
      <c r="L2146" s="10">
        <v>2.9852548089209785E-2</v>
      </c>
    </row>
    <row r="2147" spans="10:12" x14ac:dyDescent="0.3">
      <c r="J2147">
        <v>2124</v>
      </c>
      <c r="K2147" s="10">
        <v>0.21804728967925771</v>
      </c>
      <c r="L2147" s="10">
        <v>2.8936694088647123E-2</v>
      </c>
    </row>
    <row r="2148" spans="10:12" x14ac:dyDescent="0.3">
      <c r="J2148">
        <v>2125</v>
      </c>
      <c r="K2148" s="10">
        <v>0.21400726599053888</v>
      </c>
      <c r="L2148" s="10">
        <v>8.7201324704675148E-2</v>
      </c>
    </row>
    <row r="2149" spans="10:12" x14ac:dyDescent="0.3">
      <c r="J2149">
        <v>2126</v>
      </c>
      <c r="K2149" s="10">
        <v>0.22015505144253289</v>
      </c>
      <c r="L2149" s="10">
        <v>0.39102074130955272</v>
      </c>
    </row>
    <row r="2150" spans="10:12" x14ac:dyDescent="0.3">
      <c r="J2150">
        <v>2127</v>
      </c>
      <c r="K2150" s="10">
        <v>0.19139907848550988</v>
      </c>
      <c r="L2150" s="10">
        <v>0.37532051528447591</v>
      </c>
    </row>
    <row r="2151" spans="10:12" x14ac:dyDescent="0.3">
      <c r="J2151">
        <v>2128</v>
      </c>
      <c r="K2151" s="10">
        <v>0.24540581625498467</v>
      </c>
      <c r="L2151" s="10">
        <v>5.343249226294193E-2</v>
      </c>
    </row>
    <row r="2152" spans="10:12" x14ac:dyDescent="0.3">
      <c r="J2152">
        <v>2129</v>
      </c>
      <c r="K2152" s="10">
        <v>0.22282591651871145</v>
      </c>
      <c r="L2152" s="10">
        <v>0.53573388195489124</v>
      </c>
    </row>
    <row r="2153" spans="10:12" x14ac:dyDescent="0.3">
      <c r="J2153">
        <v>2130</v>
      </c>
      <c r="K2153" s="10">
        <v>0.19361727068761914</v>
      </c>
      <c r="L2153" s="10">
        <v>0.34509976470367998</v>
      </c>
    </row>
    <row r="2154" spans="10:12" x14ac:dyDescent="0.3">
      <c r="J2154">
        <v>2131</v>
      </c>
      <c r="K2154" s="10">
        <v>0.19878156356591611</v>
      </c>
      <c r="L2154" s="10">
        <v>0.15029153764125674</v>
      </c>
    </row>
    <row r="2155" spans="10:12" x14ac:dyDescent="0.3">
      <c r="J2155">
        <v>2132</v>
      </c>
      <c r="K2155" s="10">
        <v>0.19925787416395685</v>
      </c>
      <c r="L2155" s="10">
        <v>0.31475294532028714</v>
      </c>
    </row>
    <row r="2156" spans="10:12" x14ac:dyDescent="0.3">
      <c r="J2156">
        <v>2133</v>
      </c>
      <c r="K2156" s="10">
        <v>0.20112912145440534</v>
      </c>
      <c r="L2156" s="10">
        <v>0.21411062216173701</v>
      </c>
    </row>
    <row r="2157" spans="10:12" x14ac:dyDescent="0.3">
      <c r="J2157">
        <v>2134</v>
      </c>
      <c r="K2157" s="10">
        <v>0.19758657671196139</v>
      </c>
      <c r="L2157" s="10">
        <v>0.1842834156658007</v>
      </c>
    </row>
    <row r="2158" spans="10:12" x14ac:dyDescent="0.3">
      <c r="J2158">
        <v>2135</v>
      </c>
      <c r="K2158" s="10">
        <v>0.20691158465886444</v>
      </c>
      <c r="L2158" s="10">
        <v>0.11951785340140304</v>
      </c>
    </row>
    <row r="2159" spans="10:12" x14ac:dyDescent="0.3">
      <c r="J2159">
        <v>2136</v>
      </c>
      <c r="K2159" s="10">
        <v>0.20221752684607683</v>
      </c>
      <c r="L2159" s="10">
        <v>0.14930759457468862</v>
      </c>
    </row>
    <row r="2160" spans="10:12" x14ac:dyDescent="0.3">
      <c r="J2160">
        <v>2137</v>
      </c>
      <c r="K2160" s="10">
        <v>0.19083783978440788</v>
      </c>
      <c r="L2160" s="10">
        <v>0.37927553745448261</v>
      </c>
    </row>
    <row r="2161" spans="10:12" x14ac:dyDescent="0.3">
      <c r="J2161">
        <v>2138</v>
      </c>
      <c r="K2161" s="10">
        <v>0.21408199784140902</v>
      </c>
      <c r="L2161" s="10">
        <v>5.380580654090699E-2</v>
      </c>
    </row>
    <row r="2162" spans="10:12" x14ac:dyDescent="0.3">
      <c r="J2162">
        <v>2139</v>
      </c>
      <c r="K2162" s="10">
        <v>0.1940713646797578</v>
      </c>
      <c r="L2162" s="10">
        <v>0.38568300440934011</v>
      </c>
    </row>
    <row r="2163" spans="10:12" x14ac:dyDescent="0.3">
      <c r="J2163">
        <v>2140</v>
      </c>
      <c r="K2163" s="10">
        <v>0.19377075887572154</v>
      </c>
      <c r="L2163" s="10">
        <v>0.32302323083764195</v>
      </c>
    </row>
    <row r="2164" spans="10:12" x14ac:dyDescent="0.3">
      <c r="J2164">
        <v>2141</v>
      </c>
      <c r="K2164" s="10">
        <v>0.22269463029511599</v>
      </c>
      <c r="L2164" s="10">
        <v>0.60733590745054344</v>
      </c>
    </row>
    <row r="2165" spans="10:12" x14ac:dyDescent="0.3">
      <c r="J2165">
        <v>2142</v>
      </c>
      <c r="K2165" s="10">
        <v>0.20885452428221749</v>
      </c>
      <c r="L2165" s="10">
        <v>0.32714054989911151</v>
      </c>
    </row>
    <row r="2166" spans="10:12" x14ac:dyDescent="0.3">
      <c r="J2166">
        <v>2143</v>
      </c>
      <c r="K2166" s="10">
        <v>0.19306598907725095</v>
      </c>
      <c r="L2166" s="10">
        <v>0.3561240241249134</v>
      </c>
    </row>
    <row r="2167" spans="10:12" x14ac:dyDescent="0.3">
      <c r="J2167">
        <v>2144</v>
      </c>
      <c r="K2167" s="10">
        <v>0.31340821689275511</v>
      </c>
      <c r="L2167" s="10">
        <v>-2.7743902618359458E-2</v>
      </c>
    </row>
    <row r="2168" spans="10:12" x14ac:dyDescent="0.3">
      <c r="J2168">
        <v>2145</v>
      </c>
      <c r="K2168" s="10">
        <v>0.2315775221887407</v>
      </c>
      <c r="L2168" s="10">
        <v>1.1385935183859303E-2</v>
      </c>
    </row>
    <row r="2169" spans="10:12" x14ac:dyDescent="0.3">
      <c r="J2169">
        <v>2146</v>
      </c>
      <c r="K2169" s="10">
        <v>0.20372057883469866</v>
      </c>
      <c r="L2169" s="10">
        <v>0.44186930059223373</v>
      </c>
    </row>
    <row r="2170" spans="10:12" x14ac:dyDescent="0.3">
      <c r="J2170">
        <v>2147</v>
      </c>
      <c r="K2170" s="10">
        <v>0.25440034314698295</v>
      </c>
      <c r="L2170" s="10">
        <v>-8.1873324960501842E-2</v>
      </c>
    </row>
    <row r="2171" spans="10:12" x14ac:dyDescent="0.3">
      <c r="J2171">
        <v>2148</v>
      </c>
      <c r="K2171" s="10">
        <v>0.18954830088253299</v>
      </c>
      <c r="L2171" s="10">
        <v>0.30030240566625177</v>
      </c>
    </row>
    <row r="2172" spans="10:12" x14ac:dyDescent="0.3">
      <c r="J2172">
        <v>2149</v>
      </c>
      <c r="K2172" s="10">
        <v>0.23611454821434835</v>
      </c>
      <c r="L2172" s="10">
        <v>-2.7406644253209697E-2</v>
      </c>
    </row>
    <row r="2173" spans="10:12" x14ac:dyDescent="0.3">
      <c r="J2173">
        <v>2150</v>
      </c>
      <c r="K2173" s="10">
        <v>0.2099737566385744</v>
      </c>
      <c r="L2173" s="10">
        <v>0.19882328758911497</v>
      </c>
    </row>
    <row r="2174" spans="10:12" x14ac:dyDescent="0.3">
      <c r="J2174">
        <v>2151</v>
      </c>
      <c r="K2174" s="10">
        <v>0.19321150610031257</v>
      </c>
      <c r="L2174" s="10">
        <v>0.24873879301124788</v>
      </c>
    </row>
    <row r="2175" spans="10:12" x14ac:dyDescent="0.3">
      <c r="J2175">
        <v>2152</v>
      </c>
      <c r="K2175" s="10">
        <v>0.18928264470332351</v>
      </c>
      <c r="L2175" s="10">
        <v>0.31119201889883058</v>
      </c>
    </row>
    <row r="2176" spans="10:12" x14ac:dyDescent="0.3">
      <c r="J2176">
        <v>2153</v>
      </c>
      <c r="K2176" s="10">
        <v>0.20081738842790581</v>
      </c>
      <c r="L2176" s="10">
        <v>0.29094872601703164</v>
      </c>
    </row>
    <row r="2177" spans="10:12" x14ac:dyDescent="0.3">
      <c r="J2177">
        <v>2154</v>
      </c>
      <c r="K2177" s="10">
        <v>0.23747431236299268</v>
      </c>
      <c r="L2177" s="10">
        <v>-1.9108697238946724E-2</v>
      </c>
    </row>
    <row r="2178" spans="10:12" x14ac:dyDescent="0.3">
      <c r="J2178">
        <v>2155</v>
      </c>
      <c r="K2178" s="10">
        <v>0.19979006712891448</v>
      </c>
      <c r="L2178" s="10">
        <v>0.18329055057787322</v>
      </c>
    </row>
    <row r="2179" spans="10:12" x14ac:dyDescent="0.3">
      <c r="J2179">
        <v>2156</v>
      </c>
      <c r="K2179" s="10">
        <v>0.20159132599057292</v>
      </c>
      <c r="L2179" s="10">
        <v>0.25746496976122479</v>
      </c>
    </row>
    <row r="2180" spans="10:12" x14ac:dyDescent="0.3">
      <c r="J2180">
        <v>2157</v>
      </c>
      <c r="K2180" s="10">
        <v>0.19968486956010326</v>
      </c>
      <c r="L2180" s="10">
        <v>0.23878713130038887</v>
      </c>
    </row>
    <row r="2181" spans="10:12" x14ac:dyDescent="0.3">
      <c r="J2181">
        <v>2158</v>
      </c>
      <c r="K2181" s="10">
        <v>0.20071575628056332</v>
      </c>
      <c r="L2181" s="10">
        <v>0.22152736394517955</v>
      </c>
    </row>
    <row r="2182" spans="10:12" x14ac:dyDescent="0.3">
      <c r="J2182">
        <v>2159</v>
      </c>
      <c r="K2182" s="10">
        <v>0.21505972029560969</v>
      </c>
      <c r="L2182" s="10">
        <v>0.11578496645672016</v>
      </c>
    </row>
    <row r="2183" spans="10:12" x14ac:dyDescent="0.3">
      <c r="J2183">
        <v>2160</v>
      </c>
      <c r="K2183" s="10">
        <v>0.21600875513978476</v>
      </c>
      <c r="L2183" s="10">
        <v>0.28380003169895868</v>
      </c>
    </row>
    <row r="2184" spans="10:12" x14ac:dyDescent="0.3">
      <c r="J2184">
        <v>2161</v>
      </c>
      <c r="K2184" s="10">
        <v>0.18909379964088469</v>
      </c>
      <c r="L2184" s="10">
        <v>0.33742024497406087</v>
      </c>
    </row>
    <row r="2185" spans="10:12" x14ac:dyDescent="0.3">
      <c r="J2185">
        <v>2162</v>
      </c>
      <c r="K2185" s="10">
        <v>0.20641535242367373</v>
      </c>
      <c r="L2185" s="10">
        <v>0.19455998749247386</v>
      </c>
    </row>
    <row r="2186" spans="10:12" x14ac:dyDescent="0.3">
      <c r="J2186">
        <v>2163</v>
      </c>
      <c r="K2186" s="10">
        <v>0.24490645585845419</v>
      </c>
      <c r="L2186" s="10">
        <v>4.7603089413198109E-2</v>
      </c>
    </row>
    <row r="2187" spans="10:12" x14ac:dyDescent="0.3">
      <c r="J2187">
        <v>2164</v>
      </c>
      <c r="K2187" s="10">
        <v>0.24415908429963537</v>
      </c>
      <c r="L2187" s="10">
        <v>-6.0376705374136024E-2</v>
      </c>
    </row>
    <row r="2188" spans="10:12" x14ac:dyDescent="0.3">
      <c r="J2188">
        <v>2165</v>
      </c>
      <c r="K2188" s="10">
        <v>0.23823537550325891</v>
      </c>
      <c r="L2188" s="10">
        <v>0.13349647984977511</v>
      </c>
    </row>
    <row r="2189" spans="10:12" x14ac:dyDescent="0.3">
      <c r="J2189">
        <v>2166</v>
      </c>
      <c r="K2189" s="10">
        <v>0.21937997865328537</v>
      </c>
      <c r="L2189" s="10">
        <v>2.5291979271077444E-2</v>
      </c>
    </row>
    <row r="2190" spans="10:12" x14ac:dyDescent="0.3">
      <c r="J2190">
        <v>2167</v>
      </c>
      <c r="K2190" s="10">
        <v>0.19273065731075764</v>
      </c>
      <c r="L2190" s="10">
        <v>0.20675026502033905</v>
      </c>
    </row>
    <row r="2191" spans="10:12" x14ac:dyDescent="0.3">
      <c r="J2191">
        <v>2168</v>
      </c>
      <c r="K2191" s="10">
        <v>0.21751756683641962</v>
      </c>
      <c r="L2191" s="10">
        <v>0.20387547741000706</v>
      </c>
    </row>
    <row r="2192" spans="10:12" x14ac:dyDescent="0.3">
      <c r="J2192">
        <v>2169</v>
      </c>
      <c r="K2192" s="10">
        <v>0.20553088815885573</v>
      </c>
      <c r="L2192" s="10">
        <v>0.13522013115974513</v>
      </c>
    </row>
    <row r="2193" spans="10:12" x14ac:dyDescent="0.3">
      <c r="J2193">
        <v>2170</v>
      </c>
      <c r="K2193" s="10">
        <v>0.19429134800425332</v>
      </c>
      <c r="L2193" s="10">
        <v>0.19276793296283384</v>
      </c>
    </row>
    <row r="2194" spans="10:12" x14ac:dyDescent="0.3">
      <c r="J2194">
        <v>2171</v>
      </c>
      <c r="K2194" s="10">
        <v>0.21083564197192184</v>
      </c>
      <c r="L2194" s="10">
        <v>0.41376802830422799</v>
      </c>
    </row>
    <row r="2195" spans="10:12" x14ac:dyDescent="0.3">
      <c r="J2195">
        <v>2172</v>
      </c>
      <c r="K2195" s="10">
        <v>0.19617162971541216</v>
      </c>
      <c r="L2195" s="10">
        <v>0.25716154198303964</v>
      </c>
    </row>
    <row r="2196" spans="10:12" x14ac:dyDescent="0.3">
      <c r="J2196">
        <v>2173</v>
      </c>
      <c r="K2196" s="10">
        <v>0.20044456019570936</v>
      </c>
      <c r="L2196" s="10">
        <v>0.28048214961749529</v>
      </c>
    </row>
    <row r="2197" spans="10:12" x14ac:dyDescent="0.3">
      <c r="J2197">
        <v>2174</v>
      </c>
      <c r="K2197" s="10">
        <v>0.2206546692720138</v>
      </c>
      <c r="L2197" s="10">
        <v>4.9765632836706368E-2</v>
      </c>
    </row>
    <row r="2198" spans="10:12" x14ac:dyDescent="0.3">
      <c r="J2198">
        <v>2175</v>
      </c>
      <c r="K2198" s="10">
        <v>0.18935946736403625</v>
      </c>
      <c r="L2198" s="10">
        <v>0.2720274878587966</v>
      </c>
    </row>
    <row r="2199" spans="10:12" x14ac:dyDescent="0.3">
      <c r="J2199">
        <v>2176</v>
      </c>
      <c r="K2199" s="10">
        <v>0.23676975064709874</v>
      </c>
      <c r="L2199" s="10">
        <v>0.671381986359051</v>
      </c>
    </row>
    <row r="2200" spans="10:12" x14ac:dyDescent="0.3">
      <c r="J2200">
        <v>2177</v>
      </c>
      <c r="K2200" s="10">
        <v>0.20477825323838775</v>
      </c>
      <c r="L2200" s="10">
        <v>0.16326379970947569</v>
      </c>
    </row>
    <row r="2201" spans="10:12" x14ac:dyDescent="0.3">
      <c r="J2201">
        <v>2178</v>
      </c>
      <c r="K2201" s="10">
        <v>0.18884370458465072</v>
      </c>
      <c r="L2201" s="10">
        <v>0.30433797820565217</v>
      </c>
    </row>
    <row r="2202" spans="10:12" x14ac:dyDescent="0.3">
      <c r="J2202">
        <v>2179</v>
      </c>
      <c r="K2202" s="10">
        <v>0.21444130245205595</v>
      </c>
      <c r="L2202" s="10">
        <v>0.35768611521712473</v>
      </c>
    </row>
    <row r="2203" spans="10:12" x14ac:dyDescent="0.3">
      <c r="J2203">
        <v>2180</v>
      </c>
      <c r="K2203" s="10">
        <v>0.19696169557684759</v>
      </c>
      <c r="L2203" s="10">
        <v>0.23830665463309836</v>
      </c>
    </row>
    <row r="2204" spans="10:12" x14ac:dyDescent="0.3">
      <c r="J2204">
        <v>2181</v>
      </c>
      <c r="K2204" s="10">
        <v>0.22684296880853155</v>
      </c>
      <c r="L2204" s="10">
        <v>1.0453251115430197E-2</v>
      </c>
    </row>
    <row r="2205" spans="10:12" x14ac:dyDescent="0.3">
      <c r="J2205">
        <v>2182</v>
      </c>
      <c r="K2205" s="10">
        <v>0.20318062152796032</v>
      </c>
      <c r="L2205" s="10">
        <v>0.36341510942358252</v>
      </c>
    </row>
    <row r="2206" spans="10:12" x14ac:dyDescent="0.3">
      <c r="J2206">
        <v>2183</v>
      </c>
      <c r="K2206" s="10">
        <v>0.19503461736432179</v>
      </c>
      <c r="L2206" s="10">
        <v>0.25489529067859185</v>
      </c>
    </row>
    <row r="2207" spans="10:12" x14ac:dyDescent="0.3">
      <c r="J2207">
        <v>2184</v>
      </c>
      <c r="K2207" s="10">
        <v>0.21722741241974383</v>
      </c>
      <c r="L2207" s="10">
        <v>0.28610949368351879</v>
      </c>
    </row>
    <row r="2208" spans="10:12" x14ac:dyDescent="0.3">
      <c r="J2208">
        <v>2185</v>
      </c>
      <c r="K2208" s="10">
        <v>0.19140247691600318</v>
      </c>
      <c r="L2208" s="10">
        <v>0.31016768925684524</v>
      </c>
    </row>
    <row r="2209" spans="10:12" x14ac:dyDescent="0.3">
      <c r="J2209">
        <v>2186</v>
      </c>
      <c r="K2209" s="10">
        <v>0.2315363005928763</v>
      </c>
      <c r="L2209" s="10">
        <v>1.7612790309300713E-2</v>
      </c>
    </row>
    <row r="2210" spans="10:12" x14ac:dyDescent="0.3">
      <c r="J2210">
        <v>2187</v>
      </c>
      <c r="K2210" s="10">
        <v>0.24860618153480252</v>
      </c>
      <c r="L2210" s="10">
        <v>0.17896086387004512</v>
      </c>
    </row>
    <row r="2211" spans="10:12" x14ac:dyDescent="0.3">
      <c r="J2211">
        <v>2188</v>
      </c>
      <c r="K2211" s="10">
        <v>0.20614141360410193</v>
      </c>
      <c r="L2211" s="10">
        <v>0.49713700601819999</v>
      </c>
    </row>
    <row r="2212" spans="10:12" x14ac:dyDescent="0.3">
      <c r="J2212">
        <v>2189</v>
      </c>
      <c r="K2212" s="10">
        <v>0.20160964083508878</v>
      </c>
      <c r="L2212" s="10">
        <v>0.32073439718107477</v>
      </c>
    </row>
    <row r="2213" spans="10:12" x14ac:dyDescent="0.3">
      <c r="J2213">
        <v>2190</v>
      </c>
      <c r="K2213" s="10">
        <v>0.21536839938151334</v>
      </c>
      <c r="L2213" s="10">
        <v>4.1190087663682512E-2</v>
      </c>
    </row>
    <row r="2214" spans="10:12" x14ac:dyDescent="0.3">
      <c r="J2214">
        <v>2191</v>
      </c>
      <c r="K2214" s="10">
        <v>0.1933537240657327</v>
      </c>
      <c r="L2214" s="10">
        <v>0.2551842004515803</v>
      </c>
    </row>
    <row r="2215" spans="10:12" x14ac:dyDescent="0.3">
      <c r="J2215">
        <v>2192</v>
      </c>
      <c r="K2215" s="10">
        <v>0.19990532456308216</v>
      </c>
      <c r="L2215" s="10">
        <v>0.17953728174374645</v>
      </c>
    </row>
    <row r="2216" spans="10:12" x14ac:dyDescent="0.3">
      <c r="J2216">
        <v>2193</v>
      </c>
      <c r="K2216" s="10">
        <v>0.19129431918040393</v>
      </c>
      <c r="L2216" s="10">
        <v>0.3459236075864256</v>
      </c>
    </row>
    <row r="2217" spans="10:12" x14ac:dyDescent="0.3">
      <c r="J2217">
        <v>2194</v>
      </c>
      <c r="K2217" s="10">
        <v>0.22433597002061062</v>
      </c>
      <c r="L2217" s="10">
        <v>0.40573884172778213</v>
      </c>
    </row>
    <row r="2218" spans="10:12" x14ac:dyDescent="0.3">
      <c r="J2218">
        <v>2195</v>
      </c>
      <c r="K2218" s="10">
        <v>0.23384410040086936</v>
      </c>
      <c r="L2218" s="10">
        <v>0.34068200684154609</v>
      </c>
    </row>
    <row r="2219" spans="10:12" x14ac:dyDescent="0.3">
      <c r="J2219">
        <v>2196</v>
      </c>
      <c r="K2219" s="10">
        <v>0.20065630202636697</v>
      </c>
      <c r="L2219" s="10">
        <v>0.37965974892497356</v>
      </c>
    </row>
    <row r="2220" spans="10:12" x14ac:dyDescent="0.3">
      <c r="J2220">
        <v>2197</v>
      </c>
      <c r="K2220" s="10">
        <v>0.20058454037744253</v>
      </c>
      <c r="L2220" s="10">
        <v>0.26808876584898578</v>
      </c>
    </row>
    <row r="2221" spans="10:12" x14ac:dyDescent="0.3">
      <c r="J2221">
        <v>2198</v>
      </c>
      <c r="K2221" s="10">
        <v>0.19124347282257295</v>
      </c>
      <c r="L2221" s="10">
        <v>0.33287465710675535</v>
      </c>
    </row>
    <row r="2222" spans="10:12" x14ac:dyDescent="0.3">
      <c r="J2222">
        <v>2199</v>
      </c>
      <c r="K2222" s="10">
        <v>0.23124472686031888</v>
      </c>
      <c r="L2222" s="10">
        <v>-2.6743746751412834E-2</v>
      </c>
    </row>
    <row r="2223" spans="10:12" x14ac:dyDescent="0.3">
      <c r="J2223">
        <v>2200</v>
      </c>
      <c r="K2223" s="10">
        <v>0.23987390225206504</v>
      </c>
      <c r="L2223" s="10">
        <v>5.9524983114331825E-2</v>
      </c>
    </row>
    <row r="2224" spans="10:12" x14ac:dyDescent="0.3">
      <c r="J2224">
        <v>2201</v>
      </c>
      <c r="K2224" s="10">
        <v>0.25458808937374472</v>
      </c>
      <c r="L2224" s="10">
        <v>1.4253178033371002E-2</v>
      </c>
    </row>
    <row r="2225" spans="10:12" x14ac:dyDescent="0.3">
      <c r="J2225">
        <v>2202</v>
      </c>
      <c r="K2225" s="10">
        <v>0.25146290063664656</v>
      </c>
      <c r="L2225" s="10">
        <v>-8.1404940463878611E-2</v>
      </c>
    </row>
    <row r="2226" spans="10:12" x14ac:dyDescent="0.3">
      <c r="J2226">
        <v>2203</v>
      </c>
      <c r="K2226" s="10">
        <v>0.20219069724736935</v>
      </c>
      <c r="L2226" s="10">
        <v>0.18441418600316195</v>
      </c>
    </row>
    <row r="2227" spans="10:12" x14ac:dyDescent="0.3">
      <c r="J2227">
        <v>2204</v>
      </c>
      <c r="K2227" s="10">
        <v>0.28908689865871912</v>
      </c>
      <c r="L2227" s="10">
        <v>-2.142757824484599E-2</v>
      </c>
    </row>
    <row r="2228" spans="10:12" x14ac:dyDescent="0.3">
      <c r="J2228">
        <v>2205</v>
      </c>
      <c r="K2228" s="10">
        <v>0.2222764722818201</v>
      </c>
      <c r="L2228" s="10">
        <v>0.23298187507964754</v>
      </c>
    </row>
    <row r="2229" spans="10:12" x14ac:dyDescent="0.3">
      <c r="J2229">
        <v>2206</v>
      </c>
      <c r="K2229" s="10">
        <v>0.21271404922224232</v>
      </c>
      <c r="L2229" s="10">
        <v>8.7107971058422995E-2</v>
      </c>
    </row>
    <row r="2230" spans="10:12" x14ac:dyDescent="0.3">
      <c r="J2230">
        <v>2207</v>
      </c>
      <c r="K2230" s="10">
        <v>0.22483593871201757</v>
      </c>
      <c r="L2230" s="10">
        <v>0.37599174059346596</v>
      </c>
    </row>
    <row r="2231" spans="10:12" x14ac:dyDescent="0.3">
      <c r="J2231">
        <v>2208</v>
      </c>
      <c r="K2231" s="10">
        <v>0.22868143932974033</v>
      </c>
      <c r="L2231" s="10">
        <v>9.3998718765874387E-3</v>
      </c>
    </row>
    <row r="2232" spans="10:12" x14ac:dyDescent="0.3">
      <c r="J2232">
        <v>2209</v>
      </c>
      <c r="K2232" s="10">
        <v>0.19550240368550545</v>
      </c>
      <c r="L2232" s="10">
        <v>0.43874622329471885</v>
      </c>
    </row>
    <row r="2233" spans="10:12" x14ac:dyDescent="0.3">
      <c r="J2233">
        <v>2210</v>
      </c>
      <c r="K2233" s="10">
        <v>0.22697828044279975</v>
      </c>
      <c r="L2233" s="10">
        <v>0.59030794763971717</v>
      </c>
    </row>
    <row r="2234" spans="10:12" x14ac:dyDescent="0.3">
      <c r="J2234">
        <v>2211</v>
      </c>
      <c r="K2234" s="10">
        <v>0.19810486314022174</v>
      </c>
      <c r="L2234" s="10">
        <v>0.46226289818593364</v>
      </c>
    </row>
    <row r="2235" spans="10:12" x14ac:dyDescent="0.3">
      <c r="J2235">
        <v>2212</v>
      </c>
      <c r="K2235" s="10">
        <v>0.26131211640425711</v>
      </c>
      <c r="L2235" s="10">
        <v>0.1385267146601592</v>
      </c>
    </row>
    <row r="2236" spans="10:12" x14ac:dyDescent="0.3">
      <c r="J2236">
        <v>2213</v>
      </c>
      <c r="K2236" s="10">
        <v>0.23858888096250119</v>
      </c>
      <c r="L2236" s="10">
        <v>-3.4484726286080021E-2</v>
      </c>
    </row>
    <row r="2237" spans="10:12" x14ac:dyDescent="0.3">
      <c r="J2237">
        <v>2214</v>
      </c>
      <c r="K2237" s="10">
        <v>0.19161575792817565</v>
      </c>
      <c r="L2237" s="10">
        <v>0.23030714851563591</v>
      </c>
    </row>
    <row r="2238" spans="10:12" x14ac:dyDescent="0.3">
      <c r="J2238">
        <v>2215</v>
      </c>
      <c r="K2238" s="10">
        <v>0.20452145650290418</v>
      </c>
      <c r="L2238" s="10">
        <v>0.15656424810474007</v>
      </c>
    </row>
    <row r="2239" spans="10:12" x14ac:dyDescent="0.3">
      <c r="J2239">
        <v>2216</v>
      </c>
      <c r="K2239" s="10">
        <v>0.26622905452748741</v>
      </c>
      <c r="L2239" s="10">
        <v>-4.4274920461492805E-3</v>
      </c>
    </row>
    <row r="2240" spans="10:12" x14ac:dyDescent="0.3">
      <c r="J2240">
        <v>2217</v>
      </c>
      <c r="K2240" s="10">
        <v>0.23199741006317895</v>
      </c>
      <c r="L2240" s="10">
        <v>3.9343435431101192E-2</v>
      </c>
    </row>
    <row r="2241" spans="10:12" x14ac:dyDescent="0.3">
      <c r="J2241">
        <v>2218</v>
      </c>
      <c r="K2241" s="10">
        <v>0.19544283234578555</v>
      </c>
      <c r="L2241" s="10">
        <v>0.27456688346033853</v>
      </c>
    </row>
    <row r="2242" spans="10:12" x14ac:dyDescent="0.3">
      <c r="J2242">
        <v>2219</v>
      </c>
      <c r="K2242" s="10">
        <v>0.19643114109265802</v>
      </c>
      <c r="L2242" s="10">
        <v>0.24151062908856738</v>
      </c>
    </row>
    <row r="2243" spans="10:12" x14ac:dyDescent="0.3">
      <c r="J2243">
        <v>2220</v>
      </c>
      <c r="K2243" s="10">
        <v>0.26434064569745258</v>
      </c>
      <c r="L2243" s="10">
        <v>0.16062323463858416</v>
      </c>
    </row>
    <row r="2244" spans="10:12" x14ac:dyDescent="0.3">
      <c r="J2244">
        <v>2221</v>
      </c>
      <c r="K2244" s="10">
        <v>0.20438301812638376</v>
      </c>
      <c r="L2244" s="10">
        <v>0.28907996287800231</v>
      </c>
    </row>
    <row r="2245" spans="10:12" x14ac:dyDescent="0.3">
      <c r="J2245">
        <v>2222</v>
      </c>
      <c r="K2245" s="10">
        <v>0.2387107191324975</v>
      </c>
      <c r="L2245" s="10">
        <v>0.13182027037704133</v>
      </c>
    </row>
    <row r="2246" spans="10:12" x14ac:dyDescent="0.3">
      <c r="J2246">
        <v>2223</v>
      </c>
      <c r="K2246" s="10">
        <v>0.23312643493198279</v>
      </c>
      <c r="L2246" s="10">
        <v>0.36184834396586552</v>
      </c>
    </row>
    <row r="2247" spans="10:12" x14ac:dyDescent="0.3">
      <c r="J2247">
        <v>2224</v>
      </c>
      <c r="K2247" s="10">
        <v>0.22946365213733225</v>
      </c>
      <c r="L2247" s="10">
        <v>1.0437956893140227E-3</v>
      </c>
    </row>
    <row r="2248" spans="10:12" x14ac:dyDescent="0.3">
      <c r="J2248">
        <v>2225</v>
      </c>
      <c r="K2248" s="10">
        <v>0.19614865465332881</v>
      </c>
      <c r="L2248" s="10">
        <v>0.42665138065145025</v>
      </c>
    </row>
    <row r="2249" spans="10:12" x14ac:dyDescent="0.3">
      <c r="J2249">
        <v>2226</v>
      </c>
      <c r="K2249" s="10">
        <v>0.24378134092076875</v>
      </c>
      <c r="L2249" s="10">
        <v>0.29000976331143197</v>
      </c>
    </row>
    <row r="2250" spans="10:12" x14ac:dyDescent="0.3">
      <c r="J2250">
        <v>2227</v>
      </c>
      <c r="K2250" s="10">
        <v>0.20071088764132647</v>
      </c>
      <c r="L2250" s="10">
        <v>0.48080029970524063</v>
      </c>
    </row>
    <row r="2251" spans="10:12" x14ac:dyDescent="0.3">
      <c r="J2251">
        <v>2228</v>
      </c>
      <c r="K2251" s="10">
        <v>0.24973126412812263</v>
      </c>
      <c r="L2251" s="10">
        <v>-2.9723322532185598E-2</v>
      </c>
    </row>
    <row r="2252" spans="10:12" x14ac:dyDescent="0.3">
      <c r="J2252">
        <v>2229</v>
      </c>
      <c r="K2252" s="10">
        <v>0.20492100127201002</v>
      </c>
      <c r="L2252" s="10">
        <v>0.37866909542215355</v>
      </c>
    </row>
    <row r="2253" spans="10:12" x14ac:dyDescent="0.3">
      <c r="J2253">
        <v>2230</v>
      </c>
      <c r="K2253" s="10">
        <v>0.19698530947179846</v>
      </c>
      <c r="L2253" s="10">
        <v>0.19231926278790712</v>
      </c>
    </row>
    <row r="2254" spans="10:12" x14ac:dyDescent="0.3">
      <c r="J2254">
        <v>2231</v>
      </c>
      <c r="K2254" s="10">
        <v>0.21305462630091437</v>
      </c>
      <c r="L2254" s="10">
        <v>0.46029597183949883</v>
      </c>
    </row>
    <row r="2255" spans="10:12" x14ac:dyDescent="0.3">
      <c r="J2255">
        <v>2232</v>
      </c>
      <c r="K2255" s="10">
        <v>0.18900957462936288</v>
      </c>
      <c r="L2255" s="10">
        <v>0.29992449859018616</v>
      </c>
    </row>
    <row r="2256" spans="10:12" x14ac:dyDescent="0.3">
      <c r="J2256">
        <v>2233</v>
      </c>
      <c r="K2256" s="10">
        <v>0.23541267929324125</v>
      </c>
      <c r="L2256" s="10">
        <v>-2.8199841106648527E-2</v>
      </c>
    </row>
    <row r="2257" spans="10:12" x14ac:dyDescent="0.3">
      <c r="J2257">
        <v>2234</v>
      </c>
      <c r="K2257" s="10">
        <v>0.21880784671512046</v>
      </c>
      <c r="L2257" s="10">
        <v>0.39942820743021934</v>
      </c>
    </row>
    <row r="2258" spans="10:12" x14ac:dyDescent="0.3">
      <c r="J2258">
        <v>2235</v>
      </c>
      <c r="K2258" s="10">
        <v>0.1983302266477695</v>
      </c>
      <c r="L2258" s="10">
        <v>0.38192097472132175</v>
      </c>
    </row>
    <row r="2259" spans="10:12" x14ac:dyDescent="0.3">
      <c r="J2259">
        <v>2236</v>
      </c>
      <c r="K2259" s="10">
        <v>0.19257301161659757</v>
      </c>
      <c r="L2259" s="10">
        <v>0.2436656817115323</v>
      </c>
    </row>
    <row r="2260" spans="10:12" x14ac:dyDescent="0.3">
      <c r="J2260">
        <v>2237</v>
      </c>
      <c r="K2260" s="10">
        <v>0.19518634510068011</v>
      </c>
      <c r="L2260" s="10">
        <v>0.22887555545448829</v>
      </c>
    </row>
    <row r="2261" spans="10:12" x14ac:dyDescent="0.3">
      <c r="J2261">
        <v>2238</v>
      </c>
      <c r="K2261" s="10">
        <v>0.21363480670779245</v>
      </c>
      <c r="L2261" s="10">
        <v>0.54526404131338635</v>
      </c>
    </row>
    <row r="2262" spans="10:12" x14ac:dyDescent="0.3">
      <c r="J2262">
        <v>2239</v>
      </c>
      <c r="K2262" s="10">
        <v>0.26546979545486743</v>
      </c>
      <c r="L2262" s="10">
        <v>0.16905237768767639</v>
      </c>
    </row>
    <row r="2263" spans="10:12" x14ac:dyDescent="0.3">
      <c r="J2263">
        <v>2240</v>
      </c>
      <c r="K2263" s="10">
        <v>0.20532798395537205</v>
      </c>
      <c r="L2263" s="10">
        <v>0.26811006506385482</v>
      </c>
    </row>
    <row r="2264" spans="10:12" x14ac:dyDescent="0.3">
      <c r="J2264">
        <v>2241</v>
      </c>
      <c r="K2264" s="10">
        <v>0.19231164966583905</v>
      </c>
      <c r="L2264" s="10">
        <v>0.29817977512060917</v>
      </c>
    </row>
    <row r="2265" spans="10:12" x14ac:dyDescent="0.3">
      <c r="J2265">
        <v>2242</v>
      </c>
      <c r="K2265" s="10">
        <v>0.21443517347133934</v>
      </c>
      <c r="L2265" s="10">
        <v>0.11781109757722764</v>
      </c>
    </row>
    <row r="2266" spans="10:12" x14ac:dyDescent="0.3">
      <c r="J2266">
        <v>2243</v>
      </c>
      <c r="K2266" s="10">
        <v>0.19697397234497416</v>
      </c>
      <c r="L2266" s="10">
        <v>0.2219925206951005</v>
      </c>
    </row>
    <row r="2267" spans="10:12" x14ac:dyDescent="0.3">
      <c r="J2267">
        <v>2244</v>
      </c>
      <c r="K2267" s="10">
        <v>0.19098064542722729</v>
      </c>
      <c r="L2267" s="10">
        <v>0.2316043369407334</v>
      </c>
    </row>
    <row r="2268" spans="10:12" x14ac:dyDescent="0.3">
      <c r="J2268">
        <v>2245</v>
      </c>
      <c r="K2268" s="10">
        <v>0.1942310618431321</v>
      </c>
      <c r="L2268" s="10">
        <v>0.21491683813750606</v>
      </c>
    </row>
    <row r="2269" spans="10:12" x14ac:dyDescent="0.3">
      <c r="J2269">
        <v>2246</v>
      </c>
      <c r="K2269" s="10">
        <v>0.20801389803261797</v>
      </c>
      <c r="L2269" s="10">
        <v>0.3914929818342559</v>
      </c>
    </row>
    <row r="2270" spans="10:12" x14ac:dyDescent="0.3">
      <c r="J2270">
        <v>2247</v>
      </c>
      <c r="K2270" s="10">
        <v>0.19614810013233155</v>
      </c>
      <c r="L2270" s="10">
        <v>0.39893739402173406</v>
      </c>
    </row>
    <row r="2271" spans="10:12" x14ac:dyDescent="0.3">
      <c r="J2271">
        <v>2248</v>
      </c>
      <c r="K2271" s="10">
        <v>0.22096386550763636</v>
      </c>
      <c r="L2271" s="10">
        <v>0.35727835726510881</v>
      </c>
    </row>
    <row r="2272" spans="10:12" x14ac:dyDescent="0.3">
      <c r="J2272">
        <v>2249</v>
      </c>
      <c r="K2272" s="10">
        <v>0.21409978412796665</v>
      </c>
      <c r="L2272" s="10">
        <v>0.24957882398020181</v>
      </c>
    </row>
    <row r="2273" spans="10:12" x14ac:dyDescent="0.3">
      <c r="J2273">
        <v>2250</v>
      </c>
      <c r="K2273" s="10">
        <v>0.191724664848752</v>
      </c>
      <c r="L2273" s="10">
        <v>0.35811058899993237</v>
      </c>
    </row>
    <row r="2274" spans="10:12" x14ac:dyDescent="0.3">
      <c r="J2274">
        <v>2251</v>
      </c>
      <c r="K2274" s="10">
        <v>0.22924171361486168</v>
      </c>
      <c r="L2274" s="10">
        <v>-2.5503562551607781E-2</v>
      </c>
    </row>
    <row r="2275" spans="10:12" x14ac:dyDescent="0.3">
      <c r="J2275">
        <v>2252</v>
      </c>
      <c r="K2275" s="10">
        <v>0.24169929032941698</v>
      </c>
      <c r="L2275" s="10">
        <v>-2.9471578950381813E-2</v>
      </c>
    </row>
    <row r="2276" spans="10:12" x14ac:dyDescent="0.3">
      <c r="J2276">
        <v>2253</v>
      </c>
      <c r="K2276" s="10">
        <v>0.19529965927447027</v>
      </c>
      <c r="L2276" s="10">
        <v>0.42768706775059595</v>
      </c>
    </row>
    <row r="2277" spans="10:12" x14ac:dyDescent="0.3">
      <c r="J2277">
        <v>2254</v>
      </c>
      <c r="K2277" s="10">
        <v>0.20773401936206845</v>
      </c>
      <c r="L2277" s="10">
        <v>0.12973466212932372</v>
      </c>
    </row>
    <row r="2278" spans="10:12" x14ac:dyDescent="0.3">
      <c r="J2278">
        <v>2255</v>
      </c>
      <c r="K2278" s="10">
        <v>0.21592970917767826</v>
      </c>
      <c r="L2278" s="10">
        <v>0.24445048182656948</v>
      </c>
    </row>
    <row r="2279" spans="10:12" x14ac:dyDescent="0.3">
      <c r="J2279">
        <v>2256</v>
      </c>
      <c r="K2279" s="10">
        <v>0.19707697626806231</v>
      </c>
      <c r="L2279" s="10">
        <v>0.18528358623599128</v>
      </c>
    </row>
    <row r="2280" spans="10:12" x14ac:dyDescent="0.3">
      <c r="J2280">
        <v>2257</v>
      </c>
      <c r="K2280" s="10">
        <v>0.22945081413399049</v>
      </c>
      <c r="L2280" s="10">
        <v>0.27444897313910671</v>
      </c>
    </row>
    <row r="2281" spans="10:12" x14ac:dyDescent="0.3">
      <c r="J2281">
        <v>2258</v>
      </c>
      <c r="K2281" s="10">
        <v>0.2160115715341088</v>
      </c>
      <c r="L2281" s="10">
        <v>0.24648926127340318</v>
      </c>
    </row>
    <row r="2282" spans="10:12" x14ac:dyDescent="0.3">
      <c r="J2282">
        <v>2259</v>
      </c>
      <c r="K2282" s="10">
        <v>0.24906074681168328</v>
      </c>
      <c r="L2282" s="10">
        <v>-2.9372910100769326E-2</v>
      </c>
    </row>
    <row r="2283" spans="10:12" x14ac:dyDescent="0.3">
      <c r="J2283">
        <v>2260</v>
      </c>
      <c r="K2283" s="10">
        <v>0.20181691598678655</v>
      </c>
      <c r="L2283" s="10">
        <v>0.25779293477681769</v>
      </c>
    </row>
    <row r="2284" spans="10:12" x14ac:dyDescent="0.3">
      <c r="J2284">
        <v>2261</v>
      </c>
      <c r="K2284" s="10">
        <v>0.19673419283999577</v>
      </c>
      <c r="L2284" s="10">
        <v>0.224785731823476</v>
      </c>
    </row>
    <row r="2285" spans="10:12" x14ac:dyDescent="0.3">
      <c r="J2285">
        <v>2262</v>
      </c>
      <c r="K2285" s="10">
        <v>0.19186988458519391</v>
      </c>
      <c r="L2285" s="10">
        <v>0.27933202119399336</v>
      </c>
    </row>
    <row r="2286" spans="10:12" x14ac:dyDescent="0.3">
      <c r="J2286">
        <v>2263</v>
      </c>
      <c r="K2286" s="10">
        <v>0.19251520857361651</v>
      </c>
      <c r="L2286" s="10">
        <v>0.29346736160800996</v>
      </c>
    </row>
    <row r="2287" spans="10:12" x14ac:dyDescent="0.3">
      <c r="J2287">
        <v>2264</v>
      </c>
      <c r="K2287" s="10">
        <v>0.2313644576572772</v>
      </c>
      <c r="L2287" s="10">
        <v>-3.2650306036506385E-3</v>
      </c>
    </row>
    <row r="2288" spans="10:12" x14ac:dyDescent="0.3">
      <c r="J2288">
        <v>2265</v>
      </c>
      <c r="K2288" s="10">
        <v>0.2197884439725187</v>
      </c>
      <c r="L2288" s="10">
        <v>0.28332875592591777</v>
      </c>
    </row>
    <row r="2289" spans="10:12" x14ac:dyDescent="0.3">
      <c r="J2289">
        <v>2266</v>
      </c>
      <c r="K2289" s="10">
        <v>0.1955527869157421</v>
      </c>
      <c r="L2289" s="10">
        <v>0.27686323118428463</v>
      </c>
    </row>
    <row r="2290" spans="10:12" x14ac:dyDescent="0.3">
      <c r="J2290">
        <v>2267</v>
      </c>
      <c r="K2290" s="10">
        <v>0.23041008153124981</v>
      </c>
      <c r="L2290" s="10">
        <v>0.64293909999575594</v>
      </c>
    </row>
    <row r="2291" spans="10:12" x14ac:dyDescent="0.3">
      <c r="J2291">
        <v>2268</v>
      </c>
      <c r="K2291" s="10">
        <v>0.24387611701119252</v>
      </c>
      <c r="L2291" s="10">
        <v>-6.9568801705292255E-2</v>
      </c>
    </row>
    <row r="2292" spans="10:12" x14ac:dyDescent="0.3">
      <c r="J2292">
        <v>2269</v>
      </c>
      <c r="K2292" s="10">
        <v>0.22741452115286453</v>
      </c>
      <c r="L2292" s="10">
        <v>0.26085084952322457</v>
      </c>
    </row>
    <row r="2293" spans="10:12" x14ac:dyDescent="0.3">
      <c r="J2293">
        <v>2270</v>
      </c>
      <c r="K2293" s="10">
        <v>0.23522128142031667</v>
      </c>
      <c r="L2293" s="10">
        <v>-1.8227933597118648E-2</v>
      </c>
    </row>
    <row r="2294" spans="10:12" x14ac:dyDescent="0.3">
      <c r="J2294">
        <v>2271</v>
      </c>
      <c r="K2294" s="10">
        <v>0.24804076781432027</v>
      </c>
      <c r="L2294" s="10">
        <v>-7.293313311986821E-2</v>
      </c>
    </row>
    <row r="2295" spans="10:12" x14ac:dyDescent="0.3">
      <c r="J2295">
        <v>2272</v>
      </c>
      <c r="K2295" s="10">
        <v>0.23950287828880815</v>
      </c>
      <c r="L2295" s="10">
        <v>-2.859968750055223E-2</v>
      </c>
    </row>
    <row r="2296" spans="10:12" x14ac:dyDescent="0.3">
      <c r="J2296">
        <v>2273</v>
      </c>
      <c r="K2296" s="10">
        <v>0.21574196024766931</v>
      </c>
      <c r="L2296" s="10">
        <v>0.33095758775945577</v>
      </c>
    </row>
    <row r="2297" spans="10:12" x14ac:dyDescent="0.3">
      <c r="J2297">
        <v>2274</v>
      </c>
      <c r="K2297" s="10">
        <v>0.22039313057750837</v>
      </c>
      <c r="L2297" s="10">
        <v>0.57350005585178332</v>
      </c>
    </row>
    <row r="2298" spans="10:12" x14ac:dyDescent="0.3">
      <c r="J2298">
        <v>2275</v>
      </c>
      <c r="K2298" s="10">
        <v>0.25327611897893254</v>
      </c>
      <c r="L2298" s="10">
        <v>0.73574046978122543</v>
      </c>
    </row>
    <row r="2299" spans="10:12" x14ac:dyDescent="0.3">
      <c r="J2299">
        <v>2276</v>
      </c>
      <c r="K2299" s="10">
        <v>0.19694252935152565</v>
      </c>
      <c r="L2299" s="10">
        <v>0.27487256893529549</v>
      </c>
    </row>
    <row r="2300" spans="10:12" x14ac:dyDescent="0.3">
      <c r="J2300">
        <v>2277</v>
      </c>
      <c r="K2300" s="10">
        <v>0.21103058830849108</v>
      </c>
      <c r="L2300" s="10">
        <v>9.5499228901082117E-2</v>
      </c>
    </row>
    <row r="2301" spans="10:12" x14ac:dyDescent="0.3">
      <c r="J2301">
        <v>2278</v>
      </c>
      <c r="K2301" s="10">
        <v>0.20585745169189312</v>
      </c>
      <c r="L2301" s="10">
        <v>0.10395349208443665</v>
      </c>
    </row>
    <row r="2302" spans="10:12" x14ac:dyDescent="0.3">
      <c r="J2302">
        <v>2279</v>
      </c>
      <c r="K2302" s="10">
        <v>0.19059693736467234</v>
      </c>
      <c r="L2302" s="10">
        <v>0.34628020501257034</v>
      </c>
    </row>
    <row r="2303" spans="10:12" x14ac:dyDescent="0.3">
      <c r="J2303">
        <v>2280</v>
      </c>
      <c r="K2303" s="10">
        <v>0.21194423547291957</v>
      </c>
      <c r="L2303" s="10">
        <v>0.28181641861892104</v>
      </c>
    </row>
    <row r="2304" spans="10:12" x14ac:dyDescent="0.3">
      <c r="J2304">
        <v>2281</v>
      </c>
      <c r="K2304" s="10">
        <v>0.18903389085385805</v>
      </c>
      <c r="L2304" s="10">
        <v>0.3166321127851266</v>
      </c>
    </row>
    <row r="2305" spans="10:12" x14ac:dyDescent="0.3">
      <c r="J2305">
        <v>2282</v>
      </c>
      <c r="K2305" s="10">
        <v>0.26819642023474133</v>
      </c>
      <c r="L2305" s="10">
        <v>-9.2232770828235278E-2</v>
      </c>
    </row>
    <row r="2306" spans="10:12" x14ac:dyDescent="0.3">
      <c r="J2306">
        <v>2283</v>
      </c>
      <c r="K2306" s="10">
        <v>0.21399809283180404</v>
      </c>
      <c r="L2306" s="10">
        <v>8.8690775449486781E-2</v>
      </c>
    </row>
    <row r="2307" spans="10:12" x14ac:dyDescent="0.3">
      <c r="J2307">
        <v>2284</v>
      </c>
      <c r="K2307" s="10">
        <v>0.19796357421748542</v>
      </c>
      <c r="L2307" s="10">
        <v>0.38393693086272945</v>
      </c>
    </row>
    <row r="2308" spans="10:12" x14ac:dyDescent="0.3">
      <c r="J2308">
        <v>2285</v>
      </c>
      <c r="K2308" s="10">
        <v>0.23038214360372522</v>
      </c>
      <c r="L2308" s="10">
        <v>2.2618384870474011E-2</v>
      </c>
    </row>
    <row r="2309" spans="10:12" x14ac:dyDescent="0.3">
      <c r="J2309">
        <v>2286</v>
      </c>
      <c r="K2309" s="10">
        <v>0.22293168304140509</v>
      </c>
      <c r="L2309" s="10">
        <v>7.0145248501005966E-2</v>
      </c>
    </row>
    <row r="2310" spans="10:12" x14ac:dyDescent="0.3">
      <c r="J2310">
        <v>2287</v>
      </c>
      <c r="K2310" s="10">
        <v>0.20675889367500364</v>
      </c>
      <c r="L2310" s="10">
        <v>0.28321340555763497</v>
      </c>
    </row>
    <row r="2311" spans="10:12" x14ac:dyDescent="0.3">
      <c r="J2311">
        <v>2288</v>
      </c>
      <c r="K2311" s="10">
        <v>0.19381880515195851</v>
      </c>
      <c r="L2311" s="10">
        <v>0.19675482496808661</v>
      </c>
    </row>
    <row r="2312" spans="10:12" x14ac:dyDescent="0.3">
      <c r="J2312">
        <v>2289</v>
      </c>
      <c r="K2312" s="10">
        <v>0.23142032490981715</v>
      </c>
      <c r="L2312" s="10">
        <v>0.10434540225413738</v>
      </c>
    </row>
    <row r="2313" spans="10:12" x14ac:dyDescent="0.3">
      <c r="J2313">
        <v>2290</v>
      </c>
      <c r="K2313" s="10">
        <v>0.20724612484430036</v>
      </c>
      <c r="L2313" s="10">
        <v>0.16517004500176816</v>
      </c>
    </row>
    <row r="2314" spans="10:12" x14ac:dyDescent="0.3">
      <c r="J2314">
        <v>2291</v>
      </c>
      <c r="K2314" s="10">
        <v>0.19914607475183918</v>
      </c>
      <c r="L2314" s="10">
        <v>0.46813550539170368</v>
      </c>
    </row>
    <row r="2315" spans="10:12" x14ac:dyDescent="0.3">
      <c r="J2315">
        <v>2292</v>
      </c>
      <c r="K2315" s="10">
        <v>0.19060615023414401</v>
      </c>
      <c r="L2315" s="10">
        <v>0.37028441960337566</v>
      </c>
    </row>
    <row r="2316" spans="10:12" x14ac:dyDescent="0.3">
      <c r="J2316">
        <v>2293</v>
      </c>
      <c r="K2316" s="10">
        <v>0.19264388218165618</v>
      </c>
      <c r="L2316" s="10">
        <v>0.29212105940350014</v>
      </c>
    </row>
    <row r="2317" spans="10:12" x14ac:dyDescent="0.3">
      <c r="J2317">
        <v>2294</v>
      </c>
      <c r="K2317" s="10">
        <v>0.21178042842903064</v>
      </c>
      <c r="L2317" s="10">
        <v>8.5173696342984107E-2</v>
      </c>
    </row>
    <row r="2318" spans="10:12" x14ac:dyDescent="0.3">
      <c r="J2318">
        <v>2295</v>
      </c>
      <c r="K2318" s="10">
        <v>0.21895736793778059</v>
      </c>
      <c r="L2318" s="10">
        <v>6.3608331069879204E-2</v>
      </c>
    </row>
    <row r="2319" spans="10:12" x14ac:dyDescent="0.3">
      <c r="J2319">
        <v>2296</v>
      </c>
      <c r="K2319" s="10">
        <v>0.19624923853734313</v>
      </c>
      <c r="L2319" s="10">
        <v>0.17922695354526441</v>
      </c>
    </row>
    <row r="2320" spans="10:12" x14ac:dyDescent="0.3">
      <c r="J2320">
        <v>2297</v>
      </c>
      <c r="K2320" s="10">
        <v>0.21238297839299911</v>
      </c>
      <c r="L2320" s="10">
        <v>7.8259749939373471E-2</v>
      </c>
    </row>
    <row r="2321" spans="10:12" x14ac:dyDescent="0.3">
      <c r="J2321">
        <v>2298</v>
      </c>
      <c r="K2321" s="10">
        <v>0.22995348723036937</v>
      </c>
      <c r="L2321" s="10">
        <v>0.10696356467911772</v>
      </c>
    </row>
    <row r="2322" spans="10:12" x14ac:dyDescent="0.3">
      <c r="J2322">
        <v>2299</v>
      </c>
      <c r="K2322" s="10">
        <v>0.19911729318850907</v>
      </c>
      <c r="L2322" s="10">
        <v>0.14483930334323453</v>
      </c>
    </row>
    <row r="2323" spans="10:12" x14ac:dyDescent="0.3">
      <c r="J2323">
        <v>2300</v>
      </c>
      <c r="K2323" s="10">
        <v>0.22197372859044598</v>
      </c>
      <c r="L2323" s="10">
        <v>5.5476182121485647E-2</v>
      </c>
    </row>
    <row r="2324" spans="10:12" x14ac:dyDescent="0.3">
      <c r="J2324">
        <v>2301</v>
      </c>
      <c r="K2324" s="10">
        <v>0.19417185147257279</v>
      </c>
      <c r="L2324" s="10">
        <v>0.2005148417234898</v>
      </c>
    </row>
    <row r="2325" spans="10:12" x14ac:dyDescent="0.3">
      <c r="J2325">
        <v>2302</v>
      </c>
      <c r="K2325" s="10">
        <v>0.21620049748756129</v>
      </c>
      <c r="L2325" s="10">
        <v>0.3532845184217801</v>
      </c>
    </row>
    <row r="2326" spans="10:12" x14ac:dyDescent="0.3">
      <c r="J2326">
        <v>2303</v>
      </c>
      <c r="K2326" s="10">
        <v>0.1964927486022649</v>
      </c>
      <c r="L2326" s="10">
        <v>0.26970803405084393</v>
      </c>
    </row>
    <row r="2327" spans="10:12" x14ac:dyDescent="0.3">
      <c r="J2327">
        <v>2304</v>
      </c>
      <c r="K2327" s="10">
        <v>0.19184588721737811</v>
      </c>
      <c r="L2327" s="10">
        <v>0.22723830840742454</v>
      </c>
    </row>
    <row r="2328" spans="10:12" x14ac:dyDescent="0.3">
      <c r="J2328">
        <v>2305</v>
      </c>
      <c r="K2328" s="10">
        <v>0.237119596553373</v>
      </c>
      <c r="L2328" s="10">
        <v>2.7694314438409036E-2</v>
      </c>
    </row>
    <row r="2329" spans="10:12" x14ac:dyDescent="0.3">
      <c r="J2329">
        <v>2306</v>
      </c>
      <c r="K2329" s="10">
        <v>0.20058106444891621</v>
      </c>
      <c r="L2329" s="10">
        <v>0.24139327623023957</v>
      </c>
    </row>
    <row r="2330" spans="10:12" x14ac:dyDescent="0.3">
      <c r="J2330">
        <v>2307</v>
      </c>
      <c r="K2330" s="10">
        <v>0.34202913104901156</v>
      </c>
      <c r="L2330" s="10">
        <v>-5.208909358220741E-2</v>
      </c>
    </row>
    <row r="2331" spans="10:12" x14ac:dyDescent="0.3">
      <c r="J2331">
        <v>2308</v>
      </c>
      <c r="K2331" s="10">
        <v>0.19463056235239407</v>
      </c>
      <c r="L2331" s="10">
        <v>0.2747372017565094</v>
      </c>
    </row>
    <row r="2332" spans="10:12" x14ac:dyDescent="0.3">
      <c r="J2332">
        <v>2309</v>
      </c>
      <c r="K2332" s="10">
        <v>0.31183199833800918</v>
      </c>
      <c r="L2332" s="10">
        <v>-8.1333501967930308E-2</v>
      </c>
    </row>
    <row r="2333" spans="10:12" x14ac:dyDescent="0.3">
      <c r="J2333">
        <v>2310</v>
      </c>
      <c r="K2333" s="10">
        <v>0.19246142074370212</v>
      </c>
      <c r="L2333" s="10">
        <v>0.21192902264738331</v>
      </c>
    </row>
    <row r="2334" spans="10:12" x14ac:dyDescent="0.3">
      <c r="J2334">
        <v>2311</v>
      </c>
      <c r="K2334" s="10">
        <v>0.25722501687610388</v>
      </c>
      <c r="L2334" s="10">
        <v>-4.4738516567879846E-2</v>
      </c>
    </row>
    <row r="2335" spans="10:12" x14ac:dyDescent="0.3">
      <c r="J2335">
        <v>2312</v>
      </c>
      <c r="K2335" s="10">
        <v>0.21595857421069511</v>
      </c>
      <c r="L2335" s="10">
        <v>5.1984415667048534E-2</v>
      </c>
    </row>
    <row r="2336" spans="10:12" x14ac:dyDescent="0.3">
      <c r="J2336">
        <v>2313</v>
      </c>
      <c r="K2336" s="10">
        <v>0.19215438212947883</v>
      </c>
      <c r="L2336" s="10">
        <v>0.3995975715884818</v>
      </c>
    </row>
    <row r="2337" spans="10:12" x14ac:dyDescent="0.3">
      <c r="J2337">
        <v>2314</v>
      </c>
      <c r="K2337" s="10">
        <v>0.23258386617270455</v>
      </c>
      <c r="L2337" s="10">
        <v>-9.2447396832653905E-4</v>
      </c>
    </row>
    <row r="2338" spans="10:12" x14ac:dyDescent="0.3">
      <c r="J2338">
        <v>2315</v>
      </c>
      <c r="K2338" s="10">
        <v>0.20801632639286963</v>
      </c>
      <c r="L2338" s="10">
        <v>8.8582625460005032E-2</v>
      </c>
    </row>
    <row r="2339" spans="10:12" x14ac:dyDescent="0.3">
      <c r="J2339">
        <v>2316</v>
      </c>
      <c r="K2339" s="10">
        <v>0.21111430414932175</v>
      </c>
      <c r="L2339" s="10">
        <v>0.50031592934478875</v>
      </c>
    </row>
    <row r="2340" spans="10:12" x14ac:dyDescent="0.3">
      <c r="J2340">
        <v>2317</v>
      </c>
      <c r="K2340" s="10">
        <v>0.21737213196308988</v>
      </c>
      <c r="L2340" s="10">
        <v>6.2684139068344691E-2</v>
      </c>
    </row>
    <row r="2341" spans="10:12" x14ac:dyDescent="0.3">
      <c r="J2341">
        <v>2318</v>
      </c>
      <c r="K2341" s="10">
        <v>0.19026834401079371</v>
      </c>
      <c r="L2341" s="10">
        <v>0.27664496487631041</v>
      </c>
    </row>
    <row r="2342" spans="10:12" x14ac:dyDescent="0.3">
      <c r="J2342">
        <v>2319</v>
      </c>
      <c r="K2342" s="10">
        <v>0.22170617657395716</v>
      </c>
      <c r="L2342" s="10">
        <v>1.1930768235703923E-2</v>
      </c>
    </row>
    <row r="2343" spans="10:12" x14ac:dyDescent="0.3">
      <c r="J2343">
        <v>2320</v>
      </c>
      <c r="K2343" s="10">
        <v>0.23747547845143013</v>
      </c>
      <c r="L2343" s="10">
        <v>5.1669359451975976E-2</v>
      </c>
    </row>
    <row r="2344" spans="10:12" x14ac:dyDescent="0.3">
      <c r="J2344">
        <v>2321</v>
      </c>
      <c r="K2344" s="10">
        <v>0.22551558412443259</v>
      </c>
      <c r="L2344" s="10">
        <v>0.58498859824392968</v>
      </c>
    </row>
    <row r="2345" spans="10:12" x14ac:dyDescent="0.3">
      <c r="J2345">
        <v>2322</v>
      </c>
      <c r="K2345" s="10">
        <v>0.2337213574863721</v>
      </c>
      <c r="L2345" s="10">
        <v>-6.2789697082035814E-3</v>
      </c>
    </row>
    <row r="2346" spans="10:12" x14ac:dyDescent="0.3">
      <c r="J2346">
        <v>2323</v>
      </c>
      <c r="K2346" s="10">
        <v>0.19844601274411341</v>
      </c>
      <c r="L2346" s="10">
        <v>0.17737281887227457</v>
      </c>
    </row>
    <row r="2347" spans="10:12" x14ac:dyDescent="0.3">
      <c r="J2347">
        <v>2324</v>
      </c>
      <c r="K2347" s="10">
        <v>0.31335463221071597</v>
      </c>
      <c r="L2347" s="10">
        <v>-6.2920682160272454E-2</v>
      </c>
    </row>
    <row r="2348" spans="10:12" x14ac:dyDescent="0.3">
      <c r="J2348">
        <v>2325</v>
      </c>
      <c r="K2348" s="10">
        <v>0.19474137579769041</v>
      </c>
      <c r="L2348" s="10">
        <v>0.43018046661264725</v>
      </c>
    </row>
    <row r="2349" spans="10:12" x14ac:dyDescent="0.3">
      <c r="J2349">
        <v>2326</v>
      </c>
      <c r="K2349" s="10">
        <v>0.20847173946901187</v>
      </c>
      <c r="L2349" s="10">
        <v>8.3139564613022118E-2</v>
      </c>
    </row>
    <row r="2350" spans="10:12" x14ac:dyDescent="0.3">
      <c r="J2350">
        <v>2327</v>
      </c>
      <c r="K2350" s="10">
        <v>0.22842114578312123</v>
      </c>
      <c r="L2350" s="10">
        <v>9.0443222480569227E-3</v>
      </c>
    </row>
    <row r="2351" spans="10:12" x14ac:dyDescent="0.3">
      <c r="J2351">
        <v>2328</v>
      </c>
      <c r="K2351" s="10">
        <v>0.1892650889482094</v>
      </c>
      <c r="L2351" s="10">
        <v>0.34276788734485059</v>
      </c>
    </row>
    <row r="2352" spans="10:12" x14ac:dyDescent="0.3">
      <c r="J2352">
        <v>2329</v>
      </c>
      <c r="K2352" s="10">
        <v>0.21231216831881533</v>
      </c>
      <c r="L2352" s="10">
        <v>5.7056478068817751E-2</v>
      </c>
    </row>
    <row r="2353" spans="10:12" x14ac:dyDescent="0.3">
      <c r="J2353">
        <v>2330</v>
      </c>
      <c r="K2353" s="10">
        <v>0.30681556898834605</v>
      </c>
      <c r="L2353" s="10">
        <v>-6.2818080130825679E-3</v>
      </c>
    </row>
    <row r="2354" spans="10:12" x14ac:dyDescent="0.3">
      <c r="J2354">
        <v>2331</v>
      </c>
      <c r="K2354" s="10">
        <v>0.23062081500207374</v>
      </c>
      <c r="L2354" s="10">
        <v>9.4550566340816405E-2</v>
      </c>
    </row>
    <row r="2355" spans="10:12" x14ac:dyDescent="0.3">
      <c r="J2355">
        <v>2332</v>
      </c>
      <c r="K2355" s="10">
        <v>0.25506672138715086</v>
      </c>
      <c r="L2355" s="10">
        <v>3.4616543224590707E-2</v>
      </c>
    </row>
    <row r="2356" spans="10:12" x14ac:dyDescent="0.3">
      <c r="J2356">
        <v>2333</v>
      </c>
      <c r="K2356" s="10">
        <v>0.22341593746101154</v>
      </c>
      <c r="L2356" s="10">
        <v>3.9266600042048717E-2</v>
      </c>
    </row>
    <row r="2357" spans="10:12" x14ac:dyDescent="0.3">
      <c r="J2357">
        <v>2334</v>
      </c>
      <c r="K2357" s="10">
        <v>0.19296702990211761</v>
      </c>
      <c r="L2357" s="10">
        <v>0.3325876287997242</v>
      </c>
    </row>
    <row r="2358" spans="10:12" x14ac:dyDescent="0.3">
      <c r="J2358">
        <v>2335</v>
      </c>
      <c r="K2358" s="10">
        <v>0.26920907216587237</v>
      </c>
      <c r="L2358" s="10">
        <v>0.18381474705941278</v>
      </c>
    </row>
    <row r="2359" spans="10:12" x14ac:dyDescent="0.3">
      <c r="J2359">
        <v>2336</v>
      </c>
      <c r="K2359" s="10">
        <v>0.22371991676763228</v>
      </c>
      <c r="L2359" s="10">
        <v>0.32513801448866153</v>
      </c>
    </row>
    <row r="2360" spans="10:12" x14ac:dyDescent="0.3">
      <c r="J2360">
        <v>2337</v>
      </c>
      <c r="K2360" s="10">
        <v>0.19523092723483795</v>
      </c>
      <c r="L2360" s="10">
        <v>0.38195995198050292</v>
      </c>
    </row>
    <row r="2361" spans="10:12" x14ac:dyDescent="0.3">
      <c r="J2361">
        <v>2338</v>
      </c>
      <c r="K2361" s="10">
        <v>0.201140724593903</v>
      </c>
      <c r="L2361" s="10">
        <v>0.48511968456181248</v>
      </c>
    </row>
    <row r="2362" spans="10:12" x14ac:dyDescent="0.3">
      <c r="J2362">
        <v>2339</v>
      </c>
      <c r="K2362" s="10">
        <v>0.21144349628587294</v>
      </c>
      <c r="L2362" s="10">
        <v>0.53813847008926352</v>
      </c>
    </row>
    <row r="2363" spans="10:12" x14ac:dyDescent="0.3">
      <c r="J2363">
        <v>2340</v>
      </c>
      <c r="K2363" s="10">
        <v>0.20693199268997023</v>
      </c>
      <c r="L2363" s="10">
        <v>0.31624655800391482</v>
      </c>
    </row>
    <row r="2364" spans="10:12" x14ac:dyDescent="0.3">
      <c r="J2364">
        <v>2341</v>
      </c>
      <c r="K2364" s="10">
        <v>0.22833248527968747</v>
      </c>
      <c r="L2364" s="10">
        <v>-2.150498812064576E-2</v>
      </c>
    </row>
    <row r="2365" spans="10:12" x14ac:dyDescent="0.3">
      <c r="J2365">
        <v>2342</v>
      </c>
      <c r="K2365" s="10">
        <v>0.20145714994858743</v>
      </c>
      <c r="L2365" s="10">
        <v>0.23977363967007342</v>
      </c>
    </row>
    <row r="2366" spans="10:12" x14ac:dyDescent="0.3">
      <c r="J2366">
        <v>2343</v>
      </c>
      <c r="K2366" s="10">
        <v>0.22965893605678403</v>
      </c>
      <c r="L2366" s="10">
        <v>3.7565329200962762E-2</v>
      </c>
    </row>
    <row r="2367" spans="10:12" x14ac:dyDescent="0.3">
      <c r="J2367">
        <v>2344</v>
      </c>
      <c r="K2367" s="10">
        <v>0.23194586441392043</v>
      </c>
      <c r="L2367" s="10">
        <v>0.31836855427434979</v>
      </c>
    </row>
    <row r="2368" spans="10:12" x14ac:dyDescent="0.3">
      <c r="J2368">
        <v>2345</v>
      </c>
      <c r="K2368" s="10">
        <v>0.21047548523442156</v>
      </c>
      <c r="L2368" s="10">
        <v>0.21211681022379922</v>
      </c>
    </row>
    <row r="2369" spans="10:12" x14ac:dyDescent="0.3">
      <c r="J2369">
        <v>2346</v>
      </c>
      <c r="K2369" s="10">
        <v>0.19299814058093614</v>
      </c>
      <c r="L2369" s="10">
        <v>0.25938338157321561</v>
      </c>
    </row>
    <row r="2370" spans="10:12" x14ac:dyDescent="0.3">
      <c r="J2370">
        <v>2347</v>
      </c>
      <c r="K2370" s="10">
        <v>0.23889168721163903</v>
      </c>
      <c r="L2370" s="10">
        <v>-4.2072036917064404E-2</v>
      </c>
    </row>
    <row r="2371" spans="10:12" x14ac:dyDescent="0.3">
      <c r="J2371">
        <v>2348</v>
      </c>
      <c r="K2371" s="10">
        <v>0.20554220730847067</v>
      </c>
      <c r="L2371" s="10">
        <v>0.11599754796385262</v>
      </c>
    </row>
    <row r="2372" spans="10:12" x14ac:dyDescent="0.3">
      <c r="J2372">
        <v>2349</v>
      </c>
      <c r="K2372" s="10">
        <v>0.19720471728597253</v>
      </c>
      <c r="L2372" s="10">
        <v>0.32917286132350482</v>
      </c>
    </row>
    <row r="2373" spans="10:12" x14ac:dyDescent="0.3">
      <c r="J2373">
        <v>2350</v>
      </c>
      <c r="K2373" s="10">
        <v>0.20734795250671945</v>
      </c>
      <c r="L2373" s="10">
        <v>0.38820767759488806</v>
      </c>
    </row>
    <row r="2374" spans="10:12" x14ac:dyDescent="0.3">
      <c r="J2374">
        <v>2351</v>
      </c>
      <c r="K2374" s="10">
        <v>0.24098468695616151</v>
      </c>
      <c r="L2374" s="10">
        <v>-7.3481524963902575E-2</v>
      </c>
    </row>
    <row r="2375" spans="10:12" x14ac:dyDescent="0.3">
      <c r="J2375">
        <v>2352</v>
      </c>
      <c r="K2375" s="10">
        <v>0.22366261575879307</v>
      </c>
      <c r="L2375" s="10">
        <v>0.24773788152246845</v>
      </c>
    </row>
    <row r="2376" spans="10:12" x14ac:dyDescent="0.3">
      <c r="J2376">
        <v>2353</v>
      </c>
      <c r="K2376" s="10">
        <v>0.18911327785653065</v>
      </c>
      <c r="L2376" s="10">
        <v>0.33077026887373778</v>
      </c>
    </row>
    <row r="2377" spans="10:12" x14ac:dyDescent="0.3">
      <c r="J2377">
        <v>2354</v>
      </c>
      <c r="K2377" s="10">
        <v>0.19853435609059747</v>
      </c>
      <c r="L2377" s="10">
        <v>0.1726312466917565</v>
      </c>
    </row>
    <row r="2378" spans="10:12" x14ac:dyDescent="0.3">
      <c r="J2378">
        <v>2355</v>
      </c>
      <c r="K2378" s="10">
        <v>0.19092296995361843</v>
      </c>
      <c r="L2378" s="10">
        <v>0.32595895654618268</v>
      </c>
    </row>
    <row r="2379" spans="10:12" x14ac:dyDescent="0.3">
      <c r="J2379">
        <v>2356</v>
      </c>
      <c r="K2379" s="10">
        <v>0.20238590947668425</v>
      </c>
      <c r="L2379" s="10">
        <v>0.3071751522820354</v>
      </c>
    </row>
    <row r="2380" spans="10:12" x14ac:dyDescent="0.3">
      <c r="J2380">
        <v>2357</v>
      </c>
      <c r="K2380" s="10">
        <v>0.21901387613004195</v>
      </c>
      <c r="L2380" s="10">
        <v>0.18327949035351845</v>
      </c>
    </row>
    <row r="2381" spans="10:12" x14ac:dyDescent="0.3">
      <c r="J2381">
        <v>2358</v>
      </c>
      <c r="K2381" s="10">
        <v>0.26816743850329072</v>
      </c>
      <c r="L2381" s="10">
        <v>-8.9262896805875722E-2</v>
      </c>
    </row>
    <row r="2382" spans="10:12" x14ac:dyDescent="0.3">
      <c r="J2382">
        <v>2359</v>
      </c>
      <c r="K2382" s="10">
        <v>0.18933815045074159</v>
      </c>
      <c r="L2382" s="10">
        <v>0.29989527727054099</v>
      </c>
    </row>
    <row r="2383" spans="10:12" x14ac:dyDescent="0.3">
      <c r="J2383">
        <v>2360</v>
      </c>
      <c r="K2383" s="10">
        <v>0.25709366182866111</v>
      </c>
      <c r="L2383" s="10">
        <v>-1.9940731841546787E-2</v>
      </c>
    </row>
    <row r="2384" spans="10:12" x14ac:dyDescent="0.3">
      <c r="J2384">
        <v>2361</v>
      </c>
      <c r="K2384" s="10">
        <v>0.18973855583120319</v>
      </c>
      <c r="L2384" s="10">
        <v>0.25596363678462053</v>
      </c>
    </row>
    <row r="2385" spans="10:12" x14ac:dyDescent="0.3">
      <c r="J2385">
        <v>2362</v>
      </c>
      <c r="K2385" s="10">
        <v>0.22523683170180783</v>
      </c>
      <c r="L2385" s="10">
        <v>0.1103853893773899</v>
      </c>
    </row>
    <row r="2386" spans="10:12" x14ac:dyDescent="0.3">
      <c r="J2386">
        <v>2363</v>
      </c>
      <c r="K2386" s="10">
        <v>0.19985250444648861</v>
      </c>
      <c r="L2386" s="10">
        <v>0.26791111515405741</v>
      </c>
    </row>
    <row r="2387" spans="10:12" x14ac:dyDescent="0.3">
      <c r="J2387">
        <v>2364</v>
      </c>
      <c r="K2387" s="10">
        <v>0.20096149552553882</v>
      </c>
      <c r="L2387" s="10">
        <v>0.46615640375023693</v>
      </c>
    </row>
    <row r="2388" spans="10:12" x14ac:dyDescent="0.3">
      <c r="J2388">
        <v>2365</v>
      </c>
      <c r="K2388" s="10">
        <v>0.21877202596135434</v>
      </c>
      <c r="L2388" s="10">
        <v>6.3018424040577073E-2</v>
      </c>
    </row>
    <row r="2389" spans="10:12" x14ac:dyDescent="0.3">
      <c r="J2389">
        <v>2366</v>
      </c>
      <c r="K2389" s="10">
        <v>0.21269704589688768</v>
      </c>
      <c r="L2389" s="10">
        <v>0.18331307826821217</v>
      </c>
    </row>
    <row r="2390" spans="10:12" x14ac:dyDescent="0.3">
      <c r="J2390">
        <v>2367</v>
      </c>
      <c r="K2390" s="10">
        <v>0.1903992434315579</v>
      </c>
      <c r="L2390" s="10">
        <v>0.37176404844309519</v>
      </c>
    </row>
    <row r="2391" spans="10:12" x14ac:dyDescent="0.3">
      <c r="J2391">
        <v>2368</v>
      </c>
      <c r="K2391" s="10">
        <v>0.20898297459679227</v>
      </c>
      <c r="L2391" s="10">
        <v>7.7619748460762292E-2</v>
      </c>
    </row>
    <row r="2392" spans="10:12" x14ac:dyDescent="0.3">
      <c r="J2392">
        <v>2369</v>
      </c>
      <c r="K2392" s="10">
        <v>0.20324925782410014</v>
      </c>
      <c r="L2392" s="10">
        <v>0.23576406556432408</v>
      </c>
    </row>
    <row r="2393" spans="10:12" x14ac:dyDescent="0.3">
      <c r="J2393">
        <v>2370</v>
      </c>
      <c r="K2393" s="10">
        <v>0.23198371638085147</v>
      </c>
      <c r="L2393" s="10">
        <v>-3.3188235752962439E-2</v>
      </c>
    </row>
    <row r="2394" spans="10:12" x14ac:dyDescent="0.3">
      <c r="J2394">
        <v>2371</v>
      </c>
      <c r="K2394" s="10">
        <v>0.25309551417003723</v>
      </c>
      <c r="L2394" s="10">
        <v>0.11370463283027726</v>
      </c>
    </row>
    <row r="2395" spans="10:12" x14ac:dyDescent="0.3">
      <c r="J2395">
        <v>2372</v>
      </c>
      <c r="K2395" s="10">
        <v>0.19331429678488729</v>
      </c>
      <c r="L2395" s="10">
        <v>0.41016792570872179</v>
      </c>
    </row>
    <row r="2396" spans="10:12" x14ac:dyDescent="0.3">
      <c r="J2396">
        <v>2373</v>
      </c>
      <c r="K2396" s="10">
        <v>0.20685302206247483</v>
      </c>
      <c r="L2396" s="10">
        <v>0.16786347548941744</v>
      </c>
    </row>
    <row r="2397" spans="10:12" x14ac:dyDescent="0.3">
      <c r="J2397">
        <v>2374</v>
      </c>
      <c r="K2397" s="10">
        <v>0.19381673634836849</v>
      </c>
      <c r="L2397" s="10">
        <v>0.25395226422692185</v>
      </c>
    </row>
    <row r="2398" spans="10:12" x14ac:dyDescent="0.3">
      <c r="J2398">
        <v>2375</v>
      </c>
      <c r="K2398" s="10">
        <v>0.24136935085231914</v>
      </c>
      <c r="L2398" s="10">
        <v>3.1439700145364749E-2</v>
      </c>
    </row>
    <row r="2399" spans="10:12" x14ac:dyDescent="0.3">
      <c r="J2399">
        <v>2376</v>
      </c>
      <c r="K2399" s="10">
        <v>0.20888927088841514</v>
      </c>
      <c r="L2399" s="10">
        <v>0.31290307994756805</v>
      </c>
    </row>
    <row r="2400" spans="10:12" x14ac:dyDescent="0.3">
      <c r="J2400">
        <v>2377</v>
      </c>
      <c r="K2400" s="10">
        <v>0.21034079075557419</v>
      </c>
      <c r="L2400" s="10">
        <v>8.7393271097855357E-2</v>
      </c>
    </row>
    <row r="2401" spans="10:12" x14ac:dyDescent="0.3">
      <c r="J2401">
        <v>2378</v>
      </c>
      <c r="K2401" s="10">
        <v>0.27559356900255433</v>
      </c>
      <c r="L2401" s="10">
        <v>0.11611905152157923</v>
      </c>
    </row>
    <row r="2402" spans="10:12" x14ac:dyDescent="0.3">
      <c r="J2402">
        <v>2379</v>
      </c>
      <c r="K2402" s="10">
        <v>0.2075229613027752</v>
      </c>
      <c r="L2402" s="10">
        <v>0.29321283399918219</v>
      </c>
    </row>
    <row r="2403" spans="10:12" x14ac:dyDescent="0.3">
      <c r="J2403">
        <v>2380</v>
      </c>
      <c r="K2403" s="10">
        <v>0.19193208064792069</v>
      </c>
      <c r="L2403" s="10">
        <v>0.25993759725156351</v>
      </c>
    </row>
    <row r="2404" spans="10:12" x14ac:dyDescent="0.3">
      <c r="J2404">
        <v>2381</v>
      </c>
      <c r="K2404" s="10">
        <v>0.20604350598612578</v>
      </c>
      <c r="L2404" s="10">
        <v>0.12413457761508796</v>
      </c>
    </row>
    <row r="2405" spans="10:12" x14ac:dyDescent="0.3">
      <c r="J2405">
        <v>2382</v>
      </c>
      <c r="K2405" s="10">
        <v>0.19172307220279164</v>
      </c>
      <c r="L2405" s="10">
        <v>0.32095624756557656</v>
      </c>
    </row>
    <row r="2406" spans="10:12" x14ac:dyDescent="0.3">
      <c r="J2406">
        <v>2383</v>
      </c>
      <c r="K2406" s="10">
        <v>0.22040759268178861</v>
      </c>
      <c r="L2406" s="10">
        <v>7.9607388359555456E-2</v>
      </c>
    </row>
    <row r="2407" spans="10:12" x14ac:dyDescent="0.3">
      <c r="J2407">
        <v>2384</v>
      </c>
      <c r="K2407" s="10">
        <v>0.21942633964759437</v>
      </c>
      <c r="L2407" s="10">
        <v>0.58025770084055395</v>
      </c>
    </row>
    <row r="2408" spans="10:12" x14ac:dyDescent="0.3">
      <c r="J2408">
        <v>2385</v>
      </c>
      <c r="K2408" s="10">
        <v>0.24184896700989539</v>
      </c>
      <c r="L2408" s="10">
        <v>0.18940498401267689</v>
      </c>
    </row>
    <row r="2409" spans="10:12" x14ac:dyDescent="0.3">
      <c r="J2409">
        <v>2386</v>
      </c>
      <c r="K2409" s="10">
        <v>0.20826205397348072</v>
      </c>
      <c r="L2409" s="10">
        <v>0.38062437521512454</v>
      </c>
    </row>
    <row r="2410" spans="10:12" x14ac:dyDescent="0.3">
      <c r="J2410">
        <v>2387</v>
      </c>
      <c r="K2410" s="10">
        <v>0.21086776919081943</v>
      </c>
      <c r="L2410" s="10">
        <v>0.43546533241281854</v>
      </c>
    </row>
    <row r="2411" spans="10:12" x14ac:dyDescent="0.3">
      <c r="J2411">
        <v>2388</v>
      </c>
      <c r="K2411" s="10">
        <v>0.23242872181749177</v>
      </c>
      <c r="L2411" s="10">
        <v>3.6997476041631672E-2</v>
      </c>
    </row>
    <row r="2412" spans="10:12" x14ac:dyDescent="0.3">
      <c r="J2412">
        <v>2389</v>
      </c>
      <c r="K2412" s="10">
        <v>0.2089054260258521</v>
      </c>
      <c r="L2412" s="10">
        <v>0.17801647450844707</v>
      </c>
    </row>
    <row r="2413" spans="10:12" x14ac:dyDescent="0.3">
      <c r="J2413">
        <v>2390</v>
      </c>
      <c r="K2413" s="10">
        <v>0.21432339643169221</v>
      </c>
      <c r="L2413" s="10">
        <v>4.6357374918086912E-2</v>
      </c>
    </row>
    <row r="2414" spans="10:12" x14ac:dyDescent="0.3">
      <c r="J2414">
        <v>2391</v>
      </c>
      <c r="K2414" s="10">
        <v>0.26644847837897978</v>
      </c>
      <c r="L2414" s="10">
        <v>-4.7851826897240594E-2</v>
      </c>
    </row>
    <row r="2415" spans="10:12" x14ac:dyDescent="0.3">
      <c r="J2415">
        <v>2392</v>
      </c>
      <c r="K2415" s="10">
        <v>0.1956844803657114</v>
      </c>
      <c r="L2415" s="10">
        <v>0.25808681848835707</v>
      </c>
    </row>
    <row r="2416" spans="10:12" x14ac:dyDescent="0.3">
      <c r="J2416">
        <v>2393</v>
      </c>
      <c r="K2416" s="10">
        <v>0.19903771060567954</v>
      </c>
      <c r="L2416" s="10">
        <v>0.36667251928378947</v>
      </c>
    </row>
    <row r="2417" spans="10:12" x14ac:dyDescent="0.3">
      <c r="J2417">
        <v>2394</v>
      </c>
      <c r="K2417" s="10">
        <v>0.24210647790200962</v>
      </c>
      <c r="L2417" s="10">
        <v>-4.9892816745233756E-2</v>
      </c>
    </row>
    <row r="2418" spans="10:12" x14ac:dyDescent="0.3">
      <c r="J2418">
        <v>2395</v>
      </c>
      <c r="K2418" s="10">
        <v>0.24156740387292411</v>
      </c>
      <c r="L2418" s="10">
        <v>-7.5753830737407032E-2</v>
      </c>
    </row>
    <row r="2419" spans="10:12" x14ac:dyDescent="0.3">
      <c r="J2419">
        <v>2396</v>
      </c>
      <c r="K2419" s="10">
        <v>0.21241614059965716</v>
      </c>
      <c r="L2419" s="10">
        <v>0.18390075984402438</v>
      </c>
    </row>
    <row r="2420" spans="10:12" x14ac:dyDescent="0.3">
      <c r="J2420">
        <v>2397</v>
      </c>
      <c r="K2420" s="10">
        <v>0.19171031446284911</v>
      </c>
      <c r="L2420" s="10">
        <v>0.22005811827678673</v>
      </c>
    </row>
    <row r="2421" spans="10:12" x14ac:dyDescent="0.3">
      <c r="J2421">
        <v>2398</v>
      </c>
      <c r="K2421" s="10">
        <v>0.24126749075822476</v>
      </c>
      <c r="L2421" s="10">
        <v>6.1035587208980571E-2</v>
      </c>
    </row>
    <row r="2422" spans="10:12" x14ac:dyDescent="0.3">
      <c r="J2422">
        <v>2399</v>
      </c>
      <c r="K2422" s="10">
        <v>0.22168641829171357</v>
      </c>
      <c r="L2422" s="10">
        <v>0.60474970831681873</v>
      </c>
    </row>
    <row r="2423" spans="10:12" x14ac:dyDescent="0.3">
      <c r="J2423">
        <v>2400</v>
      </c>
      <c r="K2423" s="10">
        <v>0.20666503721724799</v>
      </c>
      <c r="L2423" s="10">
        <v>0.28043440407949632</v>
      </c>
    </row>
    <row r="2424" spans="10:12" x14ac:dyDescent="0.3">
      <c r="J2424">
        <v>2401</v>
      </c>
      <c r="K2424" s="10">
        <v>0.25142015806187362</v>
      </c>
      <c r="L2424" s="10">
        <v>-7.2931173970619906E-2</v>
      </c>
    </row>
    <row r="2425" spans="10:12" x14ac:dyDescent="0.3">
      <c r="J2425">
        <v>2402</v>
      </c>
      <c r="K2425" s="10">
        <v>0.20993488113762113</v>
      </c>
      <c r="L2425" s="10">
        <v>0.27240708350489962</v>
      </c>
    </row>
    <row r="2426" spans="10:12" x14ac:dyDescent="0.3">
      <c r="J2426">
        <v>2403</v>
      </c>
      <c r="K2426" s="10">
        <v>0.27455285228443932</v>
      </c>
      <c r="L2426" s="10">
        <v>0.14474745214818746</v>
      </c>
    </row>
    <row r="2427" spans="10:12" x14ac:dyDescent="0.3">
      <c r="J2427">
        <v>2404</v>
      </c>
      <c r="K2427" s="10">
        <v>0.24941675100830754</v>
      </c>
      <c r="L2427" s="10">
        <v>-6.509558701575141E-2</v>
      </c>
    </row>
    <row r="2428" spans="10:12" x14ac:dyDescent="0.3">
      <c r="J2428">
        <v>2405</v>
      </c>
      <c r="K2428" s="10">
        <v>0.22892931501157857</v>
      </c>
      <c r="L2428" s="10">
        <v>0.16639451590065268</v>
      </c>
    </row>
    <row r="2429" spans="10:12" x14ac:dyDescent="0.3">
      <c r="J2429">
        <v>2406</v>
      </c>
      <c r="K2429" s="10">
        <v>0.20407532620574675</v>
      </c>
      <c r="L2429" s="10">
        <v>0.18499054542253918</v>
      </c>
    </row>
    <row r="2430" spans="10:12" x14ac:dyDescent="0.3">
      <c r="J2430">
        <v>2407</v>
      </c>
      <c r="K2430" s="10">
        <v>0.19079307535958775</v>
      </c>
      <c r="L2430" s="10">
        <v>0.23659132356921997</v>
      </c>
    </row>
    <row r="2431" spans="10:12" x14ac:dyDescent="0.3">
      <c r="J2431">
        <v>2408</v>
      </c>
      <c r="K2431" s="10">
        <v>0.24860465705327284</v>
      </c>
      <c r="L2431" s="10">
        <v>-8.1634350064025807E-2</v>
      </c>
    </row>
    <row r="2432" spans="10:12" x14ac:dyDescent="0.3">
      <c r="J2432">
        <v>2409</v>
      </c>
      <c r="K2432" s="10">
        <v>0.19616983342413194</v>
      </c>
      <c r="L2432" s="10">
        <v>0.20749392187905213</v>
      </c>
    </row>
    <row r="2433" spans="10:12" x14ac:dyDescent="0.3">
      <c r="J2433">
        <v>2410</v>
      </c>
      <c r="K2433" s="10">
        <v>0.24431152904256864</v>
      </c>
      <c r="L2433" s="10">
        <v>-4.2692061664591593E-2</v>
      </c>
    </row>
    <row r="2434" spans="10:12" x14ac:dyDescent="0.3">
      <c r="J2434">
        <v>2411</v>
      </c>
      <c r="K2434" s="10">
        <v>0.22126666990045749</v>
      </c>
      <c r="L2434" s="10">
        <v>1.1581364543694767E-2</v>
      </c>
    </row>
    <row r="2435" spans="10:12" x14ac:dyDescent="0.3">
      <c r="J2435">
        <v>2412</v>
      </c>
      <c r="K2435" s="10">
        <v>0.24967619562357984</v>
      </c>
      <c r="L2435" s="10">
        <v>-8.3708980765278912E-2</v>
      </c>
    </row>
    <row r="2436" spans="10:12" x14ac:dyDescent="0.3">
      <c r="J2436">
        <v>2413</v>
      </c>
      <c r="K2436" s="10">
        <v>0.19036704142964672</v>
      </c>
      <c r="L2436" s="10">
        <v>0.28808384178772312</v>
      </c>
    </row>
    <row r="2437" spans="10:12" x14ac:dyDescent="0.3">
      <c r="J2437">
        <v>2414</v>
      </c>
      <c r="K2437" s="10">
        <v>0.20714955990333259</v>
      </c>
      <c r="L2437" s="10">
        <v>0.1710381109504725</v>
      </c>
    </row>
    <row r="2438" spans="10:12" x14ac:dyDescent="0.3">
      <c r="J2438">
        <v>2415</v>
      </c>
      <c r="K2438" s="10">
        <v>0.19399405968811642</v>
      </c>
      <c r="L2438" s="10">
        <v>0.34115622801234652</v>
      </c>
    </row>
    <row r="2439" spans="10:12" x14ac:dyDescent="0.3">
      <c r="J2439">
        <v>2416</v>
      </c>
      <c r="K2439" s="10">
        <v>0.21819359319386888</v>
      </c>
      <c r="L2439" s="10">
        <v>2.5604893718855819E-2</v>
      </c>
    </row>
    <row r="2440" spans="10:12" x14ac:dyDescent="0.3">
      <c r="J2440">
        <v>2417</v>
      </c>
      <c r="K2440" s="10">
        <v>0.22520186160341046</v>
      </c>
      <c r="L2440" s="10">
        <v>4.6730604053570754E-2</v>
      </c>
    </row>
    <row r="2441" spans="10:12" x14ac:dyDescent="0.3">
      <c r="J2441">
        <v>2418</v>
      </c>
      <c r="K2441" s="10">
        <v>0.22248845440782575</v>
      </c>
      <c r="L2441" s="10">
        <v>3.0243397997995594E-2</v>
      </c>
    </row>
    <row r="2442" spans="10:12" x14ac:dyDescent="0.3">
      <c r="J2442">
        <v>2419</v>
      </c>
      <c r="K2442" s="10">
        <v>0.18982828569647195</v>
      </c>
      <c r="L2442" s="10">
        <v>0.35999679336225243</v>
      </c>
    </row>
    <row r="2443" spans="10:12" x14ac:dyDescent="0.3">
      <c r="J2443">
        <v>2420</v>
      </c>
      <c r="K2443" s="10">
        <v>0.22018290513461219</v>
      </c>
      <c r="L2443" s="10">
        <v>7.3320182536861539E-2</v>
      </c>
    </row>
    <row r="2444" spans="10:12" x14ac:dyDescent="0.3">
      <c r="J2444">
        <v>2421</v>
      </c>
      <c r="K2444" s="10">
        <v>0.19907407798645907</v>
      </c>
      <c r="L2444" s="10">
        <v>0.16697426385447683</v>
      </c>
    </row>
    <row r="2445" spans="10:12" x14ac:dyDescent="0.3">
      <c r="J2445">
        <v>2422</v>
      </c>
      <c r="K2445" s="10">
        <v>0.24117123036453242</v>
      </c>
      <c r="L2445" s="10">
        <v>5.7084386205135763E-2</v>
      </c>
    </row>
    <row r="2446" spans="10:12" x14ac:dyDescent="0.3">
      <c r="J2446">
        <v>2423</v>
      </c>
      <c r="K2446" s="10">
        <v>0.23759662826076117</v>
      </c>
      <c r="L2446" s="10">
        <v>-4.7844800867175033E-2</v>
      </c>
    </row>
    <row r="2447" spans="10:12" x14ac:dyDescent="0.3">
      <c r="J2447">
        <v>2424</v>
      </c>
      <c r="K2447" s="10">
        <v>0.23639814434337356</v>
      </c>
      <c r="L2447" s="10">
        <v>0.24041479945521665</v>
      </c>
    </row>
    <row r="2448" spans="10:12" x14ac:dyDescent="0.3">
      <c r="J2448">
        <v>2425</v>
      </c>
      <c r="K2448" s="10">
        <v>0.20681881899246082</v>
      </c>
      <c r="L2448" s="10">
        <v>0.45586543677079</v>
      </c>
    </row>
    <row r="2449" spans="10:12" x14ac:dyDescent="0.3">
      <c r="J2449">
        <v>2426</v>
      </c>
      <c r="K2449" s="10">
        <v>0.19631409065233538</v>
      </c>
      <c r="L2449" s="10">
        <v>0.38456090143315375</v>
      </c>
    </row>
    <row r="2450" spans="10:12" x14ac:dyDescent="0.3">
      <c r="J2450">
        <v>2427</v>
      </c>
      <c r="K2450" s="10">
        <v>0.21975339538717192</v>
      </c>
      <c r="L2450" s="10">
        <v>1.945227442875784E-2</v>
      </c>
    </row>
    <row r="2451" spans="10:12" x14ac:dyDescent="0.3">
      <c r="J2451">
        <v>2428</v>
      </c>
      <c r="K2451" s="10">
        <v>0.19412369859288237</v>
      </c>
      <c r="L2451" s="10">
        <v>0.21979470081637795</v>
      </c>
    </row>
    <row r="2452" spans="10:12" x14ac:dyDescent="0.3">
      <c r="J2452">
        <v>2429</v>
      </c>
      <c r="K2452" s="10">
        <v>0.26269261293655771</v>
      </c>
      <c r="L2452" s="10">
        <v>5.2208176972015921E-2</v>
      </c>
    </row>
    <row r="2453" spans="10:12" x14ac:dyDescent="0.3">
      <c r="J2453">
        <v>2430</v>
      </c>
      <c r="K2453" s="10">
        <v>0.20559111943061892</v>
      </c>
      <c r="L2453" s="10">
        <v>0.3891111338202477</v>
      </c>
    </row>
    <row r="2454" spans="10:12" x14ac:dyDescent="0.3">
      <c r="J2454">
        <v>2431</v>
      </c>
      <c r="K2454" s="10">
        <v>0.20268787751484843</v>
      </c>
      <c r="L2454" s="10">
        <v>0.17904582907004157</v>
      </c>
    </row>
    <row r="2455" spans="10:12" x14ac:dyDescent="0.3">
      <c r="J2455">
        <v>2432</v>
      </c>
      <c r="K2455" s="10">
        <v>0.21906765342200549</v>
      </c>
      <c r="L2455" s="10">
        <v>0.40490814612147347</v>
      </c>
    </row>
    <row r="2456" spans="10:12" x14ac:dyDescent="0.3">
      <c r="J2456">
        <v>2433</v>
      </c>
      <c r="K2456" s="10">
        <v>0.25486381589766066</v>
      </c>
      <c r="L2456" s="10">
        <v>8.8220141797184584E-3</v>
      </c>
    </row>
    <row r="2457" spans="10:12" x14ac:dyDescent="0.3">
      <c r="J2457">
        <v>2434</v>
      </c>
      <c r="K2457" s="10">
        <v>0.2095836235047682</v>
      </c>
      <c r="L2457" s="10">
        <v>0.44728394588662063</v>
      </c>
    </row>
    <row r="2458" spans="10:12" x14ac:dyDescent="0.3">
      <c r="J2458">
        <v>2435</v>
      </c>
      <c r="K2458" s="10">
        <v>0.21362439536556929</v>
      </c>
      <c r="L2458" s="10">
        <v>0.16689761007272705</v>
      </c>
    </row>
    <row r="2459" spans="10:12" x14ac:dyDescent="0.3">
      <c r="J2459">
        <v>2436</v>
      </c>
      <c r="K2459" s="10">
        <v>0.20327413764055716</v>
      </c>
      <c r="L2459" s="10">
        <v>0.49271058741653778</v>
      </c>
    </row>
    <row r="2460" spans="10:12" x14ac:dyDescent="0.3">
      <c r="J2460">
        <v>2437</v>
      </c>
      <c r="K2460" s="10">
        <v>0.22046726890205168</v>
      </c>
      <c r="L2460" s="10">
        <v>0.34159187257194329</v>
      </c>
    </row>
    <row r="2461" spans="10:12" x14ac:dyDescent="0.3">
      <c r="J2461">
        <v>2438</v>
      </c>
      <c r="K2461" s="10">
        <v>0.25293910551194509</v>
      </c>
      <c r="L2461" s="10">
        <v>-9.2581181034571663E-2</v>
      </c>
    </row>
    <row r="2462" spans="10:12" x14ac:dyDescent="0.3">
      <c r="J2462">
        <v>2439</v>
      </c>
      <c r="K2462" s="10">
        <v>0.25668990735570091</v>
      </c>
      <c r="L2462" s="10">
        <v>0.22876031656550869</v>
      </c>
    </row>
    <row r="2463" spans="10:12" x14ac:dyDescent="0.3">
      <c r="J2463">
        <v>2440</v>
      </c>
      <c r="K2463" s="10">
        <v>0.2124762505019353</v>
      </c>
      <c r="L2463" s="10">
        <v>0.33903440072822977</v>
      </c>
    </row>
    <row r="2464" spans="10:12" x14ac:dyDescent="0.3">
      <c r="J2464">
        <v>2441</v>
      </c>
      <c r="K2464" s="10">
        <v>0.19955209496724491</v>
      </c>
      <c r="L2464" s="10">
        <v>0.26487538750478501</v>
      </c>
    </row>
    <row r="2465" spans="10:12" x14ac:dyDescent="0.3">
      <c r="J2465">
        <v>2442</v>
      </c>
      <c r="K2465" s="10">
        <v>0.25131923966571412</v>
      </c>
      <c r="L2465" s="10">
        <v>-3.8243690458918275E-2</v>
      </c>
    </row>
    <row r="2466" spans="10:12" x14ac:dyDescent="0.3">
      <c r="J2466">
        <v>2443</v>
      </c>
      <c r="K2466" s="10">
        <v>0.20228281066316892</v>
      </c>
      <c r="L2466" s="10">
        <v>0.27486916008879408</v>
      </c>
    </row>
    <row r="2467" spans="10:12" x14ac:dyDescent="0.3">
      <c r="J2467">
        <v>2444</v>
      </c>
      <c r="K2467" s="10">
        <v>0.22968406922587548</v>
      </c>
      <c r="L2467" s="10">
        <v>3.5053494653407229E-2</v>
      </c>
    </row>
    <row r="2468" spans="10:12" x14ac:dyDescent="0.3">
      <c r="J2468">
        <v>2445</v>
      </c>
      <c r="K2468" s="10">
        <v>0.25407651349757976</v>
      </c>
      <c r="L2468" s="10">
        <v>2.999684494637234E-2</v>
      </c>
    </row>
    <row r="2469" spans="10:12" x14ac:dyDescent="0.3">
      <c r="J2469">
        <v>2446</v>
      </c>
      <c r="K2469" s="10">
        <v>0.21364769612180612</v>
      </c>
      <c r="L2469" s="10">
        <v>5.9332053325415655E-2</v>
      </c>
    </row>
    <row r="2470" spans="10:12" x14ac:dyDescent="0.3">
      <c r="J2470">
        <v>2447</v>
      </c>
      <c r="K2470" s="10">
        <v>0.22048661814660811</v>
      </c>
      <c r="L2470" s="10">
        <v>0.26379770438762318</v>
      </c>
    </row>
    <row r="2471" spans="10:12" x14ac:dyDescent="0.3">
      <c r="J2471">
        <v>2448</v>
      </c>
      <c r="K2471" s="10">
        <v>0.21585618804331888</v>
      </c>
      <c r="L2471" s="10">
        <v>0.51194104916855898</v>
      </c>
    </row>
    <row r="2472" spans="10:12" x14ac:dyDescent="0.3">
      <c r="J2472">
        <v>2449</v>
      </c>
      <c r="K2472" s="10">
        <v>0.21031304711618462</v>
      </c>
      <c r="L2472" s="10">
        <v>0.21201915263368759</v>
      </c>
    </row>
    <row r="2473" spans="10:12" x14ac:dyDescent="0.3">
      <c r="J2473">
        <v>2450</v>
      </c>
      <c r="K2473" s="10">
        <v>0.22631420561962015</v>
      </c>
      <c r="L2473" s="10">
        <v>0.16672844405580195</v>
      </c>
    </row>
    <row r="2474" spans="10:12" x14ac:dyDescent="0.3">
      <c r="J2474">
        <v>2451</v>
      </c>
      <c r="K2474" s="10">
        <v>0.1918599906515159</v>
      </c>
      <c r="L2474" s="10">
        <v>0.30785463118646678</v>
      </c>
    </row>
    <row r="2475" spans="10:12" x14ac:dyDescent="0.3">
      <c r="J2475">
        <v>2452</v>
      </c>
      <c r="K2475" s="10">
        <v>0.19971298905834006</v>
      </c>
      <c r="L2475" s="10">
        <v>0.17203619254801086</v>
      </c>
    </row>
    <row r="2476" spans="10:12" x14ac:dyDescent="0.3">
      <c r="J2476">
        <v>2453</v>
      </c>
      <c r="K2476" s="10">
        <v>0.21824748657611487</v>
      </c>
      <c r="L2476" s="10">
        <v>0.18262272123512874</v>
      </c>
    </row>
    <row r="2477" spans="10:12" x14ac:dyDescent="0.3">
      <c r="J2477">
        <v>2454</v>
      </c>
      <c r="K2477" s="10">
        <v>0.21248540032983082</v>
      </c>
      <c r="L2477" s="10">
        <v>0.50932497251334474</v>
      </c>
    </row>
    <row r="2478" spans="10:12" x14ac:dyDescent="0.3">
      <c r="J2478">
        <v>2455</v>
      </c>
      <c r="K2478" s="10">
        <v>0.21155425618438034</v>
      </c>
      <c r="L2478" s="10">
        <v>0.28858229414699016</v>
      </c>
    </row>
    <row r="2479" spans="10:12" x14ac:dyDescent="0.3">
      <c r="J2479">
        <v>2456</v>
      </c>
      <c r="K2479" s="10">
        <v>0.21177256473688308</v>
      </c>
      <c r="L2479" s="10">
        <v>6.4211980251518946E-2</v>
      </c>
    </row>
    <row r="2480" spans="10:12" x14ac:dyDescent="0.3">
      <c r="J2480">
        <v>2457</v>
      </c>
      <c r="K2480" s="10">
        <v>0.23052877983180631</v>
      </c>
      <c r="L2480" s="10">
        <v>0.35689495871320248</v>
      </c>
    </row>
    <row r="2481" spans="10:12" x14ac:dyDescent="0.3">
      <c r="J2481">
        <v>2458</v>
      </c>
      <c r="K2481" s="10">
        <v>0.20722343531675488</v>
      </c>
      <c r="L2481" s="10">
        <v>0.21878607316200249</v>
      </c>
    </row>
    <row r="2482" spans="10:12" x14ac:dyDescent="0.3">
      <c r="J2482">
        <v>2459</v>
      </c>
      <c r="K2482" s="10">
        <v>0.23029377892692854</v>
      </c>
      <c r="L2482" s="10">
        <v>-1.8616225169474712E-2</v>
      </c>
    </row>
    <row r="2483" spans="10:12" x14ac:dyDescent="0.3">
      <c r="J2483">
        <v>2460</v>
      </c>
      <c r="K2483" s="10">
        <v>0.19714267787800935</v>
      </c>
      <c r="L2483" s="10">
        <v>0.25012052021229941</v>
      </c>
    </row>
    <row r="2484" spans="10:12" x14ac:dyDescent="0.3">
      <c r="J2484">
        <v>2461</v>
      </c>
      <c r="K2484" s="10">
        <v>0.2188279777265261</v>
      </c>
      <c r="L2484" s="10">
        <v>0.12981911468349527</v>
      </c>
    </row>
    <row r="2485" spans="10:12" x14ac:dyDescent="0.3">
      <c r="J2485">
        <v>2462</v>
      </c>
      <c r="K2485" s="10">
        <v>0.22353235035713911</v>
      </c>
      <c r="L2485" s="10">
        <v>0.61483355300664522</v>
      </c>
    </row>
    <row r="2486" spans="10:12" x14ac:dyDescent="0.3">
      <c r="J2486">
        <v>2463</v>
      </c>
      <c r="K2486" s="10">
        <v>0.19892635927505803</v>
      </c>
      <c r="L2486" s="10">
        <v>0.42895250261427825</v>
      </c>
    </row>
    <row r="2487" spans="10:12" x14ac:dyDescent="0.3">
      <c r="J2487">
        <v>2464</v>
      </c>
      <c r="K2487" s="10">
        <v>0.20267637886492773</v>
      </c>
      <c r="L2487" s="10">
        <v>0.49232767121139526</v>
      </c>
    </row>
    <row r="2488" spans="10:12" x14ac:dyDescent="0.3">
      <c r="J2488">
        <v>2465</v>
      </c>
      <c r="K2488" s="10">
        <v>0.19412389845715491</v>
      </c>
      <c r="L2488" s="10">
        <v>0.4243034330904743</v>
      </c>
    </row>
    <row r="2489" spans="10:12" x14ac:dyDescent="0.3">
      <c r="J2489">
        <v>2466</v>
      </c>
      <c r="K2489" s="10">
        <v>0.1932242182826826</v>
      </c>
      <c r="L2489" s="10">
        <v>0.22492846166370811</v>
      </c>
    </row>
    <row r="2490" spans="10:12" x14ac:dyDescent="0.3">
      <c r="J2490">
        <v>2467</v>
      </c>
      <c r="K2490" s="10">
        <v>0.18950603604791219</v>
      </c>
      <c r="L2490" s="10">
        <v>0.26828236655389254</v>
      </c>
    </row>
    <row r="2491" spans="10:12" x14ac:dyDescent="0.3">
      <c r="J2491">
        <v>2468</v>
      </c>
      <c r="K2491" s="10">
        <v>0.24759271113621259</v>
      </c>
      <c r="L2491" s="10">
        <v>-2.8861810082395724E-2</v>
      </c>
    </row>
    <row r="2492" spans="10:12" x14ac:dyDescent="0.3">
      <c r="J2492">
        <v>2469</v>
      </c>
      <c r="K2492" s="10">
        <v>0.22627923304026451</v>
      </c>
      <c r="L2492" s="10">
        <v>-4.3697860469114544E-3</v>
      </c>
    </row>
    <row r="2493" spans="10:12" x14ac:dyDescent="0.3">
      <c r="J2493">
        <v>2470</v>
      </c>
      <c r="K2493" s="10">
        <v>0.22698824890552441</v>
      </c>
      <c r="L2493" s="10">
        <v>-1.6157682701568796E-3</v>
      </c>
    </row>
    <row r="2494" spans="10:12" x14ac:dyDescent="0.3">
      <c r="J2494">
        <v>2471</v>
      </c>
      <c r="K2494" s="10">
        <v>0.19246629696481313</v>
      </c>
      <c r="L2494" s="10">
        <v>0.21745824054110158</v>
      </c>
    </row>
    <row r="2495" spans="10:12" x14ac:dyDescent="0.3">
      <c r="J2495">
        <v>2472</v>
      </c>
      <c r="K2495" s="10">
        <v>0.19623513277212262</v>
      </c>
      <c r="L2495" s="10">
        <v>0.23589370840974755</v>
      </c>
    </row>
    <row r="2496" spans="10:12" x14ac:dyDescent="0.3">
      <c r="J2496">
        <v>2473</v>
      </c>
      <c r="K2496" s="10">
        <v>0.19502833617337315</v>
      </c>
      <c r="L2496" s="10">
        <v>0.22150153050092991</v>
      </c>
    </row>
    <row r="2497" spans="10:12" x14ac:dyDescent="0.3">
      <c r="J2497">
        <v>2474</v>
      </c>
      <c r="K2497" s="10">
        <v>0.2050396651808033</v>
      </c>
      <c r="L2497" s="10">
        <v>0.12574244892341949</v>
      </c>
    </row>
    <row r="2498" spans="10:12" x14ac:dyDescent="0.3">
      <c r="J2498">
        <v>2475</v>
      </c>
      <c r="K2498" s="10">
        <v>0.22207364646853617</v>
      </c>
      <c r="L2498" s="10">
        <v>0.47287616133298394</v>
      </c>
    </row>
    <row r="2499" spans="10:12" x14ac:dyDescent="0.3">
      <c r="J2499">
        <v>2476</v>
      </c>
      <c r="K2499" s="10">
        <v>0.20420679550773227</v>
      </c>
      <c r="L2499" s="10">
        <v>0.11486427688411174</v>
      </c>
    </row>
    <row r="2500" spans="10:12" x14ac:dyDescent="0.3">
      <c r="J2500">
        <v>2477</v>
      </c>
      <c r="K2500" s="10">
        <v>0.25106977952503173</v>
      </c>
      <c r="L2500" s="10">
        <v>-2.4391820358213821E-2</v>
      </c>
    </row>
    <row r="2501" spans="10:12" x14ac:dyDescent="0.3">
      <c r="J2501">
        <v>2478</v>
      </c>
      <c r="K2501" s="10">
        <v>0.19964602663671258</v>
      </c>
      <c r="L2501" s="10">
        <v>0.17687227811951592</v>
      </c>
    </row>
    <row r="2502" spans="10:12" x14ac:dyDescent="0.3">
      <c r="J2502">
        <v>2479</v>
      </c>
      <c r="K2502" s="10">
        <v>0.19900551459719665</v>
      </c>
      <c r="L2502" s="10">
        <v>0.40363335940943601</v>
      </c>
    </row>
    <row r="2503" spans="10:12" x14ac:dyDescent="0.3">
      <c r="J2503">
        <v>2480</v>
      </c>
      <c r="K2503" s="10">
        <v>0.2104993275994857</v>
      </c>
      <c r="L2503" s="10">
        <v>0.11995364815196702</v>
      </c>
    </row>
    <row r="2504" spans="10:12" x14ac:dyDescent="0.3">
      <c r="J2504">
        <v>2481</v>
      </c>
      <c r="K2504" s="10">
        <v>0.20139114589253398</v>
      </c>
      <c r="L2504" s="10">
        <v>0.31860446663151865</v>
      </c>
    </row>
    <row r="2505" spans="10:12" x14ac:dyDescent="0.3">
      <c r="J2505">
        <v>2482</v>
      </c>
      <c r="K2505" s="10">
        <v>0.19262217383139096</v>
      </c>
      <c r="L2505" s="10">
        <v>0.38582781518863063</v>
      </c>
    </row>
    <row r="2506" spans="10:12" x14ac:dyDescent="0.3">
      <c r="J2506">
        <v>2483</v>
      </c>
      <c r="K2506" s="10">
        <v>0.19524747962301903</v>
      </c>
      <c r="L2506" s="10">
        <v>0.20594981795675874</v>
      </c>
    </row>
    <row r="2507" spans="10:12" x14ac:dyDescent="0.3">
      <c r="J2507">
        <v>2484</v>
      </c>
      <c r="K2507" s="10">
        <v>0.20168697893744467</v>
      </c>
      <c r="L2507" s="10">
        <v>0.30070833557034132</v>
      </c>
    </row>
    <row r="2508" spans="10:12" x14ac:dyDescent="0.3">
      <c r="J2508">
        <v>2485</v>
      </c>
      <c r="K2508" s="10">
        <v>0.26353111885036307</v>
      </c>
      <c r="L2508" s="10">
        <v>-6.0497117380740928E-2</v>
      </c>
    </row>
    <row r="2509" spans="10:12" x14ac:dyDescent="0.3">
      <c r="J2509">
        <v>2486</v>
      </c>
      <c r="K2509" s="10">
        <v>0.22816399401440474</v>
      </c>
      <c r="L2509" s="10">
        <v>0.15552630547504528</v>
      </c>
    </row>
    <row r="2510" spans="10:12" x14ac:dyDescent="0.3">
      <c r="J2510">
        <v>2487</v>
      </c>
      <c r="K2510" s="10">
        <v>0.22393261654072166</v>
      </c>
      <c r="L2510" s="10">
        <v>8.4997310536521209E-2</v>
      </c>
    </row>
    <row r="2511" spans="10:12" x14ac:dyDescent="0.3">
      <c r="J2511">
        <v>2488</v>
      </c>
      <c r="K2511" s="10">
        <v>0.20203131039020897</v>
      </c>
      <c r="L2511" s="10">
        <v>0.44864711587741252</v>
      </c>
    </row>
    <row r="2512" spans="10:12" x14ac:dyDescent="0.3">
      <c r="J2512">
        <v>2489</v>
      </c>
      <c r="K2512" s="10">
        <v>0.21258585494968266</v>
      </c>
      <c r="L2512" s="10">
        <v>0.12497459368187448</v>
      </c>
    </row>
    <row r="2513" spans="10:12" x14ac:dyDescent="0.3">
      <c r="J2513">
        <v>2490</v>
      </c>
      <c r="K2513" s="10">
        <v>0.19800166177278605</v>
      </c>
      <c r="L2513" s="10">
        <v>0.24184143066575231</v>
      </c>
    </row>
    <row r="2514" spans="10:12" x14ac:dyDescent="0.3">
      <c r="J2514">
        <v>2491</v>
      </c>
      <c r="K2514" s="10">
        <v>0.21268783152544771</v>
      </c>
      <c r="L2514" s="10">
        <v>0.10492351726333729</v>
      </c>
    </row>
    <row r="2515" spans="10:12" x14ac:dyDescent="0.3">
      <c r="J2515">
        <v>2492</v>
      </c>
      <c r="K2515" s="10">
        <v>0.22711390030210282</v>
      </c>
      <c r="L2515" s="10">
        <v>-3.7425050814613933E-3</v>
      </c>
    </row>
    <row r="2516" spans="10:12" x14ac:dyDescent="0.3">
      <c r="J2516">
        <v>2493</v>
      </c>
      <c r="K2516" s="10">
        <v>0.27198207235697713</v>
      </c>
      <c r="L2516" s="10">
        <v>6.2369999053403069E-2</v>
      </c>
    </row>
    <row r="2517" spans="10:12" x14ac:dyDescent="0.3">
      <c r="J2517">
        <v>2494</v>
      </c>
      <c r="K2517" s="10">
        <v>0.22278365349011067</v>
      </c>
      <c r="L2517" s="10">
        <v>0.11057983804609284</v>
      </c>
    </row>
    <row r="2518" spans="10:12" x14ac:dyDescent="0.3">
      <c r="J2518">
        <v>2495</v>
      </c>
      <c r="K2518" s="10">
        <v>0.20681277870680978</v>
      </c>
      <c r="L2518" s="10">
        <v>9.097318838123028E-2</v>
      </c>
    </row>
    <row r="2519" spans="10:12" x14ac:dyDescent="0.3">
      <c r="J2519">
        <v>2496</v>
      </c>
      <c r="K2519" s="10">
        <v>0.19703995406831853</v>
      </c>
      <c r="L2519" s="10">
        <v>0.23194287041214956</v>
      </c>
    </row>
    <row r="2520" spans="10:12" x14ac:dyDescent="0.3">
      <c r="J2520">
        <v>2497</v>
      </c>
      <c r="K2520" s="10">
        <v>0.21824421393434032</v>
      </c>
      <c r="L2520" s="10">
        <v>5.7354256930902611E-2</v>
      </c>
    </row>
    <row r="2521" spans="10:12" x14ac:dyDescent="0.3">
      <c r="J2521">
        <v>2498</v>
      </c>
      <c r="K2521" s="10">
        <v>0.21684217508625084</v>
      </c>
      <c r="L2521" s="10">
        <v>0.56749666455464898</v>
      </c>
    </row>
    <row r="2522" spans="10:12" x14ac:dyDescent="0.3">
      <c r="J2522">
        <v>2499</v>
      </c>
      <c r="K2522" s="10">
        <v>0.23972011132808141</v>
      </c>
      <c r="L2522" s="10">
        <v>0.2986887641399239</v>
      </c>
    </row>
    <row r="2523" spans="10:12" x14ac:dyDescent="0.3">
      <c r="J2523">
        <v>2500</v>
      </c>
      <c r="K2523" s="10">
        <v>0.19804372815070678</v>
      </c>
      <c r="L2523" s="10">
        <v>0.34370339799590527</v>
      </c>
    </row>
    <row r="2524" spans="10:12" x14ac:dyDescent="0.3">
      <c r="J2524">
        <v>2501</v>
      </c>
      <c r="K2524" s="10">
        <v>0.2384953326406942</v>
      </c>
      <c r="L2524" s="10">
        <v>0.11026268181560804</v>
      </c>
    </row>
    <row r="2525" spans="10:12" x14ac:dyDescent="0.3">
      <c r="J2525">
        <v>2502</v>
      </c>
      <c r="K2525" s="10">
        <v>0.19625643735254605</v>
      </c>
      <c r="L2525" s="10">
        <v>0.16877932517020208</v>
      </c>
    </row>
    <row r="2526" spans="10:12" x14ac:dyDescent="0.3">
      <c r="J2526">
        <v>2503</v>
      </c>
      <c r="K2526" s="10">
        <v>0.20059172585005905</v>
      </c>
      <c r="L2526" s="10">
        <v>0.13236851561373583</v>
      </c>
    </row>
    <row r="2527" spans="10:12" x14ac:dyDescent="0.3">
      <c r="J2527">
        <v>2504</v>
      </c>
      <c r="K2527" s="10">
        <v>0.22092597877420264</v>
      </c>
      <c r="L2527" s="10">
        <v>2.4767369843400479E-2</v>
      </c>
    </row>
    <row r="2528" spans="10:12" x14ac:dyDescent="0.3">
      <c r="J2528">
        <v>2505</v>
      </c>
      <c r="K2528" s="10">
        <v>0.24278507165458826</v>
      </c>
      <c r="L2528" s="10">
        <v>5.2795807731587777E-2</v>
      </c>
    </row>
    <row r="2529" spans="10:12" x14ac:dyDescent="0.3">
      <c r="J2529">
        <v>2506</v>
      </c>
      <c r="K2529" s="10">
        <v>0.23839651171796813</v>
      </c>
      <c r="L2529" s="10">
        <v>-1.4987189038077331E-2</v>
      </c>
    </row>
    <row r="2530" spans="10:12" x14ac:dyDescent="0.3">
      <c r="J2530">
        <v>2507</v>
      </c>
      <c r="K2530" s="10">
        <v>0.24234978776095817</v>
      </c>
      <c r="L2530" s="10">
        <v>-8.0005782288221666E-2</v>
      </c>
    </row>
    <row r="2531" spans="10:12" x14ac:dyDescent="0.3">
      <c r="J2531">
        <v>2508</v>
      </c>
      <c r="K2531" s="10">
        <v>0.20314687138116155</v>
      </c>
      <c r="L2531" s="10">
        <v>0.22813101184310902</v>
      </c>
    </row>
    <row r="2532" spans="10:12" x14ac:dyDescent="0.3">
      <c r="J2532">
        <v>2509</v>
      </c>
      <c r="K2532" s="10">
        <v>0.21794180992285953</v>
      </c>
      <c r="L2532" s="10">
        <v>0.32306837993355703</v>
      </c>
    </row>
    <row r="2533" spans="10:12" x14ac:dyDescent="0.3">
      <c r="J2533">
        <v>2510</v>
      </c>
      <c r="K2533" s="10">
        <v>0.20103767961964608</v>
      </c>
      <c r="L2533" s="10">
        <v>0.2116521795725749</v>
      </c>
    </row>
    <row r="2534" spans="10:12" x14ac:dyDescent="0.3">
      <c r="J2534">
        <v>2511</v>
      </c>
      <c r="K2534" s="10">
        <v>0.19139410602175702</v>
      </c>
      <c r="L2534" s="10">
        <v>0.27393891809206661</v>
      </c>
    </row>
    <row r="2535" spans="10:12" x14ac:dyDescent="0.3">
      <c r="J2535">
        <v>2512</v>
      </c>
      <c r="K2535" s="10">
        <v>0.26791238535804934</v>
      </c>
      <c r="L2535" s="10">
        <v>0.79437937995523134</v>
      </c>
    </row>
    <row r="2536" spans="10:12" x14ac:dyDescent="0.3">
      <c r="J2536">
        <v>2513</v>
      </c>
      <c r="K2536" s="10">
        <v>0.19509300006225058</v>
      </c>
      <c r="L2536" s="10">
        <v>0.27582612094532871</v>
      </c>
    </row>
    <row r="2537" spans="10:12" x14ac:dyDescent="0.3">
      <c r="J2537">
        <v>2514</v>
      </c>
      <c r="K2537" s="10">
        <v>0.25389475260331595</v>
      </c>
      <c r="L2537" s="10">
        <v>0.73276750882563901</v>
      </c>
    </row>
    <row r="2538" spans="10:12" x14ac:dyDescent="0.3">
      <c r="J2538">
        <v>2515</v>
      </c>
      <c r="K2538" s="10">
        <v>0.20417481485741246</v>
      </c>
      <c r="L2538" s="10">
        <v>0.49390906889945702</v>
      </c>
    </row>
    <row r="2539" spans="10:12" x14ac:dyDescent="0.3">
      <c r="J2539">
        <v>2516</v>
      </c>
      <c r="K2539" s="10">
        <v>0.23310257331973455</v>
      </c>
      <c r="L2539" s="10">
        <v>-4.4029220108258604E-2</v>
      </c>
    </row>
    <row r="2540" spans="10:12" x14ac:dyDescent="0.3">
      <c r="J2540">
        <v>2517</v>
      </c>
      <c r="K2540" s="10">
        <v>0.2495949421324748</v>
      </c>
      <c r="L2540" s="10">
        <v>-5.4802168558478498E-2</v>
      </c>
    </row>
    <row r="2541" spans="10:12" x14ac:dyDescent="0.3">
      <c r="J2541">
        <v>2518</v>
      </c>
      <c r="K2541" s="10">
        <v>0.23322108180446779</v>
      </c>
      <c r="L2541" s="10">
        <v>0.10977610548247944</v>
      </c>
    </row>
    <row r="2542" spans="10:12" x14ac:dyDescent="0.3">
      <c r="J2542">
        <v>2519</v>
      </c>
      <c r="K2542" s="10">
        <v>0.21534611391091402</v>
      </c>
      <c r="L2542" s="10">
        <v>6.1909445283018394E-2</v>
      </c>
    </row>
    <row r="2543" spans="10:12" x14ac:dyDescent="0.3">
      <c r="J2543">
        <v>2520</v>
      </c>
      <c r="K2543" s="10">
        <v>0.20194228455881186</v>
      </c>
      <c r="L2543" s="10">
        <v>0.13345523447698859</v>
      </c>
    </row>
    <row r="2544" spans="10:12" x14ac:dyDescent="0.3">
      <c r="J2544">
        <v>2521</v>
      </c>
      <c r="K2544" s="10">
        <v>0.2091408338843723</v>
      </c>
      <c r="L2544" s="10">
        <v>0.53812241678381767</v>
      </c>
    </row>
    <row r="2545" spans="10:12" x14ac:dyDescent="0.3">
      <c r="J2545">
        <v>2522</v>
      </c>
      <c r="K2545" s="10">
        <v>0.19395247448921824</v>
      </c>
      <c r="L2545" s="10">
        <v>0.42196750721170395</v>
      </c>
    </row>
    <row r="2546" spans="10:12" x14ac:dyDescent="0.3">
      <c r="J2546">
        <v>2523</v>
      </c>
      <c r="K2546" s="10">
        <v>0.23502153804103768</v>
      </c>
      <c r="L2546" s="10">
        <v>0.62438290934838792</v>
      </c>
    </row>
    <row r="2547" spans="10:12" x14ac:dyDescent="0.3">
      <c r="J2547">
        <v>2524</v>
      </c>
      <c r="K2547" s="10">
        <v>0.19003826141773822</v>
      </c>
      <c r="L2547" s="10">
        <v>0.25952063075128362</v>
      </c>
    </row>
    <row r="2548" spans="10:12" x14ac:dyDescent="0.3">
      <c r="J2548">
        <v>2525</v>
      </c>
      <c r="K2548" s="10">
        <v>0.22264942848726996</v>
      </c>
      <c r="L2548" s="10">
        <v>0.13094094528540595</v>
      </c>
    </row>
    <row r="2549" spans="10:12" x14ac:dyDescent="0.3">
      <c r="J2549">
        <v>2526</v>
      </c>
      <c r="K2549" s="10">
        <v>0.2115093837661145</v>
      </c>
      <c r="L2549" s="10">
        <v>0.26564192296696204</v>
      </c>
    </row>
    <row r="2550" spans="10:12" x14ac:dyDescent="0.3">
      <c r="J2550">
        <v>2527</v>
      </c>
      <c r="K2550" s="10">
        <v>0.22649203893928926</v>
      </c>
      <c r="L2550" s="10">
        <v>0.10465585844741944</v>
      </c>
    </row>
    <row r="2551" spans="10:12" x14ac:dyDescent="0.3">
      <c r="J2551">
        <v>2528</v>
      </c>
      <c r="K2551" s="10">
        <v>0.22212629654344834</v>
      </c>
      <c r="L2551" s="10">
        <v>1.3201870395632961E-2</v>
      </c>
    </row>
    <row r="2552" spans="10:12" x14ac:dyDescent="0.3">
      <c r="J2552">
        <v>2529</v>
      </c>
      <c r="K2552" s="10">
        <v>0.23314659095673018</v>
      </c>
      <c r="L2552" s="10">
        <v>0.2607276558782825</v>
      </c>
    </row>
    <row r="2553" spans="10:12" x14ac:dyDescent="0.3">
      <c r="J2553">
        <v>2530</v>
      </c>
      <c r="K2553" s="10">
        <v>0.21013126959775583</v>
      </c>
      <c r="L2553" s="10">
        <v>0.27960521380984643</v>
      </c>
    </row>
    <row r="2554" spans="10:12" x14ac:dyDescent="0.3">
      <c r="J2554">
        <v>2531</v>
      </c>
      <c r="K2554" s="10">
        <v>0.28618116526236287</v>
      </c>
      <c r="L2554" s="10">
        <v>0.10092596888310341</v>
      </c>
    </row>
    <row r="2555" spans="10:12" x14ac:dyDescent="0.3">
      <c r="J2555">
        <v>2532</v>
      </c>
      <c r="K2555" s="10">
        <v>0.19481989111507228</v>
      </c>
      <c r="L2555" s="10">
        <v>0.18317451501262155</v>
      </c>
    </row>
    <row r="2556" spans="10:12" x14ac:dyDescent="0.3">
      <c r="J2556">
        <v>2533</v>
      </c>
      <c r="K2556" s="10">
        <v>0.20878176662494238</v>
      </c>
      <c r="L2556" s="10">
        <v>0.24934621131388943</v>
      </c>
    </row>
    <row r="2557" spans="10:12" x14ac:dyDescent="0.3">
      <c r="J2557">
        <v>2534</v>
      </c>
      <c r="K2557" s="10">
        <v>0.19784506790703557</v>
      </c>
      <c r="L2557" s="10">
        <v>0.4309516273990609</v>
      </c>
    </row>
    <row r="2558" spans="10:12" x14ac:dyDescent="0.3">
      <c r="J2558">
        <v>2535</v>
      </c>
      <c r="K2558" s="10">
        <v>0.20625601785732262</v>
      </c>
      <c r="L2558" s="10">
        <v>0.26474819122056786</v>
      </c>
    </row>
    <row r="2559" spans="10:12" x14ac:dyDescent="0.3">
      <c r="J2559">
        <v>2536</v>
      </c>
      <c r="K2559" s="10">
        <v>0.21516880010743814</v>
      </c>
      <c r="L2559" s="10">
        <v>4.2445107004173886E-2</v>
      </c>
    </row>
    <row r="2560" spans="10:12" x14ac:dyDescent="0.3">
      <c r="J2560">
        <v>2537</v>
      </c>
      <c r="K2560" s="10">
        <v>0.23035622973950803</v>
      </c>
      <c r="L2560" s="10">
        <v>0.64674309352898396</v>
      </c>
    </row>
    <row r="2561" spans="10:12" x14ac:dyDescent="0.3">
      <c r="J2561">
        <v>2538</v>
      </c>
      <c r="K2561" s="10">
        <v>0.32773452524833152</v>
      </c>
      <c r="L2561" s="10">
        <v>-8.0125950843795965E-2</v>
      </c>
    </row>
    <row r="2562" spans="10:12" x14ac:dyDescent="0.3">
      <c r="J2562">
        <v>2539</v>
      </c>
      <c r="K2562" s="10">
        <v>0.19976849452335826</v>
      </c>
      <c r="L2562" s="10">
        <v>0.1472284661830256</v>
      </c>
    </row>
    <row r="2563" spans="10:12" x14ac:dyDescent="0.3">
      <c r="J2563">
        <v>2540</v>
      </c>
      <c r="K2563" s="10">
        <v>0.20683807511639679</v>
      </c>
      <c r="L2563" s="10">
        <v>0.10953051377551466</v>
      </c>
    </row>
    <row r="2564" spans="10:12" x14ac:dyDescent="0.3">
      <c r="J2564">
        <v>2541</v>
      </c>
      <c r="K2564" s="10">
        <v>0.21611557571167586</v>
      </c>
      <c r="L2564" s="10">
        <v>7.8179674556274198E-2</v>
      </c>
    </row>
    <row r="2565" spans="10:12" x14ac:dyDescent="0.3">
      <c r="J2565">
        <v>2542</v>
      </c>
      <c r="K2565" s="10">
        <v>0.19598376460461012</v>
      </c>
      <c r="L2565" s="10">
        <v>0.3822204125765255</v>
      </c>
    </row>
    <row r="2566" spans="10:12" x14ac:dyDescent="0.3">
      <c r="J2566">
        <v>2543</v>
      </c>
      <c r="K2566" s="10">
        <v>0.20144884421833378</v>
      </c>
      <c r="L2566" s="10">
        <v>0.15638123284809163</v>
      </c>
    </row>
    <row r="2567" spans="10:12" x14ac:dyDescent="0.3">
      <c r="J2567">
        <v>2544</v>
      </c>
      <c r="K2567" s="10">
        <v>0.2039884587491643</v>
      </c>
      <c r="L2567" s="10">
        <v>0.42988130153578602</v>
      </c>
    </row>
    <row r="2568" spans="10:12" x14ac:dyDescent="0.3">
      <c r="J2568">
        <v>2545</v>
      </c>
      <c r="K2568" s="10">
        <v>0.29503556185411461</v>
      </c>
      <c r="L2568" s="10">
        <v>3.754757425280654E-2</v>
      </c>
    </row>
    <row r="2569" spans="10:12" x14ac:dyDescent="0.3">
      <c r="J2569">
        <v>2546</v>
      </c>
      <c r="K2569" s="10">
        <v>0.22638906106771506</v>
      </c>
      <c r="L2569" s="10">
        <v>0.35804133291829099</v>
      </c>
    </row>
    <row r="2570" spans="10:12" x14ac:dyDescent="0.3">
      <c r="J2570">
        <v>2547</v>
      </c>
      <c r="K2570" s="10">
        <v>0.23009550927581088</v>
      </c>
      <c r="L2570" s="10">
        <v>0.17875096263725823</v>
      </c>
    </row>
    <row r="2571" spans="10:12" x14ac:dyDescent="0.3">
      <c r="J2571">
        <v>2548</v>
      </c>
      <c r="K2571" s="10">
        <v>0.22729594422867705</v>
      </c>
      <c r="L2571" s="10">
        <v>0.11184987943375321</v>
      </c>
    </row>
    <row r="2572" spans="10:12" x14ac:dyDescent="0.3">
      <c r="J2572">
        <v>2549</v>
      </c>
      <c r="K2572" s="10">
        <v>0.19264400201689755</v>
      </c>
      <c r="L2572" s="10">
        <v>0.23893043250578833</v>
      </c>
    </row>
    <row r="2573" spans="10:12" x14ac:dyDescent="0.3">
      <c r="J2573">
        <v>2550</v>
      </c>
      <c r="K2573" s="10">
        <v>0.21546584849217518</v>
      </c>
      <c r="L2573" s="10">
        <v>3.9917197469782131E-2</v>
      </c>
    </row>
    <row r="2574" spans="10:12" x14ac:dyDescent="0.3">
      <c r="J2574">
        <v>2551</v>
      </c>
      <c r="K2574" s="10">
        <v>0.21180546334750688</v>
      </c>
      <c r="L2574" s="10">
        <v>0.33091079015570374</v>
      </c>
    </row>
    <row r="2575" spans="10:12" x14ac:dyDescent="0.3">
      <c r="J2575">
        <v>2552</v>
      </c>
      <c r="K2575" s="10">
        <v>0.19178188185643935</v>
      </c>
      <c r="L2575" s="10">
        <v>0.21969586623314322</v>
      </c>
    </row>
    <row r="2576" spans="10:12" x14ac:dyDescent="0.3">
      <c r="J2576">
        <v>2553</v>
      </c>
      <c r="K2576" s="10">
        <v>0.26714951441144469</v>
      </c>
      <c r="L2576" s="10">
        <v>-5.308073071061542E-3</v>
      </c>
    </row>
    <row r="2577" spans="10:12" x14ac:dyDescent="0.3">
      <c r="J2577">
        <v>2554</v>
      </c>
      <c r="K2577" s="10">
        <v>0.21848963490251971</v>
      </c>
      <c r="L2577" s="10">
        <v>0.22135217946968869</v>
      </c>
    </row>
    <row r="2578" spans="10:12" x14ac:dyDescent="0.3">
      <c r="J2578">
        <v>2555</v>
      </c>
      <c r="K2578" s="10">
        <v>0.19245042194904263</v>
      </c>
      <c r="L2578" s="10">
        <v>0.37189316547730045</v>
      </c>
    </row>
    <row r="2579" spans="10:12" x14ac:dyDescent="0.3">
      <c r="J2579">
        <v>2556</v>
      </c>
      <c r="K2579" s="10">
        <v>0.22698240631905037</v>
      </c>
      <c r="L2579" s="10">
        <v>0.6255892534107298</v>
      </c>
    </row>
    <row r="2580" spans="10:12" x14ac:dyDescent="0.3">
      <c r="J2580">
        <v>2557</v>
      </c>
      <c r="K2580" s="10">
        <v>0.24009376298125507</v>
      </c>
      <c r="L2580" s="10">
        <v>3.9501167540202116E-2</v>
      </c>
    </row>
    <row r="2581" spans="10:12" x14ac:dyDescent="0.3">
      <c r="J2581">
        <v>2558</v>
      </c>
      <c r="K2581" s="10">
        <v>0.25009327710899215</v>
      </c>
      <c r="L2581" s="10">
        <v>2.9468982642535686E-2</v>
      </c>
    </row>
    <row r="2582" spans="10:12" x14ac:dyDescent="0.3">
      <c r="J2582">
        <v>2559</v>
      </c>
      <c r="K2582" s="10">
        <v>0.1890108697088701</v>
      </c>
      <c r="L2582" s="10">
        <v>0.33569149098528511</v>
      </c>
    </row>
    <row r="2583" spans="10:12" x14ac:dyDescent="0.3">
      <c r="J2583">
        <v>2560</v>
      </c>
      <c r="K2583" s="10">
        <v>0.29139618460927857</v>
      </c>
      <c r="L2583" s="10">
        <v>2.0009564871374994E-2</v>
      </c>
    </row>
    <row r="2584" spans="10:12" x14ac:dyDescent="0.3">
      <c r="J2584">
        <v>2561</v>
      </c>
      <c r="K2584" s="10">
        <v>0.21792660548386861</v>
      </c>
      <c r="L2584" s="10">
        <v>9.5653550143528596E-2</v>
      </c>
    </row>
    <row r="2585" spans="10:12" x14ac:dyDescent="0.3">
      <c r="J2585">
        <v>2562</v>
      </c>
      <c r="K2585" s="10">
        <v>0.18977234631697956</v>
      </c>
      <c r="L2585" s="10">
        <v>0.25512164944844656</v>
      </c>
    </row>
    <row r="2586" spans="10:12" x14ac:dyDescent="0.3">
      <c r="J2586">
        <v>2563</v>
      </c>
      <c r="K2586" s="10">
        <v>0.19058328232744035</v>
      </c>
      <c r="L2586" s="10">
        <v>0.34240242194172943</v>
      </c>
    </row>
    <row r="2587" spans="10:12" x14ac:dyDescent="0.3">
      <c r="J2587">
        <v>2564</v>
      </c>
      <c r="K2587" s="10">
        <v>0.21957304790022217</v>
      </c>
      <c r="L2587" s="10">
        <v>0.57931687696230894</v>
      </c>
    </row>
    <row r="2588" spans="10:12" x14ac:dyDescent="0.3">
      <c r="J2588">
        <v>2565</v>
      </c>
      <c r="K2588" s="10">
        <v>0.20022312832497716</v>
      </c>
      <c r="L2588" s="10">
        <v>0.13959897480919009</v>
      </c>
    </row>
    <row r="2589" spans="10:12" x14ac:dyDescent="0.3">
      <c r="J2589">
        <v>2566</v>
      </c>
      <c r="K2589" s="10">
        <v>0.21253864646982659</v>
      </c>
      <c r="L2589" s="10">
        <v>0.29854676270024993</v>
      </c>
    </row>
    <row r="2590" spans="10:12" x14ac:dyDescent="0.3">
      <c r="J2590">
        <v>2567</v>
      </c>
      <c r="K2590" s="10">
        <v>0.19779164322852066</v>
      </c>
      <c r="L2590" s="10">
        <v>0.16209824623041552</v>
      </c>
    </row>
    <row r="2591" spans="10:12" x14ac:dyDescent="0.3">
      <c r="J2591">
        <v>2568</v>
      </c>
      <c r="K2591" s="10">
        <v>0.20012684825240123</v>
      </c>
      <c r="L2591" s="10">
        <v>0.47845949683866884</v>
      </c>
    </row>
    <row r="2592" spans="10:12" x14ac:dyDescent="0.3">
      <c r="J2592">
        <v>2569</v>
      </c>
      <c r="K2592" s="10">
        <v>0.2047449437199465</v>
      </c>
      <c r="L2592" s="10">
        <v>0.47304432870402974</v>
      </c>
    </row>
    <row r="2593" spans="10:12" x14ac:dyDescent="0.3">
      <c r="J2593">
        <v>2570</v>
      </c>
      <c r="K2593" s="10">
        <v>0.23285122421203397</v>
      </c>
      <c r="L2593" s="10">
        <v>4.4844866829368196E-2</v>
      </c>
    </row>
    <row r="2594" spans="10:12" x14ac:dyDescent="0.3">
      <c r="J2594">
        <v>2571</v>
      </c>
      <c r="K2594" s="10">
        <v>0.19156824323218616</v>
      </c>
      <c r="L2594" s="10">
        <v>0.22491450814664546</v>
      </c>
    </row>
    <row r="2595" spans="10:12" x14ac:dyDescent="0.3">
      <c r="J2595">
        <v>2572</v>
      </c>
      <c r="K2595" s="10">
        <v>0.20758040671765959</v>
      </c>
      <c r="L2595" s="10">
        <v>0.21525613237504787</v>
      </c>
    </row>
    <row r="2596" spans="10:12" x14ac:dyDescent="0.3">
      <c r="J2596">
        <v>2573</v>
      </c>
      <c r="K2596" s="10">
        <v>0.22218986847364086</v>
      </c>
      <c r="L2596" s="10">
        <v>0.14290344515759068</v>
      </c>
    </row>
    <row r="2597" spans="10:12" x14ac:dyDescent="0.3">
      <c r="J2597">
        <v>2574</v>
      </c>
      <c r="K2597" s="10">
        <v>0.20475376385316804</v>
      </c>
      <c r="L2597" s="10">
        <v>0.14194221732284368</v>
      </c>
    </row>
    <row r="2598" spans="10:12" x14ac:dyDescent="0.3">
      <c r="J2598">
        <v>2575</v>
      </c>
      <c r="K2598" s="10">
        <v>0.203968532930492</v>
      </c>
      <c r="L2598" s="10">
        <v>0.50219097522449019</v>
      </c>
    </row>
    <row r="2599" spans="10:12" x14ac:dyDescent="0.3">
      <c r="J2599">
        <v>2576</v>
      </c>
      <c r="K2599" s="10">
        <v>0.22845671037263948</v>
      </c>
      <c r="L2599" s="10">
        <v>9.5854569032112952E-2</v>
      </c>
    </row>
    <row r="2600" spans="10:12" x14ac:dyDescent="0.3">
      <c r="J2600">
        <v>2577</v>
      </c>
      <c r="K2600" s="10">
        <v>0.25499417891416509</v>
      </c>
      <c r="L2600" s="10">
        <v>0.23534174655054527</v>
      </c>
    </row>
    <row r="2601" spans="10:12" x14ac:dyDescent="0.3">
      <c r="J2601">
        <v>2578</v>
      </c>
      <c r="K2601" s="10">
        <v>0.20531048251556328</v>
      </c>
      <c r="L2601" s="10">
        <v>0.2835656186723875</v>
      </c>
    </row>
    <row r="2602" spans="10:12" x14ac:dyDescent="0.3">
      <c r="J2602">
        <v>2579</v>
      </c>
      <c r="K2602" s="10">
        <v>0.21587713848683729</v>
      </c>
      <c r="L2602" s="10">
        <v>4.3247571441432639E-2</v>
      </c>
    </row>
    <row r="2603" spans="10:12" x14ac:dyDescent="0.3">
      <c r="J2603">
        <v>2580</v>
      </c>
      <c r="K2603" s="10">
        <v>0.20096932001431983</v>
      </c>
      <c r="L2603" s="10">
        <v>0.16646970999503</v>
      </c>
    </row>
    <row r="2604" spans="10:12" x14ac:dyDescent="0.3">
      <c r="J2604">
        <v>2581</v>
      </c>
      <c r="K2604" s="10">
        <v>0.19887048314531497</v>
      </c>
      <c r="L2604" s="10">
        <v>0.45241649314472177</v>
      </c>
    </row>
    <row r="2605" spans="10:12" x14ac:dyDescent="0.3">
      <c r="J2605">
        <v>2582</v>
      </c>
      <c r="K2605" s="10">
        <v>0.21393767036482453</v>
      </c>
      <c r="L2605" s="10">
        <v>0.35662531094036742</v>
      </c>
    </row>
    <row r="2606" spans="10:12" x14ac:dyDescent="0.3">
      <c r="J2606">
        <v>2583</v>
      </c>
      <c r="K2606" s="10">
        <v>0.23067891357030271</v>
      </c>
      <c r="L2606" s="10">
        <v>0.63357289338308809</v>
      </c>
    </row>
    <row r="2607" spans="10:12" x14ac:dyDescent="0.3">
      <c r="J2607">
        <v>2584</v>
      </c>
      <c r="K2607" s="10">
        <v>0.25657333829874712</v>
      </c>
      <c r="L2607" s="10">
        <v>-2.6377521039272524E-2</v>
      </c>
    </row>
    <row r="2608" spans="10:12" x14ac:dyDescent="0.3">
      <c r="J2608">
        <v>2585</v>
      </c>
      <c r="K2608" s="10">
        <v>0.19761335277544934</v>
      </c>
      <c r="L2608" s="10">
        <v>0.34133232120069573</v>
      </c>
    </row>
    <row r="2609" spans="10:12" x14ac:dyDescent="0.3">
      <c r="J2609">
        <v>2586</v>
      </c>
      <c r="K2609" s="10">
        <v>0.21381038504360228</v>
      </c>
      <c r="L2609" s="10">
        <v>0.11754363468153563</v>
      </c>
    </row>
    <row r="2610" spans="10:12" x14ac:dyDescent="0.3">
      <c r="J2610">
        <v>2587</v>
      </c>
      <c r="K2610" s="10">
        <v>0.2328862954366672</v>
      </c>
      <c r="L2610" s="10">
        <v>-4.3566633187671663E-2</v>
      </c>
    </row>
    <row r="2611" spans="10:12" x14ac:dyDescent="0.3">
      <c r="J2611">
        <v>2588</v>
      </c>
      <c r="K2611" s="10">
        <v>0.19549339088421375</v>
      </c>
      <c r="L2611" s="10">
        <v>0.3072904270074388</v>
      </c>
    </row>
    <row r="2612" spans="10:12" x14ac:dyDescent="0.3">
      <c r="J2612">
        <v>2589</v>
      </c>
      <c r="K2612" s="10">
        <v>0.23531610408977224</v>
      </c>
      <c r="L2612" s="10">
        <v>0.34491332965070909</v>
      </c>
    </row>
    <row r="2613" spans="10:12" x14ac:dyDescent="0.3">
      <c r="J2613">
        <v>2590</v>
      </c>
      <c r="K2613" s="10">
        <v>0.2345777815383159</v>
      </c>
      <c r="L2613" s="10">
        <v>0.61947764776301473</v>
      </c>
    </row>
    <row r="2614" spans="10:12" x14ac:dyDescent="0.3">
      <c r="J2614">
        <v>2591</v>
      </c>
      <c r="K2614" s="10">
        <v>0.21910286201584539</v>
      </c>
      <c r="L2614" s="10">
        <v>6.0137605036535022E-2</v>
      </c>
    </row>
    <row r="2615" spans="10:12" x14ac:dyDescent="0.3">
      <c r="J2615">
        <v>2592</v>
      </c>
      <c r="K2615" s="10">
        <v>0.20143066873947618</v>
      </c>
      <c r="L2615" s="10">
        <v>0.48137635350693203</v>
      </c>
    </row>
    <row r="2616" spans="10:12" x14ac:dyDescent="0.3">
      <c r="J2616">
        <v>2593</v>
      </c>
      <c r="K2616" s="10">
        <v>0.24578658719855145</v>
      </c>
      <c r="L2616" s="10">
        <v>0.71176194814200333</v>
      </c>
    </row>
    <row r="2617" spans="10:12" x14ac:dyDescent="0.3">
      <c r="J2617">
        <v>2594</v>
      </c>
      <c r="K2617" s="10">
        <v>0.20391245809490785</v>
      </c>
      <c r="L2617" s="10">
        <v>0.20187706834401531</v>
      </c>
    </row>
    <row r="2618" spans="10:12" x14ac:dyDescent="0.3">
      <c r="J2618">
        <v>2595</v>
      </c>
      <c r="K2618" s="10">
        <v>0.20523857169209075</v>
      </c>
      <c r="L2618" s="10">
        <v>0.10012185488037537</v>
      </c>
    </row>
    <row r="2619" spans="10:12" x14ac:dyDescent="0.3">
      <c r="J2619">
        <v>2596</v>
      </c>
      <c r="K2619" s="10">
        <v>0.1964368898020257</v>
      </c>
      <c r="L2619" s="10">
        <v>0.43420086830774363</v>
      </c>
    </row>
    <row r="2620" spans="10:12" x14ac:dyDescent="0.3">
      <c r="J2620">
        <v>2597</v>
      </c>
      <c r="K2620" s="10">
        <v>0.26947024808414988</v>
      </c>
      <c r="L2620" s="10">
        <v>-8.1118741116942922E-2</v>
      </c>
    </row>
    <row r="2621" spans="10:12" x14ac:dyDescent="0.3">
      <c r="J2621">
        <v>2598</v>
      </c>
      <c r="K2621" s="10">
        <v>0.26423345474686005</v>
      </c>
      <c r="L2621" s="10">
        <v>9.0605095263092572E-2</v>
      </c>
    </row>
    <row r="2622" spans="10:12" x14ac:dyDescent="0.3">
      <c r="J2622">
        <v>2599</v>
      </c>
      <c r="K2622" s="10">
        <v>0.21249218370919354</v>
      </c>
      <c r="L2622" s="10">
        <v>0.14715442498496442</v>
      </c>
    </row>
    <row r="2623" spans="10:12" x14ac:dyDescent="0.3">
      <c r="J2623">
        <v>2600</v>
      </c>
      <c r="K2623" s="10">
        <v>0.2231002775226677</v>
      </c>
      <c r="L2623" s="10">
        <v>0.11108307281940441</v>
      </c>
    </row>
    <row r="2624" spans="10:12" x14ac:dyDescent="0.3">
      <c r="J2624">
        <v>2601</v>
      </c>
      <c r="K2624" s="10">
        <v>0.22346025199045738</v>
      </c>
      <c r="L2624" s="10">
        <v>0.29727121376370907</v>
      </c>
    </row>
    <row r="2625" spans="10:12" x14ac:dyDescent="0.3">
      <c r="J2625">
        <v>2602</v>
      </c>
      <c r="K2625" s="10">
        <v>0.22174033377290334</v>
      </c>
      <c r="L2625" s="10">
        <v>0.15561259730549912</v>
      </c>
    </row>
    <row r="2626" spans="10:12" x14ac:dyDescent="0.3">
      <c r="J2626">
        <v>2603</v>
      </c>
      <c r="K2626" s="10">
        <v>0.1985280992289957</v>
      </c>
      <c r="L2626" s="10">
        <v>0.36301731370171714</v>
      </c>
    </row>
    <row r="2627" spans="10:12" x14ac:dyDescent="0.3">
      <c r="J2627">
        <v>2604</v>
      </c>
      <c r="K2627" s="10">
        <v>0.23727713084997895</v>
      </c>
      <c r="L2627" s="10">
        <v>0.65146145434433367</v>
      </c>
    </row>
    <row r="2628" spans="10:12" x14ac:dyDescent="0.3">
      <c r="J2628">
        <v>2605</v>
      </c>
      <c r="K2628" s="10">
        <v>0.19573786120521863</v>
      </c>
      <c r="L2628" s="10">
        <v>0.1736199257487149</v>
      </c>
    </row>
    <row r="2629" spans="10:12" x14ac:dyDescent="0.3">
      <c r="J2629">
        <v>2606</v>
      </c>
      <c r="K2629" s="10">
        <v>0.26164158657578584</v>
      </c>
      <c r="L2629" s="10">
        <v>0.77170109796928921</v>
      </c>
    </row>
    <row r="2630" spans="10:12" x14ac:dyDescent="0.3">
      <c r="J2630">
        <v>2607</v>
      </c>
      <c r="K2630" s="10">
        <v>0.26158533718190408</v>
      </c>
      <c r="L2630" s="10">
        <v>3.0173715268657999E-2</v>
      </c>
    </row>
    <row r="2631" spans="10:12" x14ac:dyDescent="0.3">
      <c r="J2631">
        <v>2608</v>
      </c>
      <c r="K2631" s="10">
        <v>0.24198738160459213</v>
      </c>
      <c r="L2631" s="10">
        <v>0.15326044998787569</v>
      </c>
    </row>
    <row r="2632" spans="10:12" x14ac:dyDescent="0.3">
      <c r="J2632">
        <v>2609</v>
      </c>
      <c r="K2632" s="10">
        <v>0.21923081774289105</v>
      </c>
      <c r="L2632" s="10">
        <v>5.2677455869933276E-2</v>
      </c>
    </row>
    <row r="2633" spans="10:12" x14ac:dyDescent="0.3">
      <c r="J2633">
        <v>2610</v>
      </c>
      <c r="K2633" s="10">
        <v>0.19428755097777733</v>
      </c>
      <c r="L2633" s="10">
        <v>0.26718487737988211</v>
      </c>
    </row>
    <row r="2634" spans="10:12" x14ac:dyDescent="0.3">
      <c r="J2634">
        <v>2611</v>
      </c>
      <c r="K2634" s="10">
        <v>0.22517462021500592</v>
      </c>
      <c r="L2634" s="10">
        <v>0.57279826287976132</v>
      </c>
    </row>
    <row r="2635" spans="10:12" x14ac:dyDescent="0.3">
      <c r="J2635">
        <v>2612</v>
      </c>
      <c r="K2635" s="10">
        <v>0.19614156254529191</v>
      </c>
      <c r="L2635" s="10">
        <v>0.2281537881804877</v>
      </c>
    </row>
    <row r="2636" spans="10:12" x14ac:dyDescent="0.3">
      <c r="J2636">
        <v>2613</v>
      </c>
      <c r="K2636" s="10">
        <v>0.20414801142306283</v>
      </c>
      <c r="L2636" s="10">
        <v>0.32528457357317564</v>
      </c>
    </row>
    <row r="2637" spans="10:12" x14ac:dyDescent="0.3">
      <c r="J2637">
        <v>2614</v>
      </c>
      <c r="K2637" s="10">
        <v>0.25121826617813198</v>
      </c>
      <c r="L2637" s="10">
        <v>-2.2108133006789488E-2</v>
      </c>
    </row>
    <row r="2638" spans="10:12" x14ac:dyDescent="0.3">
      <c r="J2638">
        <v>2615</v>
      </c>
      <c r="K2638" s="10">
        <v>0.1909070187698666</v>
      </c>
      <c r="L2638" s="10">
        <v>0.2569933156001688</v>
      </c>
    </row>
    <row r="2639" spans="10:12" x14ac:dyDescent="0.3">
      <c r="J2639">
        <v>2616</v>
      </c>
      <c r="K2639" s="10">
        <v>0.22118133371633389</v>
      </c>
      <c r="L2639" s="10">
        <v>4.8760868041537404E-2</v>
      </c>
    </row>
    <row r="2640" spans="10:12" x14ac:dyDescent="0.3">
      <c r="J2640">
        <v>2617</v>
      </c>
      <c r="K2640" s="10">
        <v>0.20292776709750029</v>
      </c>
      <c r="L2640" s="10">
        <v>0.22449358435254912</v>
      </c>
    </row>
    <row r="2641" spans="10:12" x14ac:dyDescent="0.3">
      <c r="J2641">
        <v>2618</v>
      </c>
      <c r="K2641" s="10">
        <v>0.19152593561025105</v>
      </c>
      <c r="L2641" s="10">
        <v>0.23794796397910992</v>
      </c>
    </row>
    <row r="2642" spans="10:12" x14ac:dyDescent="0.3">
      <c r="J2642">
        <v>2619</v>
      </c>
      <c r="K2642" s="10">
        <v>0.20784509288626249</v>
      </c>
      <c r="L2642" s="10">
        <v>0.44947069683149837</v>
      </c>
    </row>
    <row r="2643" spans="10:12" x14ac:dyDescent="0.3">
      <c r="J2643">
        <v>2620</v>
      </c>
      <c r="K2643" s="10">
        <v>0.21394396263645496</v>
      </c>
      <c r="L2643" s="10">
        <v>8.0499243277780561E-2</v>
      </c>
    </row>
    <row r="2644" spans="10:12" x14ac:dyDescent="0.3">
      <c r="J2644">
        <v>2621</v>
      </c>
      <c r="K2644" s="10">
        <v>0.2110745201981942</v>
      </c>
      <c r="L2644" s="10">
        <v>0.15908625579603258</v>
      </c>
    </row>
    <row r="2645" spans="10:12" x14ac:dyDescent="0.3">
      <c r="J2645">
        <v>2622</v>
      </c>
      <c r="K2645" s="10">
        <v>0.19026914274551929</v>
      </c>
      <c r="L2645" s="10">
        <v>0.24662643240354779</v>
      </c>
    </row>
    <row r="2646" spans="10:12" x14ac:dyDescent="0.3">
      <c r="J2646">
        <v>2623</v>
      </c>
      <c r="K2646" s="10">
        <v>0.26617791246914091</v>
      </c>
      <c r="L2646" s="10">
        <v>-9.5461760492925207E-2</v>
      </c>
    </row>
    <row r="2647" spans="10:12" x14ac:dyDescent="0.3">
      <c r="J2647">
        <v>2624</v>
      </c>
      <c r="K2647" s="10">
        <v>0.25259037772441711</v>
      </c>
      <c r="L2647" s="10">
        <v>-1.1219851609023668E-2</v>
      </c>
    </row>
    <row r="2648" spans="10:12" x14ac:dyDescent="0.3">
      <c r="J2648">
        <v>2625</v>
      </c>
      <c r="K2648" s="10">
        <v>0.2012126443682479</v>
      </c>
      <c r="L2648" s="10">
        <v>0.19344302206271854</v>
      </c>
    </row>
    <row r="2649" spans="10:12" x14ac:dyDescent="0.3">
      <c r="J2649">
        <v>2626</v>
      </c>
      <c r="K2649" s="10">
        <v>0.19132178566744482</v>
      </c>
      <c r="L2649" s="10">
        <v>0.38220641083320223</v>
      </c>
    </row>
    <row r="2650" spans="10:12" x14ac:dyDescent="0.3">
      <c r="J2650">
        <v>2627</v>
      </c>
      <c r="K2650" s="10">
        <v>0.20206891609022548</v>
      </c>
      <c r="L2650" s="10">
        <v>0.12405158510080908</v>
      </c>
    </row>
    <row r="2651" spans="10:12" x14ac:dyDescent="0.3">
      <c r="J2651">
        <v>2628</v>
      </c>
      <c r="K2651" s="10">
        <v>0.20319305713264862</v>
      </c>
      <c r="L2651" s="10">
        <v>0.42714449684910483</v>
      </c>
    </row>
    <row r="2652" spans="10:12" x14ac:dyDescent="0.3">
      <c r="J2652">
        <v>2629</v>
      </c>
      <c r="K2652" s="10">
        <v>0.20330501159865363</v>
      </c>
      <c r="L2652" s="10">
        <v>0.224581209096052</v>
      </c>
    </row>
    <row r="2653" spans="10:12" x14ac:dyDescent="0.3">
      <c r="J2653">
        <v>2630</v>
      </c>
      <c r="K2653" s="10">
        <v>0.23932131510992422</v>
      </c>
      <c r="L2653" s="10">
        <v>0.68125870610692818</v>
      </c>
    </row>
    <row r="2654" spans="10:12" x14ac:dyDescent="0.3">
      <c r="J2654">
        <v>2631</v>
      </c>
      <c r="K2654" s="10">
        <v>0.20803830215022315</v>
      </c>
      <c r="L2654" s="10">
        <v>0.19263441777770857</v>
      </c>
    </row>
    <row r="2655" spans="10:12" x14ac:dyDescent="0.3">
      <c r="J2655">
        <v>2632</v>
      </c>
      <c r="K2655" s="10">
        <v>0.20417549238892105</v>
      </c>
      <c r="L2655" s="10">
        <v>0.1565005488906131</v>
      </c>
    </row>
    <row r="2656" spans="10:12" x14ac:dyDescent="0.3">
      <c r="J2656">
        <v>2633</v>
      </c>
      <c r="K2656" s="10">
        <v>0.20549334956212653</v>
      </c>
      <c r="L2656" s="10">
        <v>0.16851220979221926</v>
      </c>
    </row>
    <row r="2657" spans="10:12" x14ac:dyDescent="0.3">
      <c r="J2657">
        <v>2634</v>
      </c>
      <c r="K2657" s="10">
        <v>0.21078212447391764</v>
      </c>
      <c r="L2657" s="10">
        <v>0.53830051047982108</v>
      </c>
    </row>
    <row r="2658" spans="10:12" x14ac:dyDescent="0.3">
      <c r="J2658">
        <v>2635</v>
      </c>
      <c r="K2658" s="10">
        <v>0.31559124005419098</v>
      </c>
      <c r="L2658" s="10">
        <v>2.7435106256788352E-2</v>
      </c>
    </row>
    <row r="2659" spans="10:12" x14ac:dyDescent="0.3">
      <c r="J2659">
        <v>2636</v>
      </c>
      <c r="K2659" s="10">
        <v>0.19745138341887125</v>
      </c>
      <c r="L2659" s="10">
        <v>0.29198361376120158</v>
      </c>
    </row>
    <row r="2660" spans="10:12" x14ac:dyDescent="0.3">
      <c r="J2660">
        <v>2637</v>
      </c>
      <c r="K2660" s="10">
        <v>0.20520851863185979</v>
      </c>
      <c r="L2660" s="10">
        <v>0.41782837828771635</v>
      </c>
    </row>
    <row r="2661" spans="10:12" x14ac:dyDescent="0.3">
      <c r="J2661">
        <v>2638</v>
      </c>
      <c r="K2661" s="10">
        <v>0.21597006407144947</v>
      </c>
      <c r="L2661" s="10">
        <v>0.57684113108729751</v>
      </c>
    </row>
    <row r="2662" spans="10:12" x14ac:dyDescent="0.3">
      <c r="J2662">
        <v>2639</v>
      </c>
      <c r="K2662" s="10">
        <v>0.202600356178878</v>
      </c>
      <c r="L2662" s="10">
        <v>0.18445217879392967</v>
      </c>
    </row>
    <row r="2663" spans="10:12" x14ac:dyDescent="0.3">
      <c r="J2663">
        <v>2640</v>
      </c>
      <c r="K2663" s="10">
        <v>0.1905047353909621</v>
      </c>
      <c r="L2663" s="10">
        <v>0.26962775001817851</v>
      </c>
    </row>
    <row r="2664" spans="10:12" x14ac:dyDescent="0.3">
      <c r="J2664">
        <v>2641</v>
      </c>
      <c r="K2664" s="10">
        <v>0.2002986243455934</v>
      </c>
      <c r="L2664" s="10">
        <v>0.20023954406264727</v>
      </c>
    </row>
    <row r="2665" spans="10:12" x14ac:dyDescent="0.3">
      <c r="J2665">
        <v>2642</v>
      </c>
      <c r="K2665" s="10">
        <v>0.21089070302891605</v>
      </c>
      <c r="L2665" s="10">
        <v>9.615680546774287E-2</v>
      </c>
    </row>
    <row r="2666" spans="10:12" x14ac:dyDescent="0.3">
      <c r="J2666">
        <v>2643</v>
      </c>
      <c r="K2666" s="10">
        <v>0.20742438631365134</v>
      </c>
      <c r="L2666" s="10">
        <v>0.13755737190512662</v>
      </c>
    </row>
    <row r="2667" spans="10:12" x14ac:dyDescent="0.3">
      <c r="J2667">
        <v>2644</v>
      </c>
      <c r="K2667" s="10">
        <v>0.20442074530801546</v>
      </c>
      <c r="L2667" s="10">
        <v>0.27023497600947149</v>
      </c>
    </row>
    <row r="2668" spans="10:12" x14ac:dyDescent="0.3">
      <c r="J2668">
        <v>2645</v>
      </c>
      <c r="K2668" s="10">
        <v>0.23860950996740854</v>
      </c>
      <c r="L2668" s="10">
        <v>-7.9879580477383583E-4</v>
      </c>
    </row>
    <row r="2669" spans="10:12" x14ac:dyDescent="0.3">
      <c r="J2669">
        <v>2646</v>
      </c>
      <c r="K2669" s="10">
        <v>0.22957785905309114</v>
      </c>
      <c r="L2669" s="10">
        <v>3.937872495765278E-2</v>
      </c>
    </row>
    <row r="2670" spans="10:12" x14ac:dyDescent="0.3">
      <c r="J2670">
        <v>2647</v>
      </c>
      <c r="K2670" s="10">
        <v>0.22730688342449501</v>
      </c>
      <c r="L2670" s="10">
        <v>8.982414514869573E-2</v>
      </c>
    </row>
    <row r="2671" spans="10:12" x14ac:dyDescent="0.3">
      <c r="J2671">
        <v>2648</v>
      </c>
      <c r="K2671" s="10">
        <v>0.19044427650036239</v>
      </c>
      <c r="L2671" s="10">
        <v>0.37143291643687015</v>
      </c>
    </row>
    <row r="2672" spans="10:12" x14ac:dyDescent="0.3">
      <c r="J2672">
        <v>2649</v>
      </c>
      <c r="K2672" s="10">
        <v>0.21307429254313978</v>
      </c>
      <c r="L2672" s="10">
        <v>7.3593322675183453E-2</v>
      </c>
    </row>
    <row r="2673" spans="10:12" x14ac:dyDescent="0.3">
      <c r="J2673">
        <v>2650</v>
      </c>
      <c r="K2673" s="10">
        <v>0.18947574031143996</v>
      </c>
      <c r="L2673" s="10">
        <v>0.34744880872530737</v>
      </c>
    </row>
    <row r="2674" spans="10:12" x14ac:dyDescent="0.3">
      <c r="J2674">
        <v>2651</v>
      </c>
      <c r="K2674" s="10">
        <v>0.19495124307927159</v>
      </c>
      <c r="L2674" s="10">
        <v>0.21460554489732911</v>
      </c>
    </row>
    <row r="2675" spans="10:12" x14ac:dyDescent="0.3">
      <c r="J2675">
        <v>2652</v>
      </c>
      <c r="K2675" s="10">
        <v>0.225105558262507</v>
      </c>
      <c r="L2675" s="10">
        <v>0.31152371431908688</v>
      </c>
    </row>
    <row r="2676" spans="10:12" x14ac:dyDescent="0.3">
      <c r="J2676">
        <v>2653</v>
      </c>
      <c r="K2676" s="10">
        <v>0.20440869851523166</v>
      </c>
      <c r="L2676" s="10">
        <v>0.15351686701551717</v>
      </c>
    </row>
    <row r="2677" spans="10:12" x14ac:dyDescent="0.3">
      <c r="J2677">
        <v>2654</v>
      </c>
      <c r="K2677" s="10">
        <v>0.21553479578036577</v>
      </c>
      <c r="L2677" s="10">
        <v>0.45139453757710629</v>
      </c>
    </row>
    <row r="2678" spans="10:12" x14ac:dyDescent="0.3">
      <c r="J2678">
        <v>2655</v>
      </c>
      <c r="K2678" s="10">
        <v>0.21489811892501071</v>
      </c>
      <c r="L2678" s="10">
        <v>0.13259508858124328</v>
      </c>
    </row>
    <row r="2679" spans="10:12" x14ac:dyDescent="0.3">
      <c r="J2679">
        <v>2656</v>
      </c>
      <c r="K2679" s="10">
        <v>0.21060212540123058</v>
      </c>
      <c r="L2679" s="10">
        <v>6.6914595602535987E-2</v>
      </c>
    </row>
    <row r="2680" spans="10:12" x14ac:dyDescent="0.3">
      <c r="J2680">
        <v>2657</v>
      </c>
      <c r="K2680" s="10">
        <v>0.20786331186884568</v>
      </c>
      <c r="L2680" s="10">
        <v>0.42377205701924636</v>
      </c>
    </row>
    <row r="2681" spans="10:12" x14ac:dyDescent="0.3">
      <c r="J2681">
        <v>2658</v>
      </c>
      <c r="K2681" s="10">
        <v>0.2086913190507407</v>
      </c>
      <c r="L2681" s="10">
        <v>0.17141346539460994</v>
      </c>
    </row>
    <row r="2682" spans="10:12" x14ac:dyDescent="0.3">
      <c r="J2682">
        <v>2659</v>
      </c>
      <c r="K2682" s="10">
        <v>0.19717467843759176</v>
      </c>
      <c r="L2682" s="10">
        <v>0.18499661433416109</v>
      </c>
    </row>
    <row r="2683" spans="10:12" x14ac:dyDescent="0.3">
      <c r="J2683">
        <v>2660</v>
      </c>
      <c r="K2683" s="10">
        <v>0.1968704688553756</v>
      </c>
      <c r="L2683" s="10">
        <v>0.22767940145589854</v>
      </c>
    </row>
    <row r="2684" spans="10:12" x14ac:dyDescent="0.3">
      <c r="J2684">
        <v>2661</v>
      </c>
      <c r="K2684" s="10">
        <v>0.21050509233062184</v>
      </c>
      <c r="L2684" s="10">
        <v>0.12639315681249341</v>
      </c>
    </row>
    <row r="2685" spans="10:12" x14ac:dyDescent="0.3">
      <c r="J2685">
        <v>2662</v>
      </c>
      <c r="K2685" s="10">
        <v>0.21483439460673559</v>
      </c>
      <c r="L2685" s="10">
        <v>0.10296550237683399</v>
      </c>
    </row>
    <row r="2686" spans="10:12" x14ac:dyDescent="0.3">
      <c r="J2686">
        <v>2663</v>
      </c>
      <c r="K2686" s="10">
        <v>0.23827764845614466</v>
      </c>
      <c r="L2686" s="10">
        <v>0.68092294258139618</v>
      </c>
    </row>
    <row r="2687" spans="10:12" x14ac:dyDescent="0.3">
      <c r="J2687">
        <v>2664</v>
      </c>
      <c r="K2687" s="10">
        <v>0.20350280092656498</v>
      </c>
      <c r="L2687" s="10">
        <v>0.12867186675090139</v>
      </c>
    </row>
    <row r="2688" spans="10:12" x14ac:dyDescent="0.3">
      <c r="J2688">
        <v>2665</v>
      </c>
      <c r="K2688" s="10">
        <v>0.32156509293600855</v>
      </c>
      <c r="L2688" s="10">
        <v>-8.217216331270509E-2</v>
      </c>
    </row>
    <row r="2689" spans="10:12" x14ac:dyDescent="0.3">
      <c r="J2689">
        <v>2666</v>
      </c>
      <c r="K2689" s="10">
        <v>0.20652212660001334</v>
      </c>
      <c r="L2689" s="10">
        <v>0.51719321343248903</v>
      </c>
    </row>
    <row r="2690" spans="10:12" x14ac:dyDescent="0.3">
      <c r="J2690">
        <v>2667</v>
      </c>
      <c r="K2690" s="10">
        <v>0.22980991125031436</v>
      </c>
      <c r="L2690" s="10">
        <v>0.16361121535001721</v>
      </c>
    </row>
    <row r="2691" spans="10:12" x14ac:dyDescent="0.3">
      <c r="J2691">
        <v>2668</v>
      </c>
      <c r="K2691" s="10">
        <v>0.19449671834907153</v>
      </c>
      <c r="L2691" s="10">
        <v>0.26192282193287225</v>
      </c>
    </row>
    <row r="2692" spans="10:12" x14ac:dyDescent="0.3">
      <c r="J2692">
        <v>2669</v>
      </c>
      <c r="K2692" s="10">
        <v>0.25489179146414631</v>
      </c>
      <c r="L2692" s="10">
        <v>-8.5081138332355713E-2</v>
      </c>
    </row>
    <row r="2693" spans="10:12" x14ac:dyDescent="0.3">
      <c r="J2693">
        <v>2670</v>
      </c>
      <c r="K2693" s="10">
        <v>0.240116568334893</v>
      </c>
      <c r="L2693" s="10">
        <v>0.29150804567441285</v>
      </c>
    </row>
    <row r="2694" spans="10:12" x14ac:dyDescent="0.3">
      <c r="J2694">
        <v>2671</v>
      </c>
      <c r="K2694" s="10">
        <v>0.22497408070278296</v>
      </c>
      <c r="L2694" s="10">
        <v>-1.1537785433713837E-3</v>
      </c>
    </row>
    <row r="2695" spans="10:12" x14ac:dyDescent="0.3">
      <c r="J2695">
        <v>2672</v>
      </c>
      <c r="K2695" s="10">
        <v>0.20300054249927732</v>
      </c>
      <c r="L2695" s="10">
        <v>0.12581722125723177</v>
      </c>
    </row>
    <row r="2696" spans="10:12" x14ac:dyDescent="0.3">
      <c r="J2696">
        <v>2673</v>
      </c>
      <c r="K2696" s="10">
        <v>0.21885441342408407</v>
      </c>
      <c r="L2696" s="10">
        <v>6.8321993849440502E-2</v>
      </c>
    </row>
    <row r="2697" spans="10:12" x14ac:dyDescent="0.3">
      <c r="J2697">
        <v>2674</v>
      </c>
      <c r="K2697" s="10">
        <v>0.20368821805660578</v>
      </c>
      <c r="L2697" s="10">
        <v>0.2182887469187913</v>
      </c>
    </row>
    <row r="2698" spans="10:12" x14ac:dyDescent="0.3">
      <c r="J2698">
        <v>2675</v>
      </c>
      <c r="K2698" s="10">
        <v>0.20550547840778813</v>
      </c>
      <c r="L2698" s="10">
        <v>0.30029827838578993</v>
      </c>
    </row>
    <row r="2699" spans="10:12" x14ac:dyDescent="0.3">
      <c r="J2699">
        <v>2676</v>
      </c>
      <c r="K2699" s="10">
        <v>0.19141532002234879</v>
      </c>
      <c r="L2699" s="10">
        <v>0.3575336578769806</v>
      </c>
    </row>
    <row r="2700" spans="10:12" x14ac:dyDescent="0.3">
      <c r="J2700">
        <v>2677</v>
      </c>
      <c r="K2700" s="10">
        <v>0.18994701361337357</v>
      </c>
      <c r="L2700" s="10">
        <v>0.3344423896662515</v>
      </c>
    </row>
    <row r="2701" spans="10:12" x14ac:dyDescent="0.3">
      <c r="J2701">
        <v>2678</v>
      </c>
      <c r="K2701" s="10">
        <v>0.24499575896817513</v>
      </c>
      <c r="L2701" s="10">
        <v>0.23276572786657362</v>
      </c>
    </row>
    <row r="2702" spans="10:12" x14ac:dyDescent="0.3">
      <c r="J2702">
        <v>2679</v>
      </c>
      <c r="K2702" s="10">
        <v>0.19618583528751529</v>
      </c>
      <c r="L2702" s="10">
        <v>0.2068456855555279</v>
      </c>
    </row>
    <row r="2703" spans="10:12" x14ac:dyDescent="0.3">
      <c r="J2703">
        <v>2680</v>
      </c>
      <c r="K2703" s="10">
        <v>0.22334848838097507</v>
      </c>
      <c r="L2703" s="10">
        <v>0.43420780656468211</v>
      </c>
    </row>
    <row r="2704" spans="10:12" x14ac:dyDescent="0.3">
      <c r="J2704">
        <v>2681</v>
      </c>
      <c r="K2704" s="10">
        <v>0.20498650643340985</v>
      </c>
      <c r="L2704" s="10">
        <v>0.17455663731506238</v>
      </c>
    </row>
    <row r="2705" spans="10:12" x14ac:dyDescent="0.3">
      <c r="J2705">
        <v>2682</v>
      </c>
      <c r="K2705" s="10">
        <v>0.21326304213361919</v>
      </c>
      <c r="L2705" s="10">
        <v>0.13495657967187386</v>
      </c>
    </row>
    <row r="2706" spans="10:12" x14ac:dyDescent="0.3">
      <c r="J2706">
        <v>2683</v>
      </c>
      <c r="K2706" s="10">
        <v>0.26206597781056507</v>
      </c>
      <c r="L2706" s="10">
        <v>3.3634735680403566E-2</v>
      </c>
    </row>
    <row r="2707" spans="10:12" x14ac:dyDescent="0.3">
      <c r="J2707">
        <v>2684</v>
      </c>
      <c r="K2707" s="10">
        <v>0.19095327534421325</v>
      </c>
      <c r="L2707" s="10">
        <v>0.23246294733086387</v>
      </c>
    </row>
    <row r="2708" spans="10:12" x14ac:dyDescent="0.3">
      <c r="J2708">
        <v>2685</v>
      </c>
      <c r="K2708" s="10">
        <v>0.1897706637485507</v>
      </c>
      <c r="L2708" s="10">
        <v>0.26622423325377575</v>
      </c>
    </row>
    <row r="2709" spans="10:12" x14ac:dyDescent="0.3">
      <c r="J2709">
        <v>2686</v>
      </c>
      <c r="K2709" s="10">
        <v>0.30141822074834312</v>
      </c>
      <c r="L2709" s="10">
        <v>-7.5485662710023257E-2</v>
      </c>
    </row>
    <row r="2710" spans="10:12" x14ac:dyDescent="0.3">
      <c r="J2710">
        <v>2687</v>
      </c>
      <c r="K2710" s="10">
        <v>0.27152861863384781</v>
      </c>
      <c r="L2710" s="10">
        <v>-1.2809614274735735E-2</v>
      </c>
    </row>
    <row r="2711" spans="10:12" x14ac:dyDescent="0.3">
      <c r="J2711">
        <v>2688</v>
      </c>
      <c r="K2711" s="10">
        <v>0.1987203496391399</v>
      </c>
      <c r="L2711" s="10">
        <v>0.3527155665273376</v>
      </c>
    </row>
    <row r="2712" spans="10:12" x14ac:dyDescent="0.3">
      <c r="J2712">
        <v>2689</v>
      </c>
      <c r="K2712" s="10">
        <v>0.20001346528001729</v>
      </c>
      <c r="L2712" s="10">
        <v>0.43114401946216291</v>
      </c>
    </row>
    <row r="2713" spans="10:12" x14ac:dyDescent="0.3">
      <c r="J2713">
        <v>2690</v>
      </c>
      <c r="K2713" s="10">
        <v>0.19796026522557006</v>
      </c>
      <c r="L2713" s="10">
        <v>0.26593690033029371</v>
      </c>
    </row>
    <row r="2714" spans="10:12" x14ac:dyDescent="0.3">
      <c r="J2714">
        <v>2691</v>
      </c>
      <c r="K2714" s="10">
        <v>0.19757673569632994</v>
      </c>
      <c r="L2714" s="10">
        <v>0.2327146817621929</v>
      </c>
    </row>
    <row r="2715" spans="10:12" x14ac:dyDescent="0.3">
      <c r="J2715">
        <v>2692</v>
      </c>
      <c r="K2715" s="10">
        <v>0.19446436850744084</v>
      </c>
      <c r="L2715" s="10">
        <v>0.41667305143468225</v>
      </c>
    </row>
    <row r="2716" spans="10:12" x14ac:dyDescent="0.3">
      <c r="J2716">
        <v>2693</v>
      </c>
      <c r="K2716" s="10">
        <v>0.2047986257570201</v>
      </c>
      <c r="L2716" s="10">
        <v>0.22612703100874421</v>
      </c>
    </row>
    <row r="2717" spans="10:12" x14ac:dyDescent="0.3">
      <c r="J2717">
        <v>2694</v>
      </c>
      <c r="K2717" s="10">
        <v>0.18906239134709502</v>
      </c>
      <c r="L2717" s="10">
        <v>0.32239144132894842</v>
      </c>
    </row>
    <row r="2718" spans="10:12" x14ac:dyDescent="0.3">
      <c r="J2718">
        <v>2695</v>
      </c>
      <c r="K2718" s="10">
        <v>0.21420098485334862</v>
      </c>
      <c r="L2718" s="10">
        <v>9.1086925602704844E-2</v>
      </c>
    </row>
    <row r="2719" spans="10:12" x14ac:dyDescent="0.3">
      <c r="J2719">
        <v>2696</v>
      </c>
      <c r="K2719" s="10">
        <v>0.24481690599724401</v>
      </c>
      <c r="L2719" s="10">
        <v>1.4587201004307299E-2</v>
      </c>
    </row>
    <row r="2720" spans="10:12" x14ac:dyDescent="0.3">
      <c r="J2720">
        <v>2697</v>
      </c>
      <c r="K2720" s="10">
        <v>0.19044087062212653</v>
      </c>
      <c r="L2720" s="10">
        <v>0.25050820656074613</v>
      </c>
    </row>
    <row r="2721" spans="10:12" x14ac:dyDescent="0.3">
      <c r="J2721">
        <v>2698</v>
      </c>
      <c r="K2721" s="10">
        <v>0.20660107245509465</v>
      </c>
      <c r="L2721" s="10">
        <v>0.52272285311445932</v>
      </c>
    </row>
    <row r="2722" spans="10:12" x14ac:dyDescent="0.3">
      <c r="J2722">
        <v>2699</v>
      </c>
      <c r="K2722" s="10">
        <v>0.20630271788500554</v>
      </c>
      <c r="L2722" s="10">
        <v>0.39816517105777138</v>
      </c>
    </row>
    <row r="2723" spans="10:12" x14ac:dyDescent="0.3">
      <c r="J2723">
        <v>2700</v>
      </c>
      <c r="K2723" s="10">
        <v>0.19574698202000804</v>
      </c>
      <c r="L2723" s="10">
        <v>0.36690113070062264</v>
      </c>
    </row>
    <row r="2724" spans="10:12" x14ac:dyDescent="0.3">
      <c r="J2724">
        <v>2701</v>
      </c>
      <c r="K2724" s="10">
        <v>0.20444753749864036</v>
      </c>
      <c r="L2724" s="10">
        <v>0.49271626476265529</v>
      </c>
    </row>
    <row r="2725" spans="10:12" x14ac:dyDescent="0.3">
      <c r="J2725">
        <v>2702</v>
      </c>
      <c r="K2725" s="10">
        <v>0.22472240493937207</v>
      </c>
      <c r="L2725" s="10">
        <v>0.51163591791574337</v>
      </c>
    </row>
    <row r="2726" spans="10:12" x14ac:dyDescent="0.3">
      <c r="J2726">
        <v>2703</v>
      </c>
      <c r="K2726" s="10">
        <v>0.21033317108922847</v>
      </c>
      <c r="L2726" s="10">
        <v>0.38641559721921925</v>
      </c>
    </row>
    <row r="2727" spans="10:12" x14ac:dyDescent="0.3">
      <c r="J2727">
        <v>2704</v>
      </c>
      <c r="K2727" s="10">
        <v>0.22421005983419323</v>
      </c>
      <c r="L2727" s="10">
        <v>0.17484420090833688</v>
      </c>
    </row>
    <row r="2728" spans="10:12" x14ac:dyDescent="0.3">
      <c r="J2728">
        <v>2705</v>
      </c>
      <c r="K2728" s="10">
        <v>0.19206469428715203</v>
      </c>
      <c r="L2728" s="10">
        <v>0.39940340782769068</v>
      </c>
    </row>
    <row r="2729" spans="10:12" x14ac:dyDescent="0.3">
      <c r="J2729">
        <v>2706</v>
      </c>
      <c r="K2729" s="10">
        <v>0.19207482249974067</v>
      </c>
      <c r="L2729" s="10">
        <v>0.38419112036999503</v>
      </c>
    </row>
    <row r="2730" spans="10:12" x14ac:dyDescent="0.3">
      <c r="J2730">
        <v>2707</v>
      </c>
      <c r="K2730" s="10">
        <v>0.19252102122608658</v>
      </c>
      <c r="L2730" s="10">
        <v>0.25928527643199401</v>
      </c>
    </row>
    <row r="2731" spans="10:12" x14ac:dyDescent="0.3">
      <c r="J2731">
        <v>2708</v>
      </c>
      <c r="K2731" s="10">
        <v>0.20782557547562366</v>
      </c>
      <c r="L2731" s="10">
        <v>0.43729040283182324</v>
      </c>
    </row>
    <row r="2732" spans="10:12" x14ac:dyDescent="0.3">
      <c r="J2732">
        <v>2709</v>
      </c>
      <c r="K2732" s="10">
        <v>0.19771232204296432</v>
      </c>
      <c r="L2732" s="10">
        <v>0.24580102098015252</v>
      </c>
    </row>
    <row r="2733" spans="10:12" x14ac:dyDescent="0.3">
      <c r="J2733">
        <v>2710</v>
      </c>
      <c r="K2733" s="10">
        <v>0.196836693180271</v>
      </c>
      <c r="L2733" s="10">
        <v>0.33154138769794234</v>
      </c>
    </row>
    <row r="2734" spans="10:12" x14ac:dyDescent="0.3">
      <c r="J2734">
        <v>2711</v>
      </c>
      <c r="K2734" s="10">
        <v>0.19478053572669224</v>
      </c>
      <c r="L2734" s="10">
        <v>0.25576539596483588</v>
      </c>
    </row>
    <row r="2735" spans="10:12" x14ac:dyDescent="0.3">
      <c r="J2735">
        <v>2712</v>
      </c>
      <c r="K2735" s="10">
        <v>0.20894006989997901</v>
      </c>
      <c r="L2735" s="10">
        <v>8.8524196702182006E-2</v>
      </c>
    </row>
    <row r="2736" spans="10:12" x14ac:dyDescent="0.3">
      <c r="J2736">
        <v>2713</v>
      </c>
      <c r="K2736" s="10">
        <v>0.19875087768581959</v>
      </c>
      <c r="L2736" s="10">
        <v>0.18982643452848755</v>
      </c>
    </row>
    <row r="2737" spans="10:12" x14ac:dyDescent="0.3">
      <c r="J2737">
        <v>2714</v>
      </c>
      <c r="K2737" s="10">
        <v>0.19967726456655538</v>
      </c>
      <c r="L2737" s="10">
        <v>0.40864503297080057</v>
      </c>
    </row>
    <row r="2738" spans="10:12" x14ac:dyDescent="0.3">
      <c r="J2738">
        <v>2715</v>
      </c>
      <c r="K2738" s="10">
        <v>0.20153511746272806</v>
      </c>
      <c r="L2738" s="10">
        <v>0.30358514599983361</v>
      </c>
    </row>
    <row r="2739" spans="10:12" x14ac:dyDescent="0.3">
      <c r="J2739">
        <v>2716</v>
      </c>
      <c r="K2739" s="10">
        <v>0.22560725649923621</v>
      </c>
      <c r="L2739" s="10">
        <v>2.9098519496992312E-2</v>
      </c>
    </row>
    <row r="2740" spans="10:12" x14ac:dyDescent="0.3">
      <c r="J2740">
        <v>2717</v>
      </c>
      <c r="K2740" s="10">
        <v>0.199154960566432</v>
      </c>
      <c r="L2740" s="10">
        <v>0.2744601195732092</v>
      </c>
    </row>
    <row r="2741" spans="10:12" x14ac:dyDescent="0.3">
      <c r="J2741">
        <v>2718</v>
      </c>
      <c r="K2741" s="10">
        <v>0.19584077298674107</v>
      </c>
      <c r="L2741" s="10">
        <v>0.21673806241158758</v>
      </c>
    </row>
    <row r="2742" spans="10:12" x14ac:dyDescent="0.3">
      <c r="J2742">
        <v>2719</v>
      </c>
      <c r="K2742" s="10">
        <v>0.24301245779701069</v>
      </c>
      <c r="L2742" s="10">
        <v>0.11129075150605763</v>
      </c>
    </row>
    <row r="2743" spans="10:12" x14ac:dyDescent="0.3">
      <c r="J2743">
        <v>2720</v>
      </c>
      <c r="K2743" s="10">
        <v>0.21097635273314766</v>
      </c>
      <c r="L2743" s="10">
        <v>0.14977648131824955</v>
      </c>
    </row>
    <row r="2744" spans="10:12" x14ac:dyDescent="0.3">
      <c r="J2744">
        <v>2721</v>
      </c>
      <c r="K2744" s="10">
        <v>0.19993682947920774</v>
      </c>
      <c r="L2744" s="10">
        <v>0.34281358941705486</v>
      </c>
    </row>
    <row r="2745" spans="10:12" x14ac:dyDescent="0.3">
      <c r="J2745">
        <v>2722</v>
      </c>
      <c r="K2745" s="10">
        <v>0.19208741304005464</v>
      </c>
      <c r="L2745" s="10">
        <v>0.22758904037051791</v>
      </c>
    </row>
    <row r="2746" spans="10:12" x14ac:dyDescent="0.3">
      <c r="J2746">
        <v>2723</v>
      </c>
      <c r="K2746" s="10">
        <v>0.21925900521631117</v>
      </c>
      <c r="L2746" s="10">
        <v>0.31608222130982472</v>
      </c>
    </row>
    <row r="2747" spans="10:12" x14ac:dyDescent="0.3">
      <c r="J2747">
        <v>2724</v>
      </c>
      <c r="K2747" s="10">
        <v>0.18987629993650282</v>
      </c>
      <c r="L2747" s="10">
        <v>0.35629302093155379</v>
      </c>
    </row>
    <row r="2748" spans="10:12" x14ac:dyDescent="0.3">
      <c r="J2748">
        <v>2725</v>
      </c>
      <c r="K2748" s="10">
        <v>0.19360113198817733</v>
      </c>
      <c r="L2748" s="10">
        <v>0.24635951299956987</v>
      </c>
    </row>
    <row r="2749" spans="10:12" x14ac:dyDescent="0.3">
      <c r="J2749">
        <v>2726</v>
      </c>
      <c r="K2749" s="10">
        <v>0.20020832923728338</v>
      </c>
      <c r="L2749" s="10">
        <v>0.15127555371220702</v>
      </c>
    </row>
    <row r="2750" spans="10:12" x14ac:dyDescent="0.3">
      <c r="J2750">
        <v>2727</v>
      </c>
      <c r="K2750" s="10">
        <v>0.20808225466499941</v>
      </c>
      <c r="L2750" s="10">
        <v>0.52850152986677246</v>
      </c>
    </row>
    <row r="2751" spans="10:12" x14ac:dyDescent="0.3">
      <c r="J2751">
        <v>2728</v>
      </c>
      <c r="K2751" s="10">
        <v>0.20723315478131843</v>
      </c>
      <c r="L2751" s="10">
        <v>9.4577863553194239E-2</v>
      </c>
    </row>
    <row r="2752" spans="10:12" x14ac:dyDescent="0.3">
      <c r="J2752">
        <v>2729</v>
      </c>
      <c r="K2752" s="10">
        <v>0.22388542306947479</v>
      </c>
      <c r="L2752" s="10">
        <v>6.003259565937643E-2</v>
      </c>
    </row>
    <row r="2753" spans="10:12" x14ac:dyDescent="0.3">
      <c r="J2753">
        <v>2730</v>
      </c>
      <c r="K2753" s="10">
        <v>0.29440808874529567</v>
      </c>
      <c r="L2753" s="10">
        <v>9.2168510226950495E-2</v>
      </c>
    </row>
    <row r="2754" spans="10:12" x14ac:dyDescent="0.3">
      <c r="J2754">
        <v>2731</v>
      </c>
      <c r="K2754" s="10">
        <v>0.22006285047412397</v>
      </c>
      <c r="L2754" s="10">
        <v>0.28137730926386734</v>
      </c>
    </row>
    <row r="2755" spans="10:12" x14ac:dyDescent="0.3">
      <c r="J2755">
        <v>2732</v>
      </c>
      <c r="K2755" s="10">
        <v>0.20553812140897224</v>
      </c>
      <c r="L2755" s="10">
        <v>0.1449469347589985</v>
      </c>
    </row>
    <row r="2756" spans="10:12" x14ac:dyDescent="0.3">
      <c r="J2756">
        <v>2733</v>
      </c>
      <c r="K2756" s="10">
        <v>0.20841119332736521</v>
      </c>
      <c r="L2756" s="10">
        <v>0.34183500757715451</v>
      </c>
    </row>
    <row r="2757" spans="10:12" x14ac:dyDescent="0.3">
      <c r="J2757">
        <v>2734</v>
      </c>
      <c r="K2757" s="10">
        <v>0.21636983047264097</v>
      </c>
      <c r="L2757" s="10">
        <v>0.37818880592918297</v>
      </c>
    </row>
    <row r="2758" spans="10:12" x14ac:dyDescent="0.3">
      <c r="J2758">
        <v>2735</v>
      </c>
      <c r="K2758" s="10">
        <v>0.2392461985951724</v>
      </c>
      <c r="L2758" s="10">
        <v>5.1600264011283786E-3</v>
      </c>
    </row>
    <row r="2759" spans="10:12" x14ac:dyDescent="0.3">
      <c r="J2759">
        <v>2736</v>
      </c>
      <c r="K2759" s="10">
        <v>0.19076292185240395</v>
      </c>
      <c r="L2759" s="10">
        <v>0.25004051282361422</v>
      </c>
    </row>
    <row r="2760" spans="10:12" x14ac:dyDescent="0.3">
      <c r="J2760">
        <v>2737</v>
      </c>
      <c r="K2760" s="10">
        <v>0.23049202005736619</v>
      </c>
      <c r="L2760" s="10">
        <v>9.7526762093698843E-2</v>
      </c>
    </row>
    <row r="2761" spans="10:12" x14ac:dyDescent="0.3">
      <c r="J2761">
        <v>2738</v>
      </c>
      <c r="K2761" s="10">
        <v>0.19597936508719208</v>
      </c>
      <c r="L2761" s="10">
        <v>0.27675161898026196</v>
      </c>
    </row>
    <row r="2762" spans="10:12" x14ac:dyDescent="0.3">
      <c r="J2762">
        <v>2739</v>
      </c>
      <c r="K2762" s="10">
        <v>0.20557798653669174</v>
      </c>
      <c r="L2762" s="10">
        <v>0.1066572874874009</v>
      </c>
    </row>
    <row r="2763" spans="10:12" x14ac:dyDescent="0.3">
      <c r="J2763">
        <v>2740</v>
      </c>
      <c r="K2763" s="10">
        <v>0.20057973903582027</v>
      </c>
      <c r="L2763" s="10">
        <v>0.19534229856379975</v>
      </c>
    </row>
    <row r="2764" spans="10:12" x14ac:dyDescent="0.3">
      <c r="J2764">
        <v>2741</v>
      </c>
      <c r="K2764" s="10">
        <v>0.20541445118309604</v>
      </c>
      <c r="L2764" s="10">
        <v>0.36380173353520989</v>
      </c>
    </row>
    <row r="2765" spans="10:12" x14ac:dyDescent="0.3">
      <c r="J2765">
        <v>2742</v>
      </c>
      <c r="K2765" s="10">
        <v>0.1969436360433327</v>
      </c>
      <c r="L2765" s="10">
        <v>0.43203452032850209</v>
      </c>
    </row>
    <row r="2766" spans="10:12" x14ac:dyDescent="0.3">
      <c r="J2766">
        <v>2743</v>
      </c>
      <c r="K2766" s="10">
        <v>0.24839279292023972</v>
      </c>
      <c r="L2766" s="10">
        <v>0.24671667511245807</v>
      </c>
    </row>
    <row r="2767" spans="10:12" x14ac:dyDescent="0.3">
      <c r="J2767">
        <v>2744</v>
      </c>
      <c r="K2767" s="10">
        <v>0.21544615254618882</v>
      </c>
      <c r="L2767" s="10">
        <v>9.6594441502329154E-2</v>
      </c>
    </row>
    <row r="2768" spans="10:12" x14ac:dyDescent="0.3">
      <c r="J2768">
        <v>2745</v>
      </c>
      <c r="K2768" s="10">
        <v>0.19037686967307152</v>
      </c>
      <c r="L2768" s="10">
        <v>0.26019395599374034</v>
      </c>
    </row>
    <row r="2769" spans="10:12" x14ac:dyDescent="0.3">
      <c r="J2769">
        <v>2746</v>
      </c>
      <c r="K2769" s="10">
        <v>0.20928134649650951</v>
      </c>
      <c r="L2769" s="10">
        <v>0.53573439652879273</v>
      </c>
    </row>
    <row r="2770" spans="10:12" x14ac:dyDescent="0.3">
      <c r="J2770">
        <v>2747</v>
      </c>
      <c r="K2770" s="10">
        <v>0.27377284070874713</v>
      </c>
      <c r="L2770" s="10">
        <v>0.11691365271129041</v>
      </c>
    </row>
    <row r="2771" spans="10:12" x14ac:dyDescent="0.3">
      <c r="J2771">
        <v>2748</v>
      </c>
      <c r="K2771" s="10">
        <v>0.21786228699878141</v>
      </c>
      <c r="L2771" s="10">
        <v>0.50649449347964925</v>
      </c>
    </row>
    <row r="2772" spans="10:12" x14ac:dyDescent="0.3">
      <c r="J2772">
        <v>2749</v>
      </c>
      <c r="K2772" s="10">
        <v>0.19377360098741439</v>
      </c>
      <c r="L2772" s="10">
        <v>0.20711935833310874</v>
      </c>
    </row>
    <row r="2773" spans="10:12" x14ac:dyDescent="0.3">
      <c r="J2773">
        <v>2750</v>
      </c>
      <c r="K2773" s="10">
        <v>0.20124705272002311</v>
      </c>
      <c r="L2773" s="10">
        <v>0.12910256829300343</v>
      </c>
    </row>
    <row r="2774" spans="10:12" x14ac:dyDescent="0.3">
      <c r="J2774">
        <v>2751</v>
      </c>
      <c r="K2774" s="10">
        <v>0.22601521593565829</v>
      </c>
      <c r="L2774" s="10">
        <v>0.1994567683715133</v>
      </c>
    </row>
    <row r="2775" spans="10:12" x14ac:dyDescent="0.3">
      <c r="J2775">
        <v>2752</v>
      </c>
      <c r="K2775" s="10">
        <v>0.24845648735699224</v>
      </c>
      <c r="L2775" s="10">
        <v>-4.9396868814638256E-2</v>
      </c>
    </row>
    <row r="2776" spans="10:12" x14ac:dyDescent="0.3">
      <c r="J2776">
        <v>2753</v>
      </c>
      <c r="K2776" s="10">
        <v>0.19248220839940403</v>
      </c>
      <c r="L2776" s="10">
        <v>0.30426099531626838</v>
      </c>
    </row>
    <row r="2777" spans="10:12" x14ac:dyDescent="0.3">
      <c r="J2777">
        <v>2754</v>
      </c>
      <c r="K2777" s="10">
        <v>0.28248615001810762</v>
      </c>
      <c r="L2777" s="10">
        <v>9.8536651201406755E-2</v>
      </c>
    </row>
    <row r="2778" spans="10:12" x14ac:dyDescent="0.3">
      <c r="J2778">
        <v>2755</v>
      </c>
      <c r="K2778" s="10">
        <v>0.20208961900754108</v>
      </c>
      <c r="L2778" s="10">
        <v>0.13589107010055756</v>
      </c>
    </row>
    <row r="2779" spans="10:12" x14ac:dyDescent="0.3">
      <c r="J2779">
        <v>2756</v>
      </c>
      <c r="K2779" s="10">
        <v>0.24552915341681769</v>
      </c>
      <c r="L2779" s="10">
        <v>0.16828234572208248</v>
      </c>
    </row>
    <row r="2780" spans="10:12" x14ac:dyDescent="0.3">
      <c r="J2780">
        <v>2757</v>
      </c>
      <c r="K2780" s="10">
        <v>0.2084004397885264</v>
      </c>
      <c r="L2780" s="10">
        <v>0.15298463017046809</v>
      </c>
    </row>
    <row r="2781" spans="10:12" x14ac:dyDescent="0.3">
      <c r="J2781">
        <v>2758</v>
      </c>
      <c r="K2781" s="10">
        <v>0.20513069459047945</v>
      </c>
      <c r="L2781" s="10">
        <v>0.51272922667470489</v>
      </c>
    </row>
    <row r="2782" spans="10:12" x14ac:dyDescent="0.3">
      <c r="J2782">
        <v>2759</v>
      </c>
      <c r="K2782" s="10">
        <v>0.19324043849173267</v>
      </c>
      <c r="L2782" s="10">
        <v>0.32527857098974255</v>
      </c>
    </row>
    <row r="2783" spans="10:12" x14ac:dyDescent="0.3">
      <c r="J2783">
        <v>2760</v>
      </c>
      <c r="K2783" s="10">
        <v>0.21900270159460297</v>
      </c>
      <c r="L2783" s="10">
        <v>6.8833560883769393E-2</v>
      </c>
    </row>
    <row r="2784" spans="10:12" x14ac:dyDescent="0.3">
      <c r="J2784">
        <v>2761</v>
      </c>
      <c r="K2784" s="10">
        <v>0.22200622896389074</v>
      </c>
      <c r="L2784" s="10">
        <v>0.51790381605742697</v>
      </c>
    </row>
    <row r="2785" spans="10:12" x14ac:dyDescent="0.3">
      <c r="J2785">
        <v>2762</v>
      </c>
      <c r="K2785" s="10">
        <v>0.19949081802036031</v>
      </c>
      <c r="L2785" s="10">
        <v>0.45993882590385338</v>
      </c>
    </row>
    <row r="2786" spans="10:12" x14ac:dyDescent="0.3">
      <c r="J2786">
        <v>2763</v>
      </c>
      <c r="K2786" s="10">
        <v>0.23155637393997844</v>
      </c>
      <c r="L2786" s="10">
        <v>0.2937167297624676</v>
      </c>
    </row>
    <row r="2787" spans="10:12" x14ac:dyDescent="0.3">
      <c r="J2787">
        <v>2764</v>
      </c>
      <c r="K2787" s="10">
        <v>0.24597215134704373</v>
      </c>
      <c r="L2787" s="10">
        <v>-7.2404375998109394E-2</v>
      </c>
    </row>
    <row r="2788" spans="10:12" x14ac:dyDescent="0.3">
      <c r="J2788">
        <v>2765</v>
      </c>
      <c r="K2788" s="10">
        <v>0.27959222389632538</v>
      </c>
      <c r="L2788" s="10">
        <v>-8.2691278888687963E-2</v>
      </c>
    </row>
    <row r="2789" spans="10:12" x14ac:dyDescent="0.3">
      <c r="J2789">
        <v>2766</v>
      </c>
      <c r="K2789" s="10">
        <v>0.24095632612382242</v>
      </c>
      <c r="L2789" s="10">
        <v>-2.1224072596999419E-2</v>
      </c>
    </row>
    <row r="2790" spans="10:12" x14ac:dyDescent="0.3">
      <c r="J2790">
        <v>2767</v>
      </c>
      <c r="K2790" s="10">
        <v>0.19905514066492391</v>
      </c>
      <c r="L2790" s="10">
        <v>0.19318346553833241</v>
      </c>
    </row>
    <row r="2791" spans="10:12" x14ac:dyDescent="0.3">
      <c r="J2791">
        <v>2768</v>
      </c>
      <c r="K2791" s="10">
        <v>0.20285267897096543</v>
      </c>
      <c r="L2791" s="10">
        <v>0.49155536075958672</v>
      </c>
    </row>
    <row r="2792" spans="10:12" x14ac:dyDescent="0.3">
      <c r="J2792">
        <v>2769</v>
      </c>
      <c r="K2792" s="10">
        <v>0.20350584866038299</v>
      </c>
      <c r="L2792" s="10">
        <v>0.42439638793855539</v>
      </c>
    </row>
    <row r="2793" spans="10:12" x14ac:dyDescent="0.3">
      <c r="J2793">
        <v>2770</v>
      </c>
      <c r="K2793" s="10">
        <v>0.22400018842085631</v>
      </c>
      <c r="L2793" s="10">
        <v>0.34087622373919418</v>
      </c>
    </row>
    <row r="2794" spans="10:12" x14ac:dyDescent="0.3">
      <c r="J2794">
        <v>2771</v>
      </c>
      <c r="K2794" s="10">
        <v>0.21214126803359684</v>
      </c>
      <c r="L2794" s="10">
        <v>0.26973163007941076</v>
      </c>
    </row>
    <row r="2795" spans="10:12" x14ac:dyDescent="0.3">
      <c r="J2795">
        <v>2772</v>
      </c>
      <c r="K2795" s="10">
        <v>0.23337150822895214</v>
      </c>
      <c r="L2795" s="10">
        <v>0.30720817004933015</v>
      </c>
    </row>
    <row r="2796" spans="10:12" x14ac:dyDescent="0.3">
      <c r="J2796">
        <v>2773</v>
      </c>
      <c r="K2796" s="10">
        <v>0.21268495846656307</v>
      </c>
      <c r="L2796" s="10">
        <v>0.4328868964617324</v>
      </c>
    </row>
    <row r="2797" spans="10:12" x14ac:dyDescent="0.3">
      <c r="J2797">
        <v>2774</v>
      </c>
      <c r="K2797" s="10">
        <v>0.1888056945718371</v>
      </c>
      <c r="L2797" s="10">
        <v>0.29400601177709473</v>
      </c>
    </row>
    <row r="2798" spans="10:12" x14ac:dyDescent="0.3">
      <c r="J2798">
        <v>2775</v>
      </c>
      <c r="K2798" s="10">
        <v>0.25105177103816739</v>
      </c>
      <c r="L2798" s="10">
        <v>0.73224707322225469</v>
      </c>
    </row>
    <row r="2799" spans="10:12" x14ac:dyDescent="0.3">
      <c r="J2799">
        <v>2776</v>
      </c>
      <c r="K2799" s="10">
        <v>0.22565696246001052</v>
      </c>
      <c r="L2799" s="10">
        <v>1.4388405500511486E-2</v>
      </c>
    </row>
    <row r="2800" spans="10:12" x14ac:dyDescent="0.3">
      <c r="J2800">
        <v>2777</v>
      </c>
      <c r="K2800" s="10">
        <v>0.22316342412819221</v>
      </c>
      <c r="L2800" s="10">
        <v>0.40846839286280451</v>
      </c>
    </row>
    <row r="2801" spans="10:12" x14ac:dyDescent="0.3">
      <c r="J2801">
        <v>2778</v>
      </c>
      <c r="K2801" s="10">
        <v>0.18951375821633112</v>
      </c>
      <c r="L2801" s="10">
        <v>0.29428027889708314</v>
      </c>
    </row>
    <row r="2802" spans="10:12" x14ac:dyDescent="0.3">
      <c r="J2802">
        <v>2779</v>
      </c>
      <c r="K2802" s="10">
        <v>0.20318841217360592</v>
      </c>
      <c r="L2802" s="10">
        <v>0.4134851394256851</v>
      </c>
    </row>
    <row r="2803" spans="10:12" x14ac:dyDescent="0.3">
      <c r="J2803">
        <v>2780</v>
      </c>
      <c r="K2803" s="10">
        <v>0.24443271750781165</v>
      </c>
      <c r="L2803" s="10">
        <v>-3.5519710549215038E-2</v>
      </c>
    </row>
    <row r="2804" spans="10:12" x14ac:dyDescent="0.3">
      <c r="J2804">
        <v>2781</v>
      </c>
      <c r="K2804" s="10">
        <v>0.22136924405550501</v>
      </c>
      <c r="L2804" s="10">
        <v>9.685119058302244E-3</v>
      </c>
    </row>
    <row r="2805" spans="10:12" x14ac:dyDescent="0.3">
      <c r="J2805">
        <v>2782</v>
      </c>
      <c r="K2805" s="10">
        <v>0.19557033418608213</v>
      </c>
      <c r="L2805" s="10">
        <v>0.38713874241105528</v>
      </c>
    </row>
    <row r="2806" spans="10:12" x14ac:dyDescent="0.3">
      <c r="J2806">
        <v>2783</v>
      </c>
      <c r="K2806" s="10">
        <v>0.21958371725915682</v>
      </c>
      <c r="L2806" s="10">
        <v>0.29600752798525953</v>
      </c>
    </row>
    <row r="2807" spans="10:12" x14ac:dyDescent="0.3">
      <c r="J2807">
        <v>2784</v>
      </c>
      <c r="K2807" s="10">
        <v>0.22597771303204123</v>
      </c>
      <c r="L2807" s="10">
        <v>0.1646725537701603</v>
      </c>
    </row>
    <row r="2808" spans="10:12" x14ac:dyDescent="0.3">
      <c r="J2808">
        <v>2785</v>
      </c>
      <c r="K2808" s="10">
        <v>0.19113354612105785</v>
      </c>
      <c r="L2808" s="10">
        <v>0.31868940626181275</v>
      </c>
    </row>
    <row r="2809" spans="10:12" x14ac:dyDescent="0.3">
      <c r="J2809">
        <v>2786</v>
      </c>
      <c r="K2809" s="10">
        <v>0.20109258719824449</v>
      </c>
      <c r="L2809" s="10">
        <v>0.38632279354664745</v>
      </c>
    </row>
    <row r="2810" spans="10:12" x14ac:dyDescent="0.3">
      <c r="J2810">
        <v>2787</v>
      </c>
      <c r="K2810" s="10">
        <v>0.20067135146158538</v>
      </c>
      <c r="L2810" s="10">
        <v>0.23000613208754397</v>
      </c>
    </row>
    <row r="2811" spans="10:12" x14ac:dyDescent="0.3">
      <c r="J2811">
        <v>2788</v>
      </c>
      <c r="K2811" s="10">
        <v>0.21238060694535887</v>
      </c>
      <c r="L2811" s="10">
        <v>0.36956419395660878</v>
      </c>
    </row>
    <row r="2812" spans="10:12" x14ac:dyDescent="0.3">
      <c r="J2812">
        <v>2789</v>
      </c>
      <c r="K2812" s="10">
        <v>0.20992135420522912</v>
      </c>
      <c r="L2812" s="10">
        <v>0.17539889652358387</v>
      </c>
    </row>
    <row r="2813" spans="10:12" x14ac:dyDescent="0.3">
      <c r="J2813">
        <v>2790</v>
      </c>
      <c r="K2813" s="10">
        <v>0.20721895539954449</v>
      </c>
      <c r="L2813" s="10">
        <v>0.1003052803111022</v>
      </c>
    </row>
    <row r="2814" spans="10:12" x14ac:dyDescent="0.3">
      <c r="J2814">
        <v>2791</v>
      </c>
      <c r="K2814" s="10">
        <v>0.26287319845505147</v>
      </c>
      <c r="L2814" s="10">
        <v>9.0271919374769249E-2</v>
      </c>
    </row>
    <row r="2815" spans="10:12" x14ac:dyDescent="0.3">
      <c r="J2815">
        <v>2792</v>
      </c>
      <c r="K2815" s="10">
        <v>0.19624141413462592</v>
      </c>
      <c r="L2815" s="10">
        <v>0.38436903361205632</v>
      </c>
    </row>
    <row r="2816" spans="10:12" x14ac:dyDescent="0.3">
      <c r="J2816">
        <v>2793</v>
      </c>
      <c r="K2816" s="10">
        <v>0.23520264129362706</v>
      </c>
      <c r="L2816" s="10">
        <v>8.5139525643739583E-2</v>
      </c>
    </row>
    <row r="2817" spans="10:12" x14ac:dyDescent="0.3">
      <c r="J2817">
        <v>2794</v>
      </c>
      <c r="K2817" s="10">
        <v>0.25659133841658366</v>
      </c>
      <c r="L2817" s="10">
        <v>4.3020185097718391E-2</v>
      </c>
    </row>
    <row r="2818" spans="10:12" x14ac:dyDescent="0.3">
      <c r="J2818">
        <v>2795</v>
      </c>
      <c r="K2818" s="10">
        <v>0.2139954144751918</v>
      </c>
      <c r="L2818" s="10">
        <v>0.10575219853912105</v>
      </c>
    </row>
    <row r="2819" spans="10:12" x14ac:dyDescent="0.3">
      <c r="J2819">
        <v>2796</v>
      </c>
      <c r="K2819" s="10">
        <v>0.19274886074898678</v>
      </c>
      <c r="L2819" s="10">
        <v>0.26846030070317206</v>
      </c>
    </row>
    <row r="2820" spans="10:12" x14ac:dyDescent="0.3">
      <c r="J2820">
        <v>2797</v>
      </c>
      <c r="K2820" s="10">
        <v>0.199590244100049</v>
      </c>
      <c r="L2820" s="10">
        <v>0.22793312645713773</v>
      </c>
    </row>
    <row r="2821" spans="10:12" x14ac:dyDescent="0.3">
      <c r="J2821">
        <v>2798</v>
      </c>
      <c r="K2821" s="10">
        <v>0.2310658915456075</v>
      </c>
      <c r="L2821" s="10">
        <v>1.9672972135032933E-2</v>
      </c>
    </row>
    <row r="2822" spans="10:12" x14ac:dyDescent="0.3">
      <c r="J2822">
        <v>2799</v>
      </c>
      <c r="K2822" s="10">
        <v>0.2425709299157113</v>
      </c>
      <c r="L2822" s="10">
        <v>0.69610816802985076</v>
      </c>
    </row>
    <row r="2823" spans="10:12" x14ac:dyDescent="0.3">
      <c r="J2823">
        <v>2800</v>
      </c>
      <c r="K2823" s="10">
        <v>0.21881989189850778</v>
      </c>
      <c r="L2823" s="10">
        <v>0.37501911495568518</v>
      </c>
    </row>
    <row r="2824" spans="10:12" x14ac:dyDescent="0.3">
      <c r="J2824">
        <v>2801</v>
      </c>
      <c r="K2824" s="10">
        <v>0.21541557416489085</v>
      </c>
      <c r="L2824" s="10">
        <v>4.501016525149483E-2</v>
      </c>
    </row>
    <row r="2825" spans="10:12" x14ac:dyDescent="0.3">
      <c r="J2825">
        <v>2802</v>
      </c>
      <c r="K2825" s="10">
        <v>0.20485142079976604</v>
      </c>
      <c r="L2825" s="10">
        <v>0.36037651237912427</v>
      </c>
    </row>
    <row r="2826" spans="10:12" x14ac:dyDescent="0.3">
      <c r="J2826">
        <v>2803</v>
      </c>
      <c r="K2826" s="10">
        <v>0.21454352725296483</v>
      </c>
      <c r="L2826" s="10">
        <v>0.47083561497233595</v>
      </c>
    </row>
    <row r="2827" spans="10:12" x14ac:dyDescent="0.3">
      <c r="J2827">
        <v>2804</v>
      </c>
      <c r="K2827" s="10">
        <v>0.20215102768647603</v>
      </c>
      <c r="L2827" s="10">
        <v>0.17177348872113118</v>
      </c>
    </row>
    <row r="2828" spans="10:12" x14ac:dyDescent="0.3">
      <c r="J2828">
        <v>2805</v>
      </c>
      <c r="K2828" s="10">
        <v>0.19823095244589092</v>
      </c>
      <c r="L2828" s="10">
        <v>0.3712507410696454</v>
      </c>
    </row>
    <row r="2829" spans="10:12" x14ac:dyDescent="0.3">
      <c r="J2829">
        <v>2806</v>
      </c>
      <c r="K2829" s="10">
        <v>0.20344028823889851</v>
      </c>
      <c r="L2829" s="10">
        <v>0.11419691747810043</v>
      </c>
    </row>
    <row r="2830" spans="10:12" x14ac:dyDescent="0.3">
      <c r="J2830">
        <v>2807</v>
      </c>
      <c r="K2830" s="10">
        <v>0.19911415480061753</v>
      </c>
      <c r="L2830" s="10">
        <v>0.46766306600211671</v>
      </c>
    </row>
    <row r="2831" spans="10:12" x14ac:dyDescent="0.3">
      <c r="J2831">
        <v>2808</v>
      </c>
      <c r="K2831" s="10">
        <v>0.19214390867762976</v>
      </c>
      <c r="L2831" s="10">
        <v>0.38735924577904357</v>
      </c>
    </row>
    <row r="2832" spans="10:12" x14ac:dyDescent="0.3">
      <c r="J2832">
        <v>2809</v>
      </c>
      <c r="K2832" s="10">
        <v>0.21123804831749238</v>
      </c>
      <c r="L2832" s="10">
        <v>0.46999917354783721</v>
      </c>
    </row>
    <row r="2833" spans="10:12" x14ac:dyDescent="0.3">
      <c r="J2833">
        <v>2810</v>
      </c>
      <c r="K2833" s="10">
        <v>0.24279391691654983</v>
      </c>
      <c r="L2833" s="10">
        <v>9.9385201515668875E-2</v>
      </c>
    </row>
    <row r="2834" spans="10:12" x14ac:dyDescent="0.3">
      <c r="J2834">
        <v>2811</v>
      </c>
      <c r="K2834" s="10">
        <v>0.22331185603644069</v>
      </c>
      <c r="L2834" s="10">
        <v>0.43770793048025636</v>
      </c>
    </row>
    <row r="2835" spans="10:12" x14ac:dyDescent="0.3">
      <c r="J2835">
        <v>2812</v>
      </c>
      <c r="K2835" s="10">
        <v>0.19904752398232048</v>
      </c>
      <c r="L2835" s="10">
        <v>0.46428528511747841</v>
      </c>
    </row>
    <row r="2836" spans="10:12" x14ac:dyDescent="0.3">
      <c r="J2836">
        <v>2813</v>
      </c>
      <c r="K2836" s="10">
        <v>0.25091453011347054</v>
      </c>
      <c r="L2836" s="10">
        <v>0.14381052735461514</v>
      </c>
    </row>
    <row r="2837" spans="10:12" x14ac:dyDescent="0.3">
      <c r="J2837">
        <v>2814</v>
      </c>
      <c r="K2837" s="10">
        <v>0.21769324896568304</v>
      </c>
      <c r="L2837" s="10">
        <v>0.172372189598616</v>
      </c>
    </row>
    <row r="2838" spans="10:12" x14ac:dyDescent="0.3">
      <c r="J2838">
        <v>2815</v>
      </c>
      <c r="K2838" s="10">
        <v>0.2010326023765476</v>
      </c>
      <c r="L2838" s="10">
        <v>0.18249851005906909</v>
      </c>
    </row>
    <row r="2839" spans="10:12" x14ac:dyDescent="0.3">
      <c r="J2839">
        <v>2816</v>
      </c>
      <c r="K2839" s="10">
        <v>0.26929132299138619</v>
      </c>
      <c r="L2839" s="10">
        <v>-8.0414797589627066E-2</v>
      </c>
    </row>
    <row r="2840" spans="10:12" x14ac:dyDescent="0.3">
      <c r="J2840">
        <v>2817</v>
      </c>
      <c r="K2840" s="10">
        <v>0.18868906293633236</v>
      </c>
      <c r="L2840" s="10">
        <v>0.30420291693787765</v>
      </c>
    </row>
    <row r="2841" spans="10:12" x14ac:dyDescent="0.3">
      <c r="J2841">
        <v>2818</v>
      </c>
      <c r="K2841" s="10">
        <v>0.20634242646348647</v>
      </c>
      <c r="L2841" s="10">
        <v>9.2892634177376365E-2</v>
      </c>
    </row>
    <row r="2842" spans="10:12" x14ac:dyDescent="0.3">
      <c r="J2842">
        <v>2819</v>
      </c>
      <c r="K2842" s="10">
        <v>0.24062634086125348</v>
      </c>
      <c r="L2842" s="10">
        <v>0.68220698467081997</v>
      </c>
    </row>
    <row r="2843" spans="10:12" x14ac:dyDescent="0.3">
      <c r="J2843">
        <v>2820</v>
      </c>
      <c r="K2843" s="10">
        <v>0.21607975534988036</v>
      </c>
      <c r="L2843" s="10">
        <v>0.15869498758601827</v>
      </c>
    </row>
    <row r="2844" spans="10:12" x14ac:dyDescent="0.3">
      <c r="J2844">
        <v>2821</v>
      </c>
      <c r="K2844" s="10">
        <v>0.20144400133644746</v>
      </c>
      <c r="L2844" s="10">
        <v>0.16170903610007639</v>
      </c>
    </row>
    <row r="2845" spans="10:12" x14ac:dyDescent="0.3">
      <c r="J2845">
        <v>2822</v>
      </c>
      <c r="K2845" s="10">
        <v>0.19616053405457143</v>
      </c>
      <c r="L2845" s="10">
        <v>0.20914860020828022</v>
      </c>
    </row>
    <row r="2846" spans="10:12" x14ac:dyDescent="0.3">
      <c r="J2846">
        <v>2823</v>
      </c>
      <c r="K2846" s="10">
        <v>0.19924426362467426</v>
      </c>
      <c r="L2846" s="10">
        <v>0.17292312339936405</v>
      </c>
    </row>
    <row r="2847" spans="10:12" x14ac:dyDescent="0.3">
      <c r="J2847">
        <v>2824</v>
      </c>
      <c r="K2847" s="10">
        <v>0.19794215925738964</v>
      </c>
      <c r="L2847" s="10">
        <v>0.27476159158985952</v>
      </c>
    </row>
    <row r="2848" spans="10:12" x14ac:dyDescent="0.3">
      <c r="J2848">
        <v>2825</v>
      </c>
      <c r="K2848" s="10">
        <v>0.19208037760578589</v>
      </c>
      <c r="L2848" s="10">
        <v>0.28668980799832311</v>
      </c>
    </row>
    <row r="2849" spans="10:12" x14ac:dyDescent="0.3">
      <c r="J2849">
        <v>2826</v>
      </c>
      <c r="K2849" s="10">
        <v>0.20127141774462967</v>
      </c>
      <c r="L2849" s="10">
        <v>0.14611087390117158</v>
      </c>
    </row>
    <row r="2850" spans="10:12" x14ac:dyDescent="0.3">
      <c r="J2850">
        <v>2827</v>
      </c>
      <c r="K2850" s="10">
        <v>0.23592937516906873</v>
      </c>
      <c r="L2850" s="10">
        <v>-4.3986802500625796E-2</v>
      </c>
    </row>
    <row r="2851" spans="10:12" x14ac:dyDescent="0.3">
      <c r="J2851">
        <v>2828</v>
      </c>
      <c r="K2851" s="10">
        <v>0.19908261556940449</v>
      </c>
      <c r="L2851" s="10">
        <v>0.45277047948971355</v>
      </c>
    </row>
    <row r="2852" spans="10:12" x14ac:dyDescent="0.3">
      <c r="J2852">
        <v>2829</v>
      </c>
      <c r="K2852" s="10">
        <v>0.20149277754469908</v>
      </c>
      <c r="L2852" s="10">
        <v>0.15263009253765239</v>
      </c>
    </row>
    <row r="2853" spans="10:12" x14ac:dyDescent="0.3">
      <c r="J2853">
        <v>2830</v>
      </c>
      <c r="K2853" s="10">
        <v>0.22900492414782797</v>
      </c>
      <c r="L2853" s="10">
        <v>0.13092390520695055</v>
      </c>
    </row>
    <row r="2854" spans="10:12" x14ac:dyDescent="0.3">
      <c r="J2854">
        <v>2831</v>
      </c>
      <c r="K2854" s="10">
        <v>0.22637582054509622</v>
      </c>
      <c r="L2854" s="10">
        <v>7.2961564724059305E-2</v>
      </c>
    </row>
    <row r="2855" spans="10:12" x14ac:dyDescent="0.3">
      <c r="J2855">
        <v>2832</v>
      </c>
      <c r="K2855" s="10">
        <v>0.22294926986188252</v>
      </c>
      <c r="L2855" s="10">
        <v>7.1382651361683452E-2</v>
      </c>
    </row>
    <row r="2856" spans="10:12" x14ac:dyDescent="0.3">
      <c r="J2856">
        <v>2833</v>
      </c>
      <c r="K2856" s="10">
        <v>0.18965904638880146</v>
      </c>
      <c r="L2856" s="10">
        <v>0.26481957926867122</v>
      </c>
    </row>
    <row r="2857" spans="10:12" x14ac:dyDescent="0.3">
      <c r="J2857">
        <v>2834</v>
      </c>
      <c r="K2857" s="10">
        <v>0.26600409983056306</v>
      </c>
      <c r="L2857" s="10">
        <v>8.6686938401109762E-2</v>
      </c>
    </row>
    <row r="2858" spans="10:12" x14ac:dyDescent="0.3">
      <c r="J2858">
        <v>2835</v>
      </c>
      <c r="K2858" s="10">
        <v>0.28847577339992181</v>
      </c>
      <c r="L2858" s="10">
        <v>7.4081077520686392E-2</v>
      </c>
    </row>
    <row r="2859" spans="10:12" x14ac:dyDescent="0.3">
      <c r="J2859">
        <v>2836</v>
      </c>
      <c r="K2859" s="10">
        <v>0.19642809551060922</v>
      </c>
      <c r="L2859" s="10">
        <v>0.34986832315848709</v>
      </c>
    </row>
    <row r="2860" spans="10:12" x14ac:dyDescent="0.3">
      <c r="J2860">
        <v>2837</v>
      </c>
      <c r="K2860" s="10">
        <v>0.2066289070510228</v>
      </c>
      <c r="L2860" s="10">
        <v>0.15381835891117429</v>
      </c>
    </row>
    <row r="2861" spans="10:12" x14ac:dyDescent="0.3">
      <c r="J2861">
        <v>2838</v>
      </c>
      <c r="K2861" s="10">
        <v>0.25124251575325113</v>
      </c>
      <c r="L2861" s="10">
        <v>1.0146610658379209E-2</v>
      </c>
    </row>
    <row r="2862" spans="10:12" x14ac:dyDescent="0.3">
      <c r="J2862">
        <v>2839</v>
      </c>
      <c r="K2862" s="10">
        <v>0.19891386424409482</v>
      </c>
      <c r="L2862" s="10">
        <v>0.18874584306231276</v>
      </c>
    </row>
    <row r="2863" spans="10:12" x14ac:dyDescent="0.3">
      <c r="J2863">
        <v>2840</v>
      </c>
      <c r="K2863" s="10">
        <v>0.20903910547035826</v>
      </c>
      <c r="L2863" s="10">
        <v>8.7235185544028176E-2</v>
      </c>
    </row>
    <row r="2864" spans="10:12" x14ac:dyDescent="0.3">
      <c r="J2864">
        <v>2841</v>
      </c>
      <c r="K2864" s="10">
        <v>0.21298241271892313</v>
      </c>
      <c r="L2864" s="10">
        <v>0.37341544612277566</v>
      </c>
    </row>
    <row r="2865" spans="10:12" x14ac:dyDescent="0.3">
      <c r="J2865">
        <v>2842</v>
      </c>
      <c r="K2865" s="10">
        <v>0.19064555882512077</v>
      </c>
      <c r="L2865" s="10">
        <v>0.24951502051176155</v>
      </c>
    </row>
    <row r="2866" spans="10:12" x14ac:dyDescent="0.3">
      <c r="J2866">
        <v>2843</v>
      </c>
      <c r="K2866" s="10">
        <v>0.20330375973443682</v>
      </c>
      <c r="L2866" s="10">
        <v>0.44722751933611482</v>
      </c>
    </row>
    <row r="2867" spans="10:12" x14ac:dyDescent="0.3">
      <c r="J2867">
        <v>2844</v>
      </c>
      <c r="K2867" s="10">
        <v>0.20683175359757783</v>
      </c>
      <c r="L2867" s="10">
        <v>0.31277737615106388</v>
      </c>
    </row>
    <row r="2868" spans="10:12" x14ac:dyDescent="0.3">
      <c r="J2868">
        <v>2845</v>
      </c>
      <c r="K2868" s="10">
        <v>0.23981975925820562</v>
      </c>
      <c r="L2868" s="10">
        <v>7.1436417249282541E-2</v>
      </c>
    </row>
    <row r="2869" spans="10:12" x14ac:dyDescent="0.3">
      <c r="J2869">
        <v>2846</v>
      </c>
      <c r="K2869" s="10">
        <v>0.2661163346679481</v>
      </c>
      <c r="L2869" s="10">
        <v>4.0326710850259337E-2</v>
      </c>
    </row>
    <row r="2870" spans="10:12" x14ac:dyDescent="0.3">
      <c r="J2870">
        <v>2847</v>
      </c>
      <c r="K2870" s="10">
        <v>0.18998327355562883</v>
      </c>
      <c r="L2870" s="10">
        <v>0.26362319269122059</v>
      </c>
    </row>
    <row r="2871" spans="10:12" x14ac:dyDescent="0.3">
      <c r="J2871">
        <v>2848</v>
      </c>
      <c r="K2871" s="10">
        <v>0.19150360496376162</v>
      </c>
      <c r="L2871" s="10">
        <v>0.38566178095735221</v>
      </c>
    </row>
    <row r="2872" spans="10:12" x14ac:dyDescent="0.3">
      <c r="J2872">
        <v>2849</v>
      </c>
      <c r="K2872" s="10">
        <v>0.22657883788768476</v>
      </c>
      <c r="L2872" s="10">
        <v>-8.9179467339562529E-3</v>
      </c>
    </row>
    <row r="2873" spans="10:12" x14ac:dyDescent="0.3">
      <c r="J2873">
        <v>2850</v>
      </c>
      <c r="K2873" s="10">
        <v>0.23226426372719688</v>
      </c>
      <c r="L2873" s="10">
        <v>-5.5517659111858908E-4</v>
      </c>
    </row>
    <row r="2874" spans="10:12" x14ac:dyDescent="0.3">
      <c r="J2874">
        <v>2851</v>
      </c>
      <c r="K2874" s="10">
        <v>0.21979537716886091</v>
      </c>
      <c r="L2874" s="10">
        <v>3.1862297646884162E-2</v>
      </c>
    </row>
    <row r="2875" spans="10:12" x14ac:dyDescent="0.3">
      <c r="J2875">
        <v>2852</v>
      </c>
      <c r="K2875" s="10">
        <v>0.22652725424004733</v>
      </c>
      <c r="L2875" s="10">
        <v>0.26465737639630926</v>
      </c>
    </row>
    <row r="2876" spans="10:12" x14ac:dyDescent="0.3">
      <c r="J2876">
        <v>2853</v>
      </c>
      <c r="K2876" s="10">
        <v>0.19186079279771756</v>
      </c>
      <c r="L2876" s="10">
        <v>0.23050360587761851</v>
      </c>
    </row>
    <row r="2877" spans="10:12" x14ac:dyDescent="0.3">
      <c r="J2877">
        <v>2854</v>
      </c>
      <c r="K2877" s="10">
        <v>0.1977569458406668</v>
      </c>
      <c r="L2877" s="10">
        <v>0.32473520196168126</v>
      </c>
    </row>
    <row r="2878" spans="10:12" x14ac:dyDescent="0.3">
      <c r="J2878">
        <v>2855</v>
      </c>
      <c r="K2878" s="10">
        <v>0.21134276893566686</v>
      </c>
      <c r="L2878" s="10">
        <v>0.11314862561421835</v>
      </c>
    </row>
    <row r="2879" spans="10:12" x14ac:dyDescent="0.3">
      <c r="J2879">
        <v>2856</v>
      </c>
      <c r="K2879" s="10">
        <v>0.23992416439986827</v>
      </c>
      <c r="L2879" s="10">
        <v>3.1996282277562856E-2</v>
      </c>
    </row>
    <row r="2880" spans="10:12" x14ac:dyDescent="0.3">
      <c r="J2880">
        <v>2857</v>
      </c>
      <c r="K2880" s="10">
        <v>0.20706583068180437</v>
      </c>
      <c r="L2880" s="10">
        <v>0.37030192029149533</v>
      </c>
    </row>
    <row r="2881" spans="10:12" x14ac:dyDescent="0.3">
      <c r="J2881">
        <v>2858</v>
      </c>
      <c r="K2881" s="10">
        <v>0.20605137709651686</v>
      </c>
      <c r="L2881" s="10">
        <v>0.49503302583780567</v>
      </c>
    </row>
    <row r="2882" spans="10:12" x14ac:dyDescent="0.3">
      <c r="J2882">
        <v>2859</v>
      </c>
      <c r="K2882" s="10">
        <v>0.22941245332221769</v>
      </c>
      <c r="L2882" s="10">
        <v>-8.5013570217772685E-3</v>
      </c>
    </row>
    <row r="2883" spans="10:12" x14ac:dyDescent="0.3">
      <c r="J2883">
        <v>2860</v>
      </c>
      <c r="K2883" s="10">
        <v>0.24323665971325034</v>
      </c>
      <c r="L2883" s="10">
        <v>-5.092962573732053E-2</v>
      </c>
    </row>
    <row r="2884" spans="10:12" x14ac:dyDescent="0.3">
      <c r="J2884">
        <v>2861</v>
      </c>
      <c r="K2884" s="10">
        <v>0.18901559181294614</v>
      </c>
      <c r="L2884" s="10">
        <v>0.32639677651931565</v>
      </c>
    </row>
    <row r="2885" spans="10:12" x14ac:dyDescent="0.3">
      <c r="J2885">
        <v>2862</v>
      </c>
      <c r="K2885" s="10">
        <v>0.19835026480602957</v>
      </c>
      <c r="L2885" s="10">
        <v>0.23513559834958628</v>
      </c>
    </row>
    <row r="2886" spans="10:12" x14ac:dyDescent="0.3">
      <c r="J2886">
        <v>2863</v>
      </c>
      <c r="K2886" s="10">
        <v>0.24755700216512341</v>
      </c>
      <c r="L2886" s="10">
        <v>-1.890212376007535E-2</v>
      </c>
    </row>
    <row r="2887" spans="10:12" x14ac:dyDescent="0.3">
      <c r="J2887">
        <v>2864</v>
      </c>
      <c r="K2887" s="10">
        <v>0.24133223754549452</v>
      </c>
      <c r="L2887" s="10">
        <v>-7.7679607667708983E-2</v>
      </c>
    </row>
    <row r="2888" spans="10:12" x14ac:dyDescent="0.3">
      <c r="J2888">
        <v>2865</v>
      </c>
      <c r="K2888" s="10">
        <v>0.22946344005789687</v>
      </c>
      <c r="L2888" s="10">
        <v>3.5514419887869512E-2</v>
      </c>
    </row>
    <row r="2889" spans="10:12" x14ac:dyDescent="0.3">
      <c r="J2889">
        <v>2866</v>
      </c>
      <c r="K2889" s="10">
        <v>0.22808153830715822</v>
      </c>
      <c r="L2889" s="10">
        <v>0.2317136213181433</v>
      </c>
    </row>
    <row r="2890" spans="10:12" x14ac:dyDescent="0.3">
      <c r="J2890">
        <v>2867</v>
      </c>
      <c r="K2890" s="10">
        <v>0.18924396365493332</v>
      </c>
      <c r="L2890" s="10">
        <v>0.27638202189294003</v>
      </c>
    </row>
    <row r="2891" spans="10:12" x14ac:dyDescent="0.3">
      <c r="J2891">
        <v>2868</v>
      </c>
      <c r="K2891" s="10">
        <v>0.19650590957756037</v>
      </c>
      <c r="L2891" s="10">
        <v>0.33126762554025152</v>
      </c>
    </row>
    <row r="2892" spans="10:12" x14ac:dyDescent="0.3">
      <c r="J2892">
        <v>2869</v>
      </c>
      <c r="K2892" s="10">
        <v>0.20571623018841706</v>
      </c>
      <c r="L2892" s="10">
        <v>0.1836944594149042</v>
      </c>
    </row>
    <row r="2893" spans="10:12" x14ac:dyDescent="0.3">
      <c r="J2893">
        <v>2870</v>
      </c>
      <c r="K2893" s="10">
        <v>0.24599487754491031</v>
      </c>
      <c r="L2893" s="10">
        <v>7.0351269492788443E-2</v>
      </c>
    </row>
    <row r="2894" spans="10:12" x14ac:dyDescent="0.3">
      <c r="J2894">
        <v>2871</v>
      </c>
      <c r="K2894" s="10">
        <v>0.22046072056921659</v>
      </c>
      <c r="L2894" s="10">
        <v>4.0469979845627536E-2</v>
      </c>
    </row>
    <row r="2895" spans="10:12" x14ac:dyDescent="0.3">
      <c r="J2895">
        <v>2872</v>
      </c>
      <c r="K2895" s="10">
        <v>0.20807675674849185</v>
      </c>
      <c r="L2895" s="10">
        <v>0.51083222405489437</v>
      </c>
    </row>
    <row r="2896" spans="10:12" x14ac:dyDescent="0.3">
      <c r="J2896">
        <v>2873</v>
      </c>
      <c r="K2896" s="10">
        <v>0.28556090785018273</v>
      </c>
      <c r="L2896" s="10">
        <v>-7.1513559362195112E-2</v>
      </c>
    </row>
    <row r="2897" spans="10:12" x14ac:dyDescent="0.3">
      <c r="J2897">
        <v>2874</v>
      </c>
      <c r="K2897" s="10">
        <v>0.19657963565924158</v>
      </c>
      <c r="L2897" s="10">
        <v>0.41125722401402776</v>
      </c>
    </row>
    <row r="2898" spans="10:12" x14ac:dyDescent="0.3">
      <c r="J2898">
        <v>2875</v>
      </c>
      <c r="K2898" s="10">
        <v>0.19397378838567494</v>
      </c>
      <c r="L2898" s="10">
        <v>0.26621883808206193</v>
      </c>
    </row>
    <row r="2899" spans="10:12" x14ac:dyDescent="0.3">
      <c r="J2899">
        <v>2876</v>
      </c>
      <c r="K2899" s="10">
        <v>0.20511903073686105</v>
      </c>
      <c r="L2899" s="10">
        <v>0.47089270117002469</v>
      </c>
    </row>
    <row r="2900" spans="10:12" x14ac:dyDescent="0.3">
      <c r="J2900">
        <v>2877</v>
      </c>
      <c r="K2900" s="10">
        <v>0.23657783220301065</v>
      </c>
      <c r="L2900" s="10">
        <v>-3.4080290773732383E-2</v>
      </c>
    </row>
    <row r="2901" spans="10:12" x14ac:dyDescent="0.3">
      <c r="J2901">
        <v>2878</v>
      </c>
      <c r="K2901" s="10">
        <v>0.24506830192490986</v>
      </c>
      <c r="L2901" s="10">
        <v>0.15670217178102994</v>
      </c>
    </row>
    <row r="2902" spans="10:12" x14ac:dyDescent="0.3">
      <c r="J2902">
        <v>2879</v>
      </c>
      <c r="K2902" s="10">
        <v>0.19661316100220891</v>
      </c>
      <c r="L2902" s="10">
        <v>0.26089951741639988</v>
      </c>
    </row>
    <row r="2903" spans="10:12" x14ac:dyDescent="0.3">
      <c r="J2903">
        <v>2880</v>
      </c>
      <c r="K2903" s="10">
        <v>0.19635952846457227</v>
      </c>
      <c r="L2903" s="10">
        <v>0.35940265070661792</v>
      </c>
    </row>
    <row r="2904" spans="10:12" x14ac:dyDescent="0.3">
      <c r="J2904">
        <v>2881</v>
      </c>
      <c r="K2904" s="10">
        <v>0.22133091474986916</v>
      </c>
      <c r="L2904" s="10">
        <v>0.37955973854822289</v>
      </c>
    </row>
    <row r="2905" spans="10:12" x14ac:dyDescent="0.3">
      <c r="J2905">
        <v>2882</v>
      </c>
      <c r="K2905" s="10">
        <v>0.24670610070475646</v>
      </c>
      <c r="L2905" s="10">
        <v>0.1474665437897564</v>
      </c>
    </row>
    <row r="2906" spans="10:12" x14ac:dyDescent="0.3">
      <c r="J2906">
        <v>2883</v>
      </c>
      <c r="K2906" s="10">
        <v>0.236261009618535</v>
      </c>
      <c r="L2906" s="10">
        <v>-5.8048399265689138E-2</v>
      </c>
    </row>
    <row r="2907" spans="10:12" x14ac:dyDescent="0.3">
      <c r="J2907">
        <v>2884</v>
      </c>
      <c r="K2907" s="10">
        <v>0.22203916416915065</v>
      </c>
      <c r="L2907" s="10">
        <v>1.271838668101901E-2</v>
      </c>
    </row>
    <row r="2908" spans="10:12" x14ac:dyDescent="0.3">
      <c r="J2908">
        <v>2885</v>
      </c>
      <c r="K2908" s="10">
        <v>0.1942270711539576</v>
      </c>
      <c r="L2908" s="10">
        <v>0.35624098391200748</v>
      </c>
    </row>
    <row r="2909" spans="10:12" x14ac:dyDescent="0.3">
      <c r="J2909">
        <v>2886</v>
      </c>
      <c r="K2909" s="10">
        <v>0.19750293711914468</v>
      </c>
      <c r="L2909" s="10">
        <v>0.21347822235335981</v>
      </c>
    </row>
    <row r="2910" spans="10:12" x14ac:dyDescent="0.3">
      <c r="J2910">
        <v>2887</v>
      </c>
      <c r="K2910" s="10">
        <v>0.22300548142190824</v>
      </c>
      <c r="L2910" s="10">
        <v>9.3884009809640206E-2</v>
      </c>
    </row>
    <row r="2911" spans="10:12" x14ac:dyDescent="0.3">
      <c r="J2911">
        <v>2888</v>
      </c>
      <c r="K2911" s="10">
        <v>0.19847723071483767</v>
      </c>
      <c r="L2911" s="10">
        <v>0.16676574064745994</v>
      </c>
    </row>
    <row r="2912" spans="10:12" x14ac:dyDescent="0.3">
      <c r="J2912">
        <v>2889</v>
      </c>
      <c r="K2912" s="10">
        <v>0.25763989161805856</v>
      </c>
      <c r="L2912" s="10">
        <v>0.75797738235745249</v>
      </c>
    </row>
    <row r="2913" spans="10:12" x14ac:dyDescent="0.3">
      <c r="J2913">
        <v>2890</v>
      </c>
      <c r="K2913" s="10">
        <v>0.1954145352864792</v>
      </c>
      <c r="L2913" s="10">
        <v>0.41544853086359529</v>
      </c>
    </row>
    <row r="2914" spans="10:12" x14ac:dyDescent="0.3">
      <c r="J2914">
        <v>2891</v>
      </c>
      <c r="K2914" s="10">
        <v>0.21641793984292457</v>
      </c>
      <c r="L2914" s="10">
        <v>0.1791332905411917</v>
      </c>
    </row>
    <row r="2915" spans="10:12" x14ac:dyDescent="0.3">
      <c r="J2915">
        <v>2892</v>
      </c>
      <c r="K2915" s="10">
        <v>0.21283102983112989</v>
      </c>
      <c r="L2915" s="10">
        <v>0.37070155354395667</v>
      </c>
    </row>
    <row r="2916" spans="10:12" x14ac:dyDescent="0.3">
      <c r="J2916">
        <v>2893</v>
      </c>
      <c r="K2916" s="10">
        <v>0.19697504480459266</v>
      </c>
      <c r="L2916" s="10">
        <v>0.22419362645883451</v>
      </c>
    </row>
    <row r="2917" spans="10:12" x14ac:dyDescent="0.3">
      <c r="J2917">
        <v>2894</v>
      </c>
      <c r="K2917" s="10">
        <v>0.23867609731823439</v>
      </c>
      <c r="L2917" s="10">
        <v>-6.1696412808679137E-2</v>
      </c>
    </row>
    <row r="2918" spans="10:12" x14ac:dyDescent="0.3">
      <c r="J2918">
        <v>2895</v>
      </c>
      <c r="K2918" s="10">
        <v>0.19278531997798262</v>
      </c>
      <c r="L2918" s="10">
        <v>0.21620493316431197</v>
      </c>
    </row>
    <row r="2919" spans="10:12" x14ac:dyDescent="0.3">
      <c r="J2919">
        <v>2896</v>
      </c>
      <c r="K2919" s="10">
        <v>0.20250432198542573</v>
      </c>
      <c r="L2919" s="10">
        <v>0.20645009710935758</v>
      </c>
    </row>
    <row r="2920" spans="10:12" x14ac:dyDescent="0.3">
      <c r="J2920">
        <v>2897</v>
      </c>
      <c r="K2920" s="10">
        <v>0.20294404544222902</v>
      </c>
      <c r="L2920" s="10">
        <v>0.16438501475229145</v>
      </c>
    </row>
    <row r="2921" spans="10:12" x14ac:dyDescent="0.3">
      <c r="J2921">
        <v>2898</v>
      </c>
      <c r="K2921" s="10">
        <v>0.22249543075980888</v>
      </c>
      <c r="L2921" s="10">
        <v>0.10046393943160548</v>
      </c>
    </row>
    <row r="2922" spans="10:12" x14ac:dyDescent="0.3">
      <c r="J2922">
        <v>2899</v>
      </c>
      <c r="K2922" s="10">
        <v>0.24247368326433277</v>
      </c>
      <c r="L2922" s="10">
        <v>0.12614310798159045</v>
      </c>
    </row>
    <row r="2923" spans="10:12" x14ac:dyDescent="0.3">
      <c r="J2923">
        <v>2900</v>
      </c>
      <c r="K2923" s="10">
        <v>0.25209199847394559</v>
      </c>
      <c r="L2923" s="10">
        <v>-8.1638712672402497E-2</v>
      </c>
    </row>
    <row r="2924" spans="10:12" x14ac:dyDescent="0.3">
      <c r="J2924">
        <v>2901</v>
      </c>
      <c r="K2924" s="10">
        <v>0.24984588578552883</v>
      </c>
      <c r="L2924" s="10">
        <v>-6.7016969207660815E-3</v>
      </c>
    </row>
    <row r="2925" spans="10:12" x14ac:dyDescent="0.3">
      <c r="J2925">
        <v>2902</v>
      </c>
      <c r="K2925" s="10">
        <v>0.2027527287789819</v>
      </c>
      <c r="L2925" s="10">
        <v>0.15436815528776582</v>
      </c>
    </row>
    <row r="2926" spans="10:12" x14ac:dyDescent="0.3">
      <c r="J2926">
        <v>2903</v>
      </c>
      <c r="K2926" s="10">
        <v>0.20878804378386992</v>
      </c>
      <c r="L2926" s="10">
        <v>0.23086100984839619</v>
      </c>
    </row>
    <row r="2927" spans="10:12" x14ac:dyDescent="0.3">
      <c r="J2927">
        <v>2904</v>
      </c>
      <c r="K2927" s="10">
        <v>0.20675993876552681</v>
      </c>
      <c r="L2927" s="10">
        <v>0.28234582824354443</v>
      </c>
    </row>
    <row r="2928" spans="10:12" x14ac:dyDescent="0.3">
      <c r="J2928">
        <v>2905</v>
      </c>
      <c r="K2928" s="10">
        <v>0.21412312094602406</v>
      </c>
      <c r="L2928" s="10">
        <v>8.8746602575673114E-2</v>
      </c>
    </row>
    <row r="2929" spans="10:12" x14ac:dyDescent="0.3">
      <c r="J2929">
        <v>2906</v>
      </c>
      <c r="K2929" s="10">
        <v>0.22550887187993365</v>
      </c>
      <c r="L2929" s="10">
        <v>0.61715943320210809</v>
      </c>
    </row>
    <row r="2930" spans="10:12" x14ac:dyDescent="0.3">
      <c r="J2930">
        <v>2907</v>
      </c>
      <c r="K2930" s="10">
        <v>0.19243221446827147</v>
      </c>
      <c r="L2930" s="10">
        <v>0.40254823401615952</v>
      </c>
    </row>
    <row r="2931" spans="10:12" x14ac:dyDescent="0.3">
      <c r="J2931">
        <v>2908</v>
      </c>
      <c r="K2931" s="10">
        <v>0.194510656930836</v>
      </c>
      <c r="L2931" s="10">
        <v>0.42173368884332035</v>
      </c>
    </row>
    <row r="2932" spans="10:12" x14ac:dyDescent="0.3">
      <c r="J2932">
        <v>2909</v>
      </c>
      <c r="K2932" s="10">
        <v>0.19077957542718679</v>
      </c>
      <c r="L2932" s="10">
        <v>0.37947052696670092</v>
      </c>
    </row>
    <row r="2933" spans="10:12" x14ac:dyDescent="0.3">
      <c r="J2933">
        <v>2910</v>
      </c>
      <c r="K2933" s="10">
        <v>0.21633989105967169</v>
      </c>
      <c r="L2933" s="10">
        <v>0.55020677702288134</v>
      </c>
    </row>
    <row r="2934" spans="10:12" x14ac:dyDescent="0.3">
      <c r="J2934">
        <v>2911</v>
      </c>
      <c r="K2934" s="10">
        <v>0.22850041845189012</v>
      </c>
      <c r="L2934" s="10">
        <v>6.7662123291558546E-2</v>
      </c>
    </row>
    <row r="2935" spans="10:12" x14ac:dyDescent="0.3">
      <c r="J2935">
        <v>2912</v>
      </c>
      <c r="K2935" s="10">
        <v>0.21590183513760017</v>
      </c>
      <c r="L2935" s="10">
        <v>0.27388979185400869</v>
      </c>
    </row>
    <row r="2936" spans="10:12" x14ac:dyDescent="0.3">
      <c r="J2936">
        <v>2913</v>
      </c>
      <c r="K2936" s="10">
        <v>0.19623744480727251</v>
      </c>
      <c r="L2936" s="10">
        <v>0.31637588997686977</v>
      </c>
    </row>
    <row r="2937" spans="10:12" x14ac:dyDescent="0.3">
      <c r="J2937">
        <v>2914</v>
      </c>
      <c r="K2937" s="10">
        <v>0.2289430526688519</v>
      </c>
      <c r="L2937" s="10">
        <v>-8.3054099867618109E-4</v>
      </c>
    </row>
    <row r="2938" spans="10:12" x14ac:dyDescent="0.3">
      <c r="J2938">
        <v>2915</v>
      </c>
      <c r="K2938" s="10">
        <v>0.19804515782927262</v>
      </c>
      <c r="L2938" s="10">
        <v>0.45419722401188567</v>
      </c>
    </row>
    <row r="2939" spans="10:12" x14ac:dyDescent="0.3">
      <c r="J2939">
        <v>2916</v>
      </c>
      <c r="K2939" s="10">
        <v>0.21458721913509515</v>
      </c>
      <c r="L2939" s="10">
        <v>0.2418883915324633</v>
      </c>
    </row>
    <row r="2940" spans="10:12" x14ac:dyDescent="0.3">
      <c r="J2940">
        <v>2917</v>
      </c>
      <c r="K2940" s="10">
        <v>0.25267804727023702</v>
      </c>
      <c r="L2940" s="10">
        <v>2.7135826693779286E-2</v>
      </c>
    </row>
    <row r="2941" spans="10:12" x14ac:dyDescent="0.3">
      <c r="J2941">
        <v>2918</v>
      </c>
      <c r="K2941" s="10">
        <v>0.20408378976396727</v>
      </c>
      <c r="L2941" s="10">
        <v>0.33135633249213758</v>
      </c>
    </row>
    <row r="2942" spans="10:12" x14ac:dyDescent="0.3">
      <c r="J2942">
        <v>2919</v>
      </c>
      <c r="K2942" s="10">
        <v>0.19772564248682142</v>
      </c>
      <c r="L2942" s="10">
        <v>0.23774917902660792</v>
      </c>
    </row>
    <row r="2943" spans="10:12" x14ac:dyDescent="0.3">
      <c r="J2943">
        <v>2920</v>
      </c>
      <c r="K2943" s="10">
        <v>0.32277250761412313</v>
      </c>
      <c r="L2943" s="10">
        <v>-4.9659609399549283E-3</v>
      </c>
    </row>
    <row r="2944" spans="10:12" x14ac:dyDescent="0.3">
      <c r="J2944">
        <v>2921</v>
      </c>
      <c r="K2944" s="10">
        <v>0.26957131132928086</v>
      </c>
      <c r="L2944" s="10">
        <v>4.1426765089313755E-2</v>
      </c>
    </row>
    <row r="2945" spans="10:12" x14ac:dyDescent="0.3">
      <c r="J2945">
        <v>2922</v>
      </c>
      <c r="K2945" s="10">
        <v>0.20218137932491198</v>
      </c>
      <c r="L2945" s="10">
        <v>0.45602173430311016</v>
      </c>
    </row>
    <row r="2946" spans="10:12" x14ac:dyDescent="0.3">
      <c r="J2946">
        <v>2923</v>
      </c>
      <c r="K2946" s="10">
        <v>0.20215967962330131</v>
      </c>
      <c r="L2946" s="10">
        <v>0.18943403812956536</v>
      </c>
    </row>
    <row r="2947" spans="10:12" x14ac:dyDescent="0.3">
      <c r="J2947">
        <v>2924</v>
      </c>
      <c r="K2947" s="10">
        <v>0.18893991594115811</v>
      </c>
      <c r="L2947" s="10">
        <v>0.30422241064295569</v>
      </c>
    </row>
    <row r="2948" spans="10:12" x14ac:dyDescent="0.3">
      <c r="J2948">
        <v>2925</v>
      </c>
      <c r="K2948" s="10">
        <v>0.19373746200732131</v>
      </c>
      <c r="L2948" s="10">
        <v>0.35321965115431658</v>
      </c>
    </row>
    <row r="2949" spans="10:12" x14ac:dyDescent="0.3">
      <c r="J2949">
        <v>2926</v>
      </c>
      <c r="K2949" s="10">
        <v>0.21765245071701619</v>
      </c>
      <c r="L2949" s="10">
        <v>5.5423568751144826E-2</v>
      </c>
    </row>
    <row r="2950" spans="10:12" x14ac:dyDescent="0.3">
      <c r="J2950">
        <v>2927</v>
      </c>
      <c r="K2950" s="10">
        <v>0.21047502524635972</v>
      </c>
      <c r="L2950" s="10">
        <v>0.17541165215316706</v>
      </c>
    </row>
    <row r="2951" spans="10:12" x14ac:dyDescent="0.3">
      <c r="J2951">
        <v>2928</v>
      </c>
      <c r="K2951" s="10">
        <v>0.24544984729879021</v>
      </c>
      <c r="L2951" s="10">
        <v>1.3178237918536014E-2</v>
      </c>
    </row>
    <row r="2952" spans="10:12" x14ac:dyDescent="0.3">
      <c r="J2952">
        <v>2929</v>
      </c>
      <c r="K2952" s="10">
        <v>0.24622591586961357</v>
      </c>
      <c r="L2952" s="10">
        <v>0.70233549573678256</v>
      </c>
    </row>
    <row r="2953" spans="10:12" x14ac:dyDescent="0.3">
      <c r="J2953">
        <v>2930</v>
      </c>
      <c r="K2953" s="10">
        <v>0.19062398312243706</v>
      </c>
      <c r="L2953" s="10">
        <v>0.29631548606264391</v>
      </c>
    </row>
    <row r="2954" spans="10:12" x14ac:dyDescent="0.3">
      <c r="J2954">
        <v>2931</v>
      </c>
      <c r="K2954" s="10">
        <v>0.19559799512462575</v>
      </c>
      <c r="L2954" s="10">
        <v>0.17598719735570184</v>
      </c>
    </row>
    <row r="2955" spans="10:12" x14ac:dyDescent="0.3">
      <c r="J2955">
        <v>2932</v>
      </c>
      <c r="K2955" s="10">
        <v>0.19810949123791927</v>
      </c>
      <c r="L2955" s="10">
        <v>0.42962170077132716</v>
      </c>
    </row>
    <row r="2956" spans="10:12" x14ac:dyDescent="0.3">
      <c r="J2956">
        <v>2933</v>
      </c>
      <c r="K2956" s="10">
        <v>0.18915511306702923</v>
      </c>
      <c r="L2956" s="10">
        <v>0.27479568450667163</v>
      </c>
    </row>
    <row r="2957" spans="10:12" x14ac:dyDescent="0.3">
      <c r="J2957">
        <v>2934</v>
      </c>
      <c r="K2957" s="10">
        <v>0.21745036606946047</v>
      </c>
      <c r="L2957" s="10">
        <v>0.41033036309976534</v>
      </c>
    </row>
    <row r="2958" spans="10:12" x14ac:dyDescent="0.3">
      <c r="J2958">
        <v>2935</v>
      </c>
      <c r="K2958" s="10">
        <v>0.20094587131625763</v>
      </c>
      <c r="L2958" s="10">
        <v>0.4795444450192155</v>
      </c>
    </row>
    <row r="2959" spans="10:12" x14ac:dyDescent="0.3">
      <c r="J2959">
        <v>2936</v>
      </c>
      <c r="K2959" s="10">
        <v>0.19075852609537627</v>
      </c>
      <c r="L2959" s="10">
        <v>0.29396399847628363</v>
      </c>
    </row>
    <row r="2960" spans="10:12" x14ac:dyDescent="0.3">
      <c r="J2960">
        <v>2937</v>
      </c>
      <c r="K2960" s="10">
        <v>0.19667303076674786</v>
      </c>
      <c r="L2960" s="10">
        <v>0.29240471712770671</v>
      </c>
    </row>
    <row r="2961" spans="10:12" x14ac:dyDescent="0.3">
      <c r="J2961">
        <v>2938</v>
      </c>
      <c r="K2961" s="10">
        <v>0.18899343531276153</v>
      </c>
      <c r="L2961" s="10">
        <v>0.29378014623962806</v>
      </c>
    </row>
    <row r="2962" spans="10:12" x14ac:dyDescent="0.3">
      <c r="J2962">
        <v>2939</v>
      </c>
      <c r="K2962" s="10">
        <v>0.23459788205543972</v>
      </c>
      <c r="L2962" s="10">
        <v>-5.1068473066308864E-2</v>
      </c>
    </row>
    <row r="2963" spans="10:12" x14ac:dyDescent="0.3">
      <c r="J2963">
        <v>2940</v>
      </c>
      <c r="K2963" s="10">
        <v>0.19589410891744052</v>
      </c>
      <c r="L2963" s="10">
        <v>0.1874415644786826</v>
      </c>
    </row>
    <row r="2964" spans="10:12" x14ac:dyDescent="0.3">
      <c r="J2964">
        <v>2941</v>
      </c>
      <c r="K2964" s="10">
        <v>0.20603241712523246</v>
      </c>
      <c r="L2964" s="10">
        <v>0.19263298785217461</v>
      </c>
    </row>
    <row r="2965" spans="10:12" x14ac:dyDescent="0.3">
      <c r="J2965">
        <v>2942</v>
      </c>
      <c r="K2965" s="10">
        <v>0.22537924957593888</v>
      </c>
      <c r="L2965" s="10">
        <v>0.58642784877924126</v>
      </c>
    </row>
    <row r="2966" spans="10:12" x14ac:dyDescent="0.3">
      <c r="J2966">
        <v>2943</v>
      </c>
      <c r="K2966" s="10">
        <v>0.23625584625356033</v>
      </c>
      <c r="L2966" s="10">
        <v>-5.7611568920836992E-2</v>
      </c>
    </row>
    <row r="2967" spans="10:12" x14ac:dyDescent="0.3">
      <c r="J2967">
        <v>2944</v>
      </c>
      <c r="K2967" s="10">
        <v>0.213856891131527</v>
      </c>
      <c r="L2967" s="10">
        <v>0.39743248684619603</v>
      </c>
    </row>
    <row r="2968" spans="10:12" x14ac:dyDescent="0.3">
      <c r="J2968">
        <v>2945</v>
      </c>
      <c r="K2968" s="10">
        <v>0.21563240222769461</v>
      </c>
      <c r="L2968" s="10">
        <v>0.51302862022686213</v>
      </c>
    </row>
    <row r="2969" spans="10:12" x14ac:dyDescent="0.3">
      <c r="J2969">
        <v>2946</v>
      </c>
      <c r="K2969" s="10">
        <v>0.19888663268420695</v>
      </c>
      <c r="L2969" s="10">
        <v>0.38378897533424366</v>
      </c>
    </row>
    <row r="2970" spans="10:12" x14ac:dyDescent="0.3">
      <c r="J2970">
        <v>2947</v>
      </c>
      <c r="K2970" s="10">
        <v>0.2014737647369034</v>
      </c>
      <c r="L2970" s="10">
        <v>0.3286336583598376</v>
      </c>
    </row>
    <row r="2971" spans="10:12" x14ac:dyDescent="0.3">
      <c r="J2971">
        <v>2948</v>
      </c>
      <c r="K2971" s="10">
        <v>0.19312451429354491</v>
      </c>
      <c r="L2971" s="10">
        <v>0.36146146673518192</v>
      </c>
    </row>
    <row r="2972" spans="10:12" x14ac:dyDescent="0.3">
      <c r="J2972">
        <v>2949</v>
      </c>
      <c r="K2972" s="10">
        <v>0.19508021071603893</v>
      </c>
      <c r="L2972" s="10">
        <v>0.25950909902320257</v>
      </c>
    </row>
    <row r="2973" spans="10:12" x14ac:dyDescent="0.3">
      <c r="J2973">
        <v>2950</v>
      </c>
      <c r="K2973" s="10">
        <v>0.2309606826361196</v>
      </c>
      <c r="L2973" s="10">
        <v>4.3730557908746914E-2</v>
      </c>
    </row>
    <row r="2974" spans="10:12" x14ac:dyDescent="0.3">
      <c r="J2974">
        <v>2951</v>
      </c>
      <c r="K2974" s="10">
        <v>0.19244888968778048</v>
      </c>
      <c r="L2974" s="10">
        <v>0.33118808511396081</v>
      </c>
    </row>
    <row r="2975" spans="10:12" x14ac:dyDescent="0.3">
      <c r="J2975">
        <v>2952</v>
      </c>
      <c r="K2975" s="10">
        <v>0.20689396752436784</v>
      </c>
      <c r="L2975" s="10">
        <v>0.24587328887278304</v>
      </c>
    </row>
    <row r="2976" spans="10:12" x14ac:dyDescent="0.3">
      <c r="J2976">
        <v>2953</v>
      </c>
      <c r="K2976" s="10">
        <v>0.19054955763466758</v>
      </c>
      <c r="L2976" s="10">
        <v>0.24713168208041036</v>
      </c>
    </row>
    <row r="2977" spans="10:12" x14ac:dyDescent="0.3">
      <c r="J2977">
        <v>2954</v>
      </c>
      <c r="K2977" s="10">
        <v>0.22310056824992244</v>
      </c>
      <c r="L2977" s="10">
        <v>2.8006478285425587E-2</v>
      </c>
    </row>
    <row r="2978" spans="10:12" x14ac:dyDescent="0.3">
      <c r="J2978">
        <v>2955</v>
      </c>
      <c r="K2978" s="10">
        <v>0.20686775536365021</v>
      </c>
      <c r="L2978" s="10">
        <v>0.32473576070039378</v>
      </c>
    </row>
    <row r="2979" spans="10:12" x14ac:dyDescent="0.3">
      <c r="J2979">
        <v>2956</v>
      </c>
      <c r="K2979" s="10">
        <v>0.25394105633227237</v>
      </c>
      <c r="L2979" s="10">
        <v>0.74366487816480364</v>
      </c>
    </row>
    <row r="2980" spans="10:12" x14ac:dyDescent="0.3">
      <c r="J2980">
        <v>2957</v>
      </c>
      <c r="K2980" s="10">
        <v>0.20810350008971323</v>
      </c>
      <c r="L2980" s="10">
        <v>0.41965220771895784</v>
      </c>
    </row>
    <row r="2981" spans="10:12" x14ac:dyDescent="0.3">
      <c r="J2981">
        <v>2958</v>
      </c>
      <c r="K2981" s="10">
        <v>0.19847432990556488</v>
      </c>
      <c r="L2981" s="10">
        <v>0.17252776057450198</v>
      </c>
    </row>
    <row r="2982" spans="10:12" x14ac:dyDescent="0.3">
      <c r="J2982">
        <v>2959</v>
      </c>
      <c r="K2982" s="10">
        <v>0.19669709840276942</v>
      </c>
      <c r="L2982" s="10">
        <v>0.29428418960955105</v>
      </c>
    </row>
    <row r="2983" spans="10:12" x14ac:dyDescent="0.3">
      <c r="J2983">
        <v>2960</v>
      </c>
      <c r="K2983" s="10">
        <v>0.22345261404142711</v>
      </c>
      <c r="L2983" s="10">
        <v>6.3232851822506125E-2</v>
      </c>
    </row>
    <row r="2984" spans="10:12" x14ac:dyDescent="0.3">
      <c r="J2984">
        <v>2961</v>
      </c>
      <c r="K2984" s="10">
        <v>0.23081280584816818</v>
      </c>
      <c r="L2984" s="10">
        <v>0.60256875976808877</v>
      </c>
    </row>
    <row r="2985" spans="10:12" x14ac:dyDescent="0.3">
      <c r="J2985">
        <v>2962</v>
      </c>
      <c r="K2985" s="10">
        <v>0.28870618753289401</v>
      </c>
      <c r="L2985" s="10">
        <v>-5.3336249551024523E-3</v>
      </c>
    </row>
    <row r="2986" spans="10:12" x14ac:dyDescent="0.3">
      <c r="J2986">
        <v>2963</v>
      </c>
      <c r="K2986" s="10">
        <v>0.2474529608256153</v>
      </c>
      <c r="L2986" s="10">
        <v>0.26273409453582075</v>
      </c>
    </row>
    <row r="2987" spans="10:12" x14ac:dyDescent="0.3">
      <c r="J2987">
        <v>2964</v>
      </c>
      <c r="K2987" s="10">
        <v>0.20135778340385421</v>
      </c>
      <c r="L2987" s="10">
        <v>0.17559323112448</v>
      </c>
    </row>
    <row r="2988" spans="10:12" x14ac:dyDescent="0.3">
      <c r="J2988">
        <v>2965</v>
      </c>
      <c r="K2988" s="10">
        <v>0.2501778620060468</v>
      </c>
      <c r="L2988" s="10">
        <v>-8.7808289106233867E-2</v>
      </c>
    </row>
    <row r="2989" spans="10:12" x14ac:dyDescent="0.3">
      <c r="J2989">
        <v>2966</v>
      </c>
      <c r="K2989" s="10">
        <v>0.19258947293678172</v>
      </c>
      <c r="L2989" s="10">
        <v>0.21872271957572961</v>
      </c>
    </row>
    <row r="2990" spans="10:12" x14ac:dyDescent="0.3">
      <c r="J2990">
        <v>2967</v>
      </c>
      <c r="K2990" s="10">
        <v>0.20098672370266432</v>
      </c>
      <c r="L2990" s="10">
        <v>0.2438865139114392</v>
      </c>
    </row>
    <row r="2991" spans="10:12" x14ac:dyDescent="0.3">
      <c r="J2991">
        <v>2968</v>
      </c>
      <c r="K2991" s="10">
        <v>0.2372305597269902</v>
      </c>
      <c r="L2991" s="10">
        <v>0.18655814663312498</v>
      </c>
    </row>
    <row r="2992" spans="10:12" x14ac:dyDescent="0.3">
      <c r="J2992">
        <v>2969</v>
      </c>
      <c r="K2992" s="10">
        <v>0.18927970354074297</v>
      </c>
      <c r="L2992" s="10">
        <v>0.34462689746211583</v>
      </c>
    </row>
    <row r="2993" spans="10:12" x14ac:dyDescent="0.3">
      <c r="J2993">
        <v>2970</v>
      </c>
      <c r="K2993" s="10">
        <v>0.19450920801128785</v>
      </c>
      <c r="L2993" s="10">
        <v>0.26164047774217281</v>
      </c>
    </row>
    <row r="2994" spans="10:12" x14ac:dyDescent="0.3">
      <c r="J2994">
        <v>2971</v>
      </c>
      <c r="K2994" s="10">
        <v>0.22692290728481626</v>
      </c>
      <c r="L2994" s="10">
        <v>0.20143425510716009</v>
      </c>
    </row>
    <row r="2995" spans="10:12" x14ac:dyDescent="0.3">
      <c r="J2995">
        <v>2972</v>
      </c>
      <c r="K2995" s="10">
        <v>0.20049303817638617</v>
      </c>
      <c r="L2995" s="10">
        <v>0.24721335463090149</v>
      </c>
    </row>
    <row r="2996" spans="10:12" x14ac:dyDescent="0.3">
      <c r="J2996">
        <v>2973</v>
      </c>
      <c r="K2996" s="10">
        <v>0.19231256396073976</v>
      </c>
      <c r="L2996" s="10">
        <v>0.2274467304659972</v>
      </c>
    </row>
    <row r="2997" spans="10:12" x14ac:dyDescent="0.3">
      <c r="J2997">
        <v>2974</v>
      </c>
      <c r="K2997" s="10">
        <v>0.21901415450245129</v>
      </c>
      <c r="L2997" s="10">
        <v>0.142501081243013</v>
      </c>
    </row>
    <row r="2998" spans="10:12" x14ac:dyDescent="0.3">
      <c r="J2998">
        <v>2975</v>
      </c>
      <c r="K2998" s="10">
        <v>0.19886075270414744</v>
      </c>
      <c r="L2998" s="10">
        <v>0.39434792045829831</v>
      </c>
    </row>
    <row r="2999" spans="10:12" x14ac:dyDescent="0.3">
      <c r="J2999">
        <v>2976</v>
      </c>
      <c r="K2999" s="10">
        <v>0.2483078830864259</v>
      </c>
      <c r="L2999" s="10">
        <v>0.127038428169789</v>
      </c>
    </row>
    <row r="3000" spans="10:12" x14ac:dyDescent="0.3">
      <c r="J3000">
        <v>2977</v>
      </c>
      <c r="K3000" s="10">
        <v>0.20424823680239626</v>
      </c>
      <c r="L3000" s="10">
        <v>0.10966796387433121</v>
      </c>
    </row>
    <row r="3001" spans="10:12" x14ac:dyDescent="0.3">
      <c r="J3001">
        <v>2978</v>
      </c>
      <c r="K3001" s="10">
        <v>0.19169978302251714</v>
      </c>
      <c r="L3001" s="10">
        <v>0.28341683121298111</v>
      </c>
    </row>
    <row r="3002" spans="10:12" x14ac:dyDescent="0.3">
      <c r="J3002">
        <v>2979</v>
      </c>
      <c r="K3002" s="10">
        <v>0.20296863362387554</v>
      </c>
      <c r="L3002" s="10">
        <v>0.41059872936268949</v>
      </c>
    </row>
    <row r="3003" spans="10:12" x14ac:dyDescent="0.3">
      <c r="J3003">
        <v>2980</v>
      </c>
      <c r="K3003" s="10">
        <v>0.21094977819725755</v>
      </c>
      <c r="L3003" s="10">
        <v>0.34746005637850491</v>
      </c>
    </row>
    <row r="3004" spans="10:12" x14ac:dyDescent="0.3">
      <c r="J3004">
        <v>2981</v>
      </c>
      <c r="K3004" s="10">
        <v>0.2272821289814099</v>
      </c>
      <c r="L3004" s="10">
        <v>7.6057084200283731E-2</v>
      </c>
    </row>
    <row r="3005" spans="10:12" x14ac:dyDescent="0.3">
      <c r="J3005">
        <v>2982</v>
      </c>
      <c r="K3005" s="10">
        <v>0.19393487734621936</v>
      </c>
      <c r="L3005" s="10">
        <v>0.20105520142042332</v>
      </c>
    </row>
    <row r="3006" spans="10:12" x14ac:dyDescent="0.3">
      <c r="J3006">
        <v>2983</v>
      </c>
      <c r="K3006" s="10">
        <v>0.19338636949148777</v>
      </c>
      <c r="L3006" s="10">
        <v>0.19876275316915312</v>
      </c>
    </row>
    <row r="3007" spans="10:12" x14ac:dyDescent="0.3">
      <c r="J3007">
        <v>2984</v>
      </c>
      <c r="K3007" s="10">
        <v>0.25072573100685386</v>
      </c>
      <c r="L3007" s="10">
        <v>0.12356233467633776</v>
      </c>
    </row>
    <row r="3008" spans="10:12" x14ac:dyDescent="0.3">
      <c r="J3008">
        <v>2985</v>
      </c>
      <c r="K3008" s="10">
        <v>0.22644282707203711</v>
      </c>
      <c r="L3008" s="10">
        <v>0.49760310726529355</v>
      </c>
    </row>
    <row r="3009" spans="10:12" x14ac:dyDescent="0.3">
      <c r="J3009">
        <v>2986</v>
      </c>
      <c r="K3009" s="10">
        <v>0.28162761500518413</v>
      </c>
      <c r="L3009" s="10">
        <v>-2.8441526199424968E-2</v>
      </c>
    </row>
    <row r="3010" spans="10:12" x14ac:dyDescent="0.3">
      <c r="J3010">
        <v>2987</v>
      </c>
      <c r="K3010" s="10">
        <v>0.20475068189325071</v>
      </c>
      <c r="L3010" s="10">
        <v>0.50897898205223147</v>
      </c>
    </row>
    <row r="3011" spans="10:12" x14ac:dyDescent="0.3">
      <c r="J3011">
        <v>2988</v>
      </c>
      <c r="K3011" s="10">
        <v>0.19740482409162921</v>
      </c>
      <c r="L3011" s="10">
        <v>0.25142861765290658</v>
      </c>
    </row>
    <row r="3012" spans="10:12" x14ac:dyDescent="0.3">
      <c r="J3012">
        <v>2989</v>
      </c>
      <c r="K3012" s="10">
        <v>0.20148032245667535</v>
      </c>
      <c r="L3012" s="10">
        <v>0.12674624678408081</v>
      </c>
    </row>
    <row r="3013" spans="10:12" x14ac:dyDescent="0.3">
      <c r="J3013">
        <v>2990</v>
      </c>
      <c r="K3013" s="10">
        <v>0.31647397905296143</v>
      </c>
      <c r="L3013" s="10">
        <v>-1.0559038487923457E-2</v>
      </c>
    </row>
    <row r="3014" spans="10:12" x14ac:dyDescent="0.3">
      <c r="J3014">
        <v>2991</v>
      </c>
      <c r="K3014" s="10">
        <v>0.20251148396150959</v>
      </c>
      <c r="L3014" s="10">
        <v>0.2127332308991276</v>
      </c>
    </row>
    <row r="3015" spans="10:12" x14ac:dyDescent="0.3">
      <c r="J3015">
        <v>2992</v>
      </c>
      <c r="K3015" s="10">
        <v>0.27727862256283303</v>
      </c>
      <c r="L3015" s="10">
        <v>-4.1892774158230714E-2</v>
      </c>
    </row>
    <row r="3016" spans="10:12" x14ac:dyDescent="0.3">
      <c r="J3016">
        <v>2993</v>
      </c>
      <c r="K3016" s="10">
        <v>0.21316736421334767</v>
      </c>
      <c r="L3016" s="10">
        <v>0.55110156782992292</v>
      </c>
    </row>
    <row r="3017" spans="10:12" x14ac:dyDescent="0.3">
      <c r="J3017">
        <v>2994</v>
      </c>
      <c r="K3017" s="10">
        <v>0.20273434131807935</v>
      </c>
      <c r="L3017" s="10">
        <v>0.3983787546139963</v>
      </c>
    </row>
    <row r="3018" spans="10:12" x14ac:dyDescent="0.3">
      <c r="J3018">
        <v>2995</v>
      </c>
      <c r="K3018" s="10">
        <v>0.21830158493637386</v>
      </c>
      <c r="L3018" s="10">
        <v>0.25852339971653471</v>
      </c>
    </row>
    <row r="3019" spans="10:12" x14ac:dyDescent="0.3">
      <c r="J3019">
        <v>2996</v>
      </c>
      <c r="K3019" s="10">
        <v>0.21346921692582271</v>
      </c>
      <c r="L3019" s="10">
        <v>0.27777256802175659</v>
      </c>
    </row>
    <row r="3020" spans="10:12" x14ac:dyDescent="0.3">
      <c r="J3020">
        <v>2997</v>
      </c>
      <c r="K3020" s="10">
        <v>0.20903371142308055</v>
      </c>
      <c r="L3020" s="10">
        <v>0.30763092158490524</v>
      </c>
    </row>
    <row r="3021" spans="10:12" x14ac:dyDescent="0.3">
      <c r="J3021">
        <v>2998</v>
      </c>
      <c r="K3021" s="10">
        <v>0.25498598831932806</v>
      </c>
      <c r="L3021" s="10">
        <v>2.3262061014185504E-2</v>
      </c>
    </row>
    <row r="3022" spans="10:12" x14ac:dyDescent="0.3">
      <c r="J3022">
        <v>2999</v>
      </c>
      <c r="K3022" s="10">
        <v>0.23475071996412017</v>
      </c>
      <c r="L3022" s="10">
        <v>0.22155023969607873</v>
      </c>
    </row>
    <row r="3023" spans="10:12" x14ac:dyDescent="0.3">
      <c r="J3023">
        <v>3000</v>
      </c>
      <c r="K3023" s="10">
        <v>0.27001754697007951</v>
      </c>
      <c r="L3023" s="10">
        <v>1.6825747962823191E-2</v>
      </c>
    </row>
    <row r="3024" spans="10:12" x14ac:dyDescent="0.3">
      <c r="J3024">
        <v>3001</v>
      </c>
      <c r="K3024" s="10">
        <v>0.20297659336324728</v>
      </c>
      <c r="L3024" s="10">
        <v>0.30879652144281083</v>
      </c>
    </row>
    <row r="3025" spans="10:12" x14ac:dyDescent="0.3">
      <c r="J3025">
        <v>3002</v>
      </c>
      <c r="K3025" s="10">
        <v>0.21161646228538145</v>
      </c>
      <c r="L3025" s="10">
        <v>0.30702372163858183</v>
      </c>
    </row>
    <row r="3026" spans="10:12" x14ac:dyDescent="0.3">
      <c r="J3026">
        <v>3003</v>
      </c>
      <c r="K3026" s="10">
        <v>0.19329077567912364</v>
      </c>
      <c r="L3026" s="10">
        <v>0.25633616609132204</v>
      </c>
    </row>
    <row r="3027" spans="10:12" x14ac:dyDescent="0.3">
      <c r="J3027">
        <v>3004</v>
      </c>
      <c r="K3027" s="10">
        <v>0.21852386291417364</v>
      </c>
      <c r="L3027" s="10">
        <v>0.16006144414407927</v>
      </c>
    </row>
    <row r="3028" spans="10:12" x14ac:dyDescent="0.3">
      <c r="J3028">
        <v>3005</v>
      </c>
      <c r="K3028" s="10">
        <v>0.20140716816087836</v>
      </c>
      <c r="L3028" s="10">
        <v>0.16091893890963291</v>
      </c>
    </row>
    <row r="3029" spans="10:12" x14ac:dyDescent="0.3">
      <c r="J3029">
        <v>3006</v>
      </c>
      <c r="K3029" s="10">
        <v>0.19357717952152065</v>
      </c>
      <c r="L3029" s="10">
        <v>0.34654657918521098</v>
      </c>
    </row>
    <row r="3030" spans="10:12" x14ac:dyDescent="0.3">
      <c r="J3030">
        <v>3007</v>
      </c>
      <c r="K3030" s="10">
        <v>0.19264975007654328</v>
      </c>
      <c r="L3030" s="10">
        <v>0.23263415177495267</v>
      </c>
    </row>
    <row r="3031" spans="10:12" x14ac:dyDescent="0.3">
      <c r="J3031">
        <v>3008</v>
      </c>
      <c r="K3031" s="10">
        <v>0.19521947192481923</v>
      </c>
      <c r="L3031" s="10">
        <v>0.27582291759584571</v>
      </c>
    </row>
    <row r="3032" spans="10:12" x14ac:dyDescent="0.3">
      <c r="J3032">
        <v>3009</v>
      </c>
      <c r="K3032" s="10">
        <v>0.19020493492293875</v>
      </c>
      <c r="L3032" s="10">
        <v>0.24683566418373284</v>
      </c>
    </row>
    <row r="3033" spans="10:12" x14ac:dyDescent="0.3">
      <c r="J3033">
        <v>3010</v>
      </c>
      <c r="K3033" s="10">
        <v>0.25612168867717627</v>
      </c>
      <c r="L3033" s="10">
        <v>0.20682022884526172</v>
      </c>
    </row>
    <row r="3034" spans="10:12" x14ac:dyDescent="0.3">
      <c r="J3034">
        <v>3011</v>
      </c>
      <c r="K3034" s="10">
        <v>0.19763955951961287</v>
      </c>
      <c r="L3034" s="10">
        <v>0.25311175282790321</v>
      </c>
    </row>
    <row r="3035" spans="10:12" x14ac:dyDescent="0.3">
      <c r="J3035">
        <v>3012</v>
      </c>
      <c r="K3035" s="10">
        <v>0.19908223910327755</v>
      </c>
      <c r="L3035" s="10">
        <v>0.1571182779181019</v>
      </c>
    </row>
    <row r="3036" spans="10:12" x14ac:dyDescent="0.3">
      <c r="J3036">
        <v>3013</v>
      </c>
      <c r="K3036" s="10">
        <v>0.24538580144118213</v>
      </c>
      <c r="L3036" s="10">
        <v>0.16943465217393183</v>
      </c>
    </row>
    <row r="3037" spans="10:12" x14ac:dyDescent="0.3">
      <c r="J3037">
        <v>3014</v>
      </c>
      <c r="K3037" s="10">
        <v>0.19159561209579551</v>
      </c>
      <c r="L3037" s="10">
        <v>0.3759108691421631</v>
      </c>
    </row>
    <row r="3038" spans="10:12" x14ac:dyDescent="0.3">
      <c r="J3038">
        <v>3015</v>
      </c>
      <c r="K3038" s="10">
        <v>0.29675155430209316</v>
      </c>
      <c r="L3038" s="10">
        <v>-8.6106302869584598E-3</v>
      </c>
    </row>
    <row r="3039" spans="10:12" x14ac:dyDescent="0.3">
      <c r="J3039">
        <v>3016</v>
      </c>
      <c r="K3039" s="10">
        <v>0.20998140795838754</v>
      </c>
      <c r="L3039" s="10">
        <v>9.584876110526365E-2</v>
      </c>
    </row>
    <row r="3040" spans="10:12" x14ac:dyDescent="0.3">
      <c r="J3040">
        <v>3017</v>
      </c>
      <c r="K3040" s="10">
        <v>0.20271267335082313</v>
      </c>
      <c r="L3040" s="10">
        <v>0.39561486959956715</v>
      </c>
    </row>
    <row r="3041" spans="10:12" x14ac:dyDescent="0.3">
      <c r="J3041">
        <v>3018</v>
      </c>
      <c r="K3041" s="10">
        <v>0.19733911398961965</v>
      </c>
      <c r="L3041" s="10">
        <v>0.23667365227049719</v>
      </c>
    </row>
    <row r="3042" spans="10:12" x14ac:dyDescent="0.3">
      <c r="J3042">
        <v>3019</v>
      </c>
      <c r="K3042" s="10">
        <v>0.21594738224851442</v>
      </c>
      <c r="L3042" s="10">
        <v>7.8036721354129313E-2</v>
      </c>
    </row>
    <row r="3043" spans="10:12" x14ac:dyDescent="0.3">
      <c r="J3043">
        <v>3020</v>
      </c>
      <c r="K3043" s="10">
        <v>0.29773643345151568</v>
      </c>
      <c r="L3043" s="10">
        <v>-7.1624459140614147E-2</v>
      </c>
    </row>
    <row r="3044" spans="10:12" x14ac:dyDescent="0.3">
      <c r="J3044">
        <v>3021</v>
      </c>
      <c r="K3044" s="10">
        <v>0.21412737761462272</v>
      </c>
      <c r="L3044" s="10">
        <v>0.36641193043822667</v>
      </c>
    </row>
    <row r="3045" spans="10:12" x14ac:dyDescent="0.3">
      <c r="J3045">
        <v>3022</v>
      </c>
      <c r="K3045" s="10">
        <v>0.2305090273772453</v>
      </c>
      <c r="L3045" s="10">
        <v>0.2694845113178696</v>
      </c>
    </row>
    <row r="3046" spans="10:12" x14ac:dyDescent="0.3">
      <c r="J3046">
        <v>3023</v>
      </c>
      <c r="K3046" s="10">
        <v>0.21001190681797233</v>
      </c>
      <c r="L3046" s="10">
        <v>0.47447936694493298</v>
      </c>
    </row>
    <row r="3047" spans="10:12" x14ac:dyDescent="0.3">
      <c r="J3047">
        <v>3024</v>
      </c>
      <c r="K3047" s="10">
        <v>0.19039026678079513</v>
      </c>
      <c r="L3047" s="10">
        <v>0.31078166561019632</v>
      </c>
    </row>
    <row r="3048" spans="10:12" x14ac:dyDescent="0.3">
      <c r="J3048">
        <v>3025</v>
      </c>
      <c r="K3048" s="10">
        <v>0.19352389117079985</v>
      </c>
      <c r="L3048" s="10">
        <v>0.4053595349562612</v>
      </c>
    </row>
    <row r="3049" spans="10:12" x14ac:dyDescent="0.3">
      <c r="J3049">
        <v>3026</v>
      </c>
      <c r="K3049" s="10">
        <v>0.23522081271333542</v>
      </c>
      <c r="L3049" s="10">
        <v>0.27797208917623872</v>
      </c>
    </row>
    <row r="3050" spans="10:12" x14ac:dyDescent="0.3">
      <c r="J3050">
        <v>3027</v>
      </c>
      <c r="K3050" s="10">
        <v>0.27968782412947657</v>
      </c>
      <c r="L3050" s="10">
        <v>-5.9443726707547606E-5</v>
      </c>
    </row>
    <row r="3051" spans="10:12" x14ac:dyDescent="0.3">
      <c r="J3051">
        <v>3028</v>
      </c>
      <c r="K3051" s="10">
        <v>0.19187898210360832</v>
      </c>
      <c r="L3051" s="10">
        <v>0.22094105646200002</v>
      </c>
    </row>
    <row r="3052" spans="10:12" x14ac:dyDescent="0.3">
      <c r="J3052">
        <v>3029</v>
      </c>
      <c r="K3052" s="10">
        <v>0.23262788794308847</v>
      </c>
      <c r="L3052" s="10">
        <v>-3.0141447003719443E-2</v>
      </c>
    </row>
    <row r="3053" spans="10:12" x14ac:dyDescent="0.3">
      <c r="J3053">
        <v>3030</v>
      </c>
      <c r="K3053" s="10">
        <v>0.26547758884282374</v>
      </c>
      <c r="L3053" s="10">
        <v>-5.1510187848475691E-2</v>
      </c>
    </row>
    <row r="3054" spans="10:12" x14ac:dyDescent="0.3">
      <c r="J3054">
        <v>3031</v>
      </c>
      <c r="K3054" s="10">
        <v>0.19002531553690941</v>
      </c>
      <c r="L3054" s="10">
        <v>0.36099802710869883</v>
      </c>
    </row>
    <row r="3055" spans="10:12" x14ac:dyDescent="0.3">
      <c r="J3055">
        <v>3032</v>
      </c>
      <c r="K3055" s="10">
        <v>0.19746964989514301</v>
      </c>
      <c r="L3055" s="10">
        <v>0.18928458490006805</v>
      </c>
    </row>
    <row r="3056" spans="10:12" x14ac:dyDescent="0.3">
      <c r="J3056">
        <v>3033</v>
      </c>
      <c r="K3056" s="10">
        <v>0.19146840912079266</v>
      </c>
      <c r="L3056" s="10">
        <v>0.37377335073317958</v>
      </c>
    </row>
    <row r="3057" spans="10:12" x14ac:dyDescent="0.3">
      <c r="J3057">
        <v>3034</v>
      </c>
      <c r="K3057" s="10">
        <v>0.20495890401440756</v>
      </c>
      <c r="L3057" s="10">
        <v>0.16168649272553132</v>
      </c>
    </row>
    <row r="3058" spans="10:12" x14ac:dyDescent="0.3">
      <c r="J3058">
        <v>3035</v>
      </c>
      <c r="K3058" s="10">
        <v>0.2063741629415993</v>
      </c>
      <c r="L3058" s="10">
        <v>0.18273662124213555</v>
      </c>
    </row>
    <row r="3059" spans="10:12" x14ac:dyDescent="0.3">
      <c r="J3059">
        <v>3036</v>
      </c>
      <c r="K3059" s="10">
        <v>0.21749912620019821</v>
      </c>
      <c r="L3059" s="10">
        <v>0.58389191080438008</v>
      </c>
    </row>
    <row r="3060" spans="10:12" x14ac:dyDescent="0.3">
      <c r="J3060">
        <v>3037</v>
      </c>
      <c r="K3060" s="10">
        <v>0.29930502741997334</v>
      </c>
      <c r="L3060" s="10">
        <v>4.8208418245072035E-2</v>
      </c>
    </row>
    <row r="3061" spans="10:12" x14ac:dyDescent="0.3">
      <c r="J3061">
        <v>3038</v>
      </c>
      <c r="K3061" s="10">
        <v>0.27870633238683806</v>
      </c>
      <c r="L3061" s="10">
        <v>6.2001416327157145E-2</v>
      </c>
    </row>
    <row r="3062" spans="10:12" x14ac:dyDescent="0.3">
      <c r="J3062">
        <v>3039</v>
      </c>
      <c r="K3062" s="10">
        <v>0.21707259807713314</v>
      </c>
      <c r="L3062" s="10">
        <v>0.22953180720531474</v>
      </c>
    </row>
    <row r="3063" spans="10:12" x14ac:dyDescent="0.3">
      <c r="J3063">
        <v>3040</v>
      </c>
      <c r="K3063" s="10">
        <v>0.20538288889527154</v>
      </c>
      <c r="L3063" s="10">
        <v>0.48953602781883637</v>
      </c>
    </row>
    <row r="3064" spans="10:12" x14ac:dyDescent="0.3">
      <c r="J3064">
        <v>3041</v>
      </c>
      <c r="K3064" s="10">
        <v>0.1971092711370466</v>
      </c>
      <c r="L3064" s="10">
        <v>0.19442938828948067</v>
      </c>
    </row>
    <row r="3065" spans="10:12" x14ac:dyDescent="0.3">
      <c r="J3065">
        <v>3042</v>
      </c>
      <c r="K3065" s="10">
        <v>0.20666584668999394</v>
      </c>
      <c r="L3065" s="10">
        <v>0.39696079710492405</v>
      </c>
    </row>
    <row r="3066" spans="10:12" x14ac:dyDescent="0.3">
      <c r="J3066">
        <v>3043</v>
      </c>
      <c r="K3066" s="10">
        <v>0.2338947927865738</v>
      </c>
      <c r="L3066" s="10">
        <v>0.33462812818475746</v>
      </c>
    </row>
    <row r="3067" spans="10:12" x14ac:dyDescent="0.3">
      <c r="J3067">
        <v>3044</v>
      </c>
      <c r="K3067" s="10">
        <v>0.20303928134570237</v>
      </c>
      <c r="L3067" s="10">
        <v>0.35777174569588388</v>
      </c>
    </row>
    <row r="3068" spans="10:12" x14ac:dyDescent="0.3">
      <c r="J3068">
        <v>3045</v>
      </c>
      <c r="K3068" s="10">
        <v>0.20827115319127582</v>
      </c>
      <c r="L3068" s="10">
        <v>0.1724483511226173</v>
      </c>
    </row>
    <row r="3069" spans="10:12" x14ac:dyDescent="0.3">
      <c r="J3069">
        <v>3046</v>
      </c>
      <c r="K3069" s="10">
        <v>0.23190234955457606</v>
      </c>
      <c r="L3069" s="10">
        <v>0.36645534604038416</v>
      </c>
    </row>
    <row r="3070" spans="10:12" x14ac:dyDescent="0.3">
      <c r="J3070">
        <v>3047</v>
      </c>
      <c r="K3070" s="10">
        <v>0.26819025585924616</v>
      </c>
      <c r="L3070" s="10">
        <v>0.10747881901637212</v>
      </c>
    </row>
    <row r="3071" spans="10:12" x14ac:dyDescent="0.3">
      <c r="J3071">
        <v>3048</v>
      </c>
      <c r="K3071" s="10">
        <v>0.20988555584668173</v>
      </c>
      <c r="L3071" s="10">
        <v>0.18545038128663416</v>
      </c>
    </row>
    <row r="3072" spans="10:12" x14ac:dyDescent="0.3">
      <c r="J3072">
        <v>3049</v>
      </c>
      <c r="K3072" s="10">
        <v>0.24698604936532184</v>
      </c>
      <c r="L3072" s="10">
        <v>0.19300927013024027</v>
      </c>
    </row>
    <row r="3073" spans="10:12" x14ac:dyDescent="0.3">
      <c r="J3073">
        <v>3050</v>
      </c>
      <c r="K3073" s="10">
        <v>0.24482616411853581</v>
      </c>
      <c r="L3073" s="10">
        <v>4.5760923768874487E-3</v>
      </c>
    </row>
    <row r="3074" spans="10:12" x14ac:dyDescent="0.3">
      <c r="J3074">
        <v>3051</v>
      </c>
      <c r="K3074" s="10">
        <v>0.21148604890429051</v>
      </c>
      <c r="L3074" s="10">
        <v>7.9867685768009039E-2</v>
      </c>
    </row>
    <row r="3075" spans="10:12" x14ac:dyDescent="0.3">
      <c r="J3075">
        <v>3052</v>
      </c>
      <c r="K3075" s="10">
        <v>0.22378251233670268</v>
      </c>
      <c r="L3075" s="10">
        <v>8.3513341989651824E-2</v>
      </c>
    </row>
    <row r="3076" spans="10:12" x14ac:dyDescent="0.3">
      <c r="J3076">
        <v>3053</v>
      </c>
      <c r="K3076" s="10">
        <v>0.1902117469935129</v>
      </c>
      <c r="L3076" s="10">
        <v>0.25510120257167146</v>
      </c>
    </row>
    <row r="3077" spans="10:12" x14ac:dyDescent="0.3">
      <c r="J3077">
        <v>3054</v>
      </c>
      <c r="K3077" s="10">
        <v>0.2155367504438849</v>
      </c>
      <c r="L3077" s="10">
        <v>0.28437606266465509</v>
      </c>
    </row>
    <row r="3078" spans="10:12" x14ac:dyDescent="0.3">
      <c r="J3078">
        <v>3055</v>
      </c>
      <c r="K3078" s="10">
        <v>0.32936481182193728</v>
      </c>
      <c r="L3078" s="10">
        <v>-5.8451741811776457E-3</v>
      </c>
    </row>
    <row r="3079" spans="10:12" x14ac:dyDescent="0.3">
      <c r="J3079">
        <v>3056</v>
      </c>
      <c r="K3079" s="10">
        <v>0.26391476496508953</v>
      </c>
      <c r="L3079" s="10">
        <v>0.78063857421538063</v>
      </c>
    </row>
    <row r="3080" spans="10:12" x14ac:dyDescent="0.3">
      <c r="J3080">
        <v>3057</v>
      </c>
      <c r="K3080" s="10">
        <v>0.20305457216406178</v>
      </c>
      <c r="L3080" s="10">
        <v>0.15138651454875354</v>
      </c>
    </row>
    <row r="3081" spans="10:12" x14ac:dyDescent="0.3">
      <c r="J3081">
        <v>3058</v>
      </c>
      <c r="K3081" s="10">
        <v>0.22891298947231051</v>
      </c>
      <c r="L3081" s="10">
        <v>3.1348054227032816E-2</v>
      </c>
    </row>
    <row r="3082" spans="10:12" x14ac:dyDescent="0.3">
      <c r="J3082">
        <v>3059</v>
      </c>
      <c r="K3082" s="10">
        <v>0.21278811537991205</v>
      </c>
      <c r="L3082" s="10">
        <v>0.16108808191279658</v>
      </c>
    </row>
    <row r="3083" spans="10:12" x14ac:dyDescent="0.3">
      <c r="J3083">
        <v>3060</v>
      </c>
      <c r="K3083" s="10">
        <v>0.24053981071517092</v>
      </c>
      <c r="L3083" s="10">
        <v>0.22709824504533258</v>
      </c>
    </row>
    <row r="3084" spans="10:12" x14ac:dyDescent="0.3">
      <c r="J3084">
        <v>3061</v>
      </c>
      <c r="K3084" s="10">
        <v>0.20692695189045793</v>
      </c>
      <c r="L3084" s="10">
        <v>0.35148899233606062</v>
      </c>
    </row>
    <row r="3085" spans="10:12" x14ac:dyDescent="0.3">
      <c r="J3085">
        <v>3062</v>
      </c>
      <c r="K3085" s="10">
        <v>0.23904132524599461</v>
      </c>
      <c r="L3085" s="10">
        <v>-2.5598478872805461E-2</v>
      </c>
    </row>
    <row r="3086" spans="10:12" x14ac:dyDescent="0.3">
      <c r="J3086">
        <v>3063</v>
      </c>
      <c r="K3086" s="10">
        <v>0.31873099954076278</v>
      </c>
      <c r="L3086" s="10">
        <v>1.426648868957826E-2</v>
      </c>
    </row>
    <row r="3087" spans="10:12" x14ac:dyDescent="0.3">
      <c r="J3087">
        <v>3064</v>
      </c>
      <c r="K3087" s="10">
        <v>0.23594973985570453</v>
      </c>
      <c r="L3087" s="10">
        <v>0.19814644269554899</v>
      </c>
    </row>
    <row r="3088" spans="10:12" x14ac:dyDescent="0.3">
      <c r="J3088">
        <v>3065</v>
      </c>
      <c r="K3088" s="10">
        <v>0.19057364260470741</v>
      </c>
      <c r="L3088" s="10">
        <v>0.26022560606401546</v>
      </c>
    </row>
    <row r="3089" spans="10:12" x14ac:dyDescent="0.3">
      <c r="J3089">
        <v>3066</v>
      </c>
      <c r="K3089" s="10">
        <v>0.20779175683071532</v>
      </c>
      <c r="L3089" s="10">
        <v>0.29965493296828638</v>
      </c>
    </row>
    <row r="3090" spans="10:12" x14ac:dyDescent="0.3">
      <c r="J3090">
        <v>3067</v>
      </c>
      <c r="K3090" s="10">
        <v>0.19696069516581516</v>
      </c>
      <c r="L3090" s="10">
        <v>0.38782129752264027</v>
      </c>
    </row>
    <row r="3091" spans="10:12" x14ac:dyDescent="0.3">
      <c r="J3091">
        <v>3068</v>
      </c>
      <c r="K3091" s="10">
        <v>0.19641038134587516</v>
      </c>
      <c r="L3091" s="10">
        <v>0.39716199981150857</v>
      </c>
    </row>
    <row r="3092" spans="10:12" x14ac:dyDescent="0.3">
      <c r="J3092">
        <v>3069</v>
      </c>
      <c r="K3092" s="10">
        <v>0.21221869040648675</v>
      </c>
      <c r="L3092" s="10">
        <v>0.33312102780828939</v>
      </c>
    </row>
    <row r="3093" spans="10:12" x14ac:dyDescent="0.3">
      <c r="J3093">
        <v>3070</v>
      </c>
      <c r="K3093" s="10">
        <v>0.24836753866848488</v>
      </c>
      <c r="L3093" s="10">
        <v>-5.6543102607930856E-2</v>
      </c>
    </row>
    <row r="3094" spans="10:12" x14ac:dyDescent="0.3">
      <c r="J3094">
        <v>3071</v>
      </c>
      <c r="K3094" s="10">
        <v>0.1905976310865706</v>
      </c>
      <c r="L3094" s="10">
        <v>0.33812994061392887</v>
      </c>
    </row>
    <row r="3095" spans="10:12" x14ac:dyDescent="0.3">
      <c r="J3095">
        <v>3072</v>
      </c>
      <c r="K3095" s="10">
        <v>0.24812165223917915</v>
      </c>
      <c r="L3095" s="10">
        <v>-5.4535392260226884E-2</v>
      </c>
    </row>
    <row r="3096" spans="10:12" x14ac:dyDescent="0.3">
      <c r="J3096">
        <v>3073</v>
      </c>
      <c r="K3096" s="10">
        <v>0.19036421390879724</v>
      </c>
      <c r="L3096" s="10">
        <v>0.24784977870450092</v>
      </c>
    </row>
    <row r="3097" spans="10:12" x14ac:dyDescent="0.3">
      <c r="J3097">
        <v>3074</v>
      </c>
      <c r="K3097" s="10">
        <v>0.25185068852312625</v>
      </c>
      <c r="L3097" s="10">
        <v>-4.74969174757187E-2</v>
      </c>
    </row>
    <row r="3098" spans="10:12" x14ac:dyDescent="0.3">
      <c r="J3098">
        <v>3075</v>
      </c>
      <c r="K3098" s="10">
        <v>0.19003280054776084</v>
      </c>
      <c r="L3098" s="10">
        <v>0.36485036187041542</v>
      </c>
    </row>
    <row r="3099" spans="10:12" x14ac:dyDescent="0.3">
      <c r="J3099">
        <v>3076</v>
      </c>
      <c r="K3099" s="10">
        <v>0.21332560194681052</v>
      </c>
      <c r="L3099" s="10">
        <v>0.21937966529323755</v>
      </c>
    </row>
    <row r="3100" spans="10:12" x14ac:dyDescent="0.3">
      <c r="J3100">
        <v>3077</v>
      </c>
      <c r="K3100" s="10">
        <v>0.18898419946129164</v>
      </c>
      <c r="L3100" s="10">
        <v>0.28313950052410736</v>
      </c>
    </row>
    <row r="3101" spans="10:12" x14ac:dyDescent="0.3">
      <c r="J3101">
        <v>3078</v>
      </c>
      <c r="K3101" s="10">
        <v>0.2083877649484871</v>
      </c>
      <c r="L3101" s="10">
        <v>0.11182430156020279</v>
      </c>
    </row>
    <row r="3102" spans="10:12" x14ac:dyDescent="0.3">
      <c r="J3102">
        <v>3079</v>
      </c>
      <c r="K3102" s="10">
        <v>0.19980455833639937</v>
      </c>
      <c r="L3102" s="10">
        <v>0.44592587790312521</v>
      </c>
    </row>
    <row r="3103" spans="10:12" x14ac:dyDescent="0.3">
      <c r="J3103">
        <v>3080</v>
      </c>
      <c r="K3103" s="10">
        <v>0.22670533646805835</v>
      </c>
      <c r="L3103" s="10">
        <v>0.20373298274578477</v>
      </c>
    </row>
    <row r="3104" spans="10:12" x14ac:dyDescent="0.3">
      <c r="J3104">
        <v>3081</v>
      </c>
      <c r="K3104" s="10">
        <v>0.20021115790416363</v>
      </c>
      <c r="L3104" s="10">
        <v>0.32460565752894466</v>
      </c>
    </row>
    <row r="3105" spans="10:12" x14ac:dyDescent="0.3">
      <c r="J3105">
        <v>3082</v>
      </c>
      <c r="K3105" s="10">
        <v>0.24279282523002238</v>
      </c>
      <c r="L3105" s="10">
        <v>1.4082376082192191E-2</v>
      </c>
    </row>
    <row r="3106" spans="10:12" x14ac:dyDescent="0.3">
      <c r="J3106">
        <v>3083</v>
      </c>
      <c r="K3106" s="10">
        <v>0.23194385295316927</v>
      </c>
      <c r="L3106" s="10">
        <v>0.65390201256184532</v>
      </c>
    </row>
    <row r="3107" spans="10:12" x14ac:dyDescent="0.3">
      <c r="J3107">
        <v>3084</v>
      </c>
      <c r="K3107" s="10">
        <v>0.19116907642353226</v>
      </c>
      <c r="L3107" s="10">
        <v>0.33099581665860739</v>
      </c>
    </row>
    <row r="3108" spans="10:12" x14ac:dyDescent="0.3">
      <c r="J3108">
        <v>3085</v>
      </c>
      <c r="K3108" s="10">
        <v>0.21721558246147235</v>
      </c>
      <c r="L3108" s="10">
        <v>0.43614904665714455</v>
      </c>
    </row>
    <row r="3109" spans="10:12" x14ac:dyDescent="0.3">
      <c r="J3109">
        <v>3086</v>
      </c>
      <c r="K3109" s="10">
        <v>0.21290341401756058</v>
      </c>
      <c r="L3109" s="10">
        <v>0.30151081741525892</v>
      </c>
    </row>
    <row r="3110" spans="10:12" x14ac:dyDescent="0.3">
      <c r="J3110">
        <v>3087</v>
      </c>
      <c r="K3110" s="10">
        <v>0.20505546691727444</v>
      </c>
      <c r="L3110" s="10">
        <v>0.46206419482815725</v>
      </c>
    </row>
    <row r="3111" spans="10:12" x14ac:dyDescent="0.3">
      <c r="J3111">
        <v>3088</v>
      </c>
      <c r="K3111" s="10">
        <v>0.20236569072503022</v>
      </c>
      <c r="L3111" s="10">
        <v>0.11970392612634034</v>
      </c>
    </row>
    <row r="3112" spans="10:12" x14ac:dyDescent="0.3">
      <c r="J3112">
        <v>3089</v>
      </c>
      <c r="K3112" s="10">
        <v>0.20834043326586782</v>
      </c>
      <c r="L3112" s="10">
        <v>0.53378484660832448</v>
      </c>
    </row>
    <row r="3113" spans="10:12" x14ac:dyDescent="0.3">
      <c r="J3113">
        <v>3090</v>
      </c>
      <c r="K3113" s="10">
        <v>0.20705700441264635</v>
      </c>
      <c r="L3113" s="10">
        <v>8.8995403033769335E-2</v>
      </c>
    </row>
    <row r="3114" spans="10:12" x14ac:dyDescent="0.3">
      <c r="J3114">
        <v>3091</v>
      </c>
      <c r="K3114" s="10">
        <v>0.19627221119129207</v>
      </c>
      <c r="L3114" s="10">
        <v>0.25996891954472051</v>
      </c>
    </row>
    <row r="3115" spans="10:12" x14ac:dyDescent="0.3">
      <c r="J3115">
        <v>3092</v>
      </c>
      <c r="K3115" s="10">
        <v>0.25285734687261546</v>
      </c>
      <c r="L3115" s="10">
        <v>-3.1048671423676316E-2</v>
      </c>
    </row>
    <row r="3116" spans="10:12" x14ac:dyDescent="0.3">
      <c r="J3116">
        <v>3093</v>
      </c>
      <c r="K3116" s="10">
        <v>0.19443112603903034</v>
      </c>
      <c r="L3116" s="10">
        <v>0.28350528059363672</v>
      </c>
    </row>
    <row r="3117" spans="10:12" x14ac:dyDescent="0.3">
      <c r="J3117">
        <v>3094</v>
      </c>
      <c r="K3117" s="10">
        <v>0.22599894636211976</v>
      </c>
      <c r="L3117" s="10">
        <v>0.36907342318318026</v>
      </c>
    </row>
    <row r="3118" spans="10:12" x14ac:dyDescent="0.3">
      <c r="J3118">
        <v>3095</v>
      </c>
      <c r="K3118" s="10">
        <v>0.19638128112846692</v>
      </c>
      <c r="L3118" s="10">
        <v>0.1798285274426383</v>
      </c>
    </row>
    <row r="3119" spans="10:12" x14ac:dyDescent="0.3">
      <c r="J3119">
        <v>3096</v>
      </c>
      <c r="K3119" s="10">
        <v>0.19972233969217906</v>
      </c>
      <c r="L3119" s="10">
        <v>0.30820234975331928</v>
      </c>
    </row>
    <row r="3120" spans="10:12" x14ac:dyDescent="0.3">
      <c r="J3120">
        <v>3097</v>
      </c>
      <c r="K3120" s="10">
        <v>0.18886724000212599</v>
      </c>
      <c r="L3120" s="10">
        <v>0.2871189849446168</v>
      </c>
    </row>
    <row r="3121" spans="10:12" x14ac:dyDescent="0.3">
      <c r="J3121">
        <v>3098</v>
      </c>
      <c r="K3121" s="10">
        <v>0.20339251369274908</v>
      </c>
      <c r="L3121" s="10">
        <v>0.42829803320776544</v>
      </c>
    </row>
    <row r="3122" spans="10:12" x14ac:dyDescent="0.3">
      <c r="J3122">
        <v>3099</v>
      </c>
      <c r="K3122" s="10">
        <v>0.27820855904151148</v>
      </c>
      <c r="L3122" s="10">
        <v>7.145498163750176E-2</v>
      </c>
    </row>
    <row r="3123" spans="10:12" x14ac:dyDescent="0.3">
      <c r="J3123">
        <v>3100</v>
      </c>
      <c r="K3123" s="10">
        <v>0.22588968838997456</v>
      </c>
      <c r="L3123" s="10">
        <v>0.428125212717544</v>
      </c>
    </row>
    <row r="3124" spans="10:12" x14ac:dyDescent="0.3">
      <c r="J3124">
        <v>3101</v>
      </c>
      <c r="K3124" s="10">
        <v>0.19844085035043427</v>
      </c>
      <c r="L3124" s="10">
        <v>0.46453349148536444</v>
      </c>
    </row>
    <row r="3125" spans="10:12" x14ac:dyDescent="0.3">
      <c r="J3125">
        <v>3102</v>
      </c>
      <c r="K3125" s="10">
        <v>0.21734096418188442</v>
      </c>
      <c r="L3125" s="10">
        <v>0.46504214868957794</v>
      </c>
    </row>
    <row r="3126" spans="10:12" x14ac:dyDescent="0.3">
      <c r="J3126">
        <v>3103</v>
      </c>
      <c r="K3126" s="10">
        <v>0.19771464540162206</v>
      </c>
      <c r="L3126" s="10">
        <v>0.29943845219631188</v>
      </c>
    </row>
    <row r="3127" spans="10:12" x14ac:dyDescent="0.3">
      <c r="J3127">
        <v>3104</v>
      </c>
      <c r="K3127" s="10">
        <v>0.20712030592629968</v>
      </c>
      <c r="L3127" s="10">
        <v>0.44325931556529419</v>
      </c>
    </row>
    <row r="3128" spans="10:12" x14ac:dyDescent="0.3">
      <c r="J3128">
        <v>3105</v>
      </c>
      <c r="K3128" s="10">
        <v>0.21252078898619228</v>
      </c>
      <c r="L3128" s="10">
        <v>5.6085774196075959E-2</v>
      </c>
    </row>
    <row r="3129" spans="10:12" x14ac:dyDescent="0.3">
      <c r="J3129">
        <v>3106</v>
      </c>
      <c r="K3129" s="10">
        <v>0.19503315356137968</v>
      </c>
      <c r="L3129" s="10">
        <v>0.21360878564621733</v>
      </c>
    </row>
    <row r="3130" spans="10:12" x14ac:dyDescent="0.3">
      <c r="J3130">
        <v>3107</v>
      </c>
      <c r="K3130" s="10">
        <v>0.19379578903709643</v>
      </c>
      <c r="L3130" s="10">
        <v>0.24013822858822212</v>
      </c>
    </row>
    <row r="3131" spans="10:12" x14ac:dyDescent="0.3">
      <c r="J3131">
        <v>3108</v>
      </c>
      <c r="K3131" s="10">
        <v>0.27486672846876387</v>
      </c>
      <c r="L3131" s="10">
        <v>-7.0015073445956866E-2</v>
      </c>
    </row>
    <row r="3132" spans="10:12" x14ac:dyDescent="0.3">
      <c r="J3132">
        <v>3109</v>
      </c>
      <c r="K3132" s="10">
        <v>0.22113280708137234</v>
      </c>
      <c r="L3132" s="10">
        <v>1.0874488171390168E-2</v>
      </c>
    </row>
    <row r="3133" spans="10:12" x14ac:dyDescent="0.3">
      <c r="J3133">
        <v>3110</v>
      </c>
      <c r="K3133" s="10">
        <v>0.19842624170525597</v>
      </c>
      <c r="L3133" s="10">
        <v>0.25614817151403352</v>
      </c>
    </row>
    <row r="3134" spans="10:12" x14ac:dyDescent="0.3">
      <c r="J3134">
        <v>3111</v>
      </c>
      <c r="K3134" s="10">
        <v>0.20618860402372055</v>
      </c>
      <c r="L3134" s="10">
        <v>9.3771815256078916E-2</v>
      </c>
    </row>
    <row r="3135" spans="10:12" x14ac:dyDescent="0.3">
      <c r="J3135">
        <v>3112</v>
      </c>
      <c r="K3135" s="10">
        <v>0.19241587105290495</v>
      </c>
      <c r="L3135" s="10">
        <v>0.21549503183275803</v>
      </c>
    </row>
    <row r="3136" spans="10:12" x14ac:dyDescent="0.3">
      <c r="J3136">
        <v>3113</v>
      </c>
      <c r="K3136" s="10">
        <v>0.31040487194663247</v>
      </c>
      <c r="L3136" s="10">
        <v>-4.1875572232578158E-2</v>
      </c>
    </row>
    <row r="3137" spans="10:12" x14ac:dyDescent="0.3">
      <c r="J3137">
        <v>3114</v>
      </c>
      <c r="K3137" s="10">
        <v>0.23266905062951418</v>
      </c>
      <c r="L3137" s="10">
        <v>0.12530716452685364</v>
      </c>
    </row>
    <row r="3138" spans="10:12" x14ac:dyDescent="0.3">
      <c r="J3138">
        <v>3115</v>
      </c>
      <c r="K3138" s="10">
        <v>0.19256675458537778</v>
      </c>
      <c r="L3138" s="10">
        <v>0.40432566987195817</v>
      </c>
    </row>
    <row r="3139" spans="10:12" x14ac:dyDescent="0.3">
      <c r="J3139">
        <v>3116</v>
      </c>
      <c r="K3139" s="10">
        <v>0.21389060713780167</v>
      </c>
      <c r="L3139" s="10">
        <v>0.55604441357103429</v>
      </c>
    </row>
    <row r="3140" spans="10:12" x14ac:dyDescent="0.3">
      <c r="J3140">
        <v>3117</v>
      </c>
      <c r="K3140" s="10">
        <v>0.19148607087277889</v>
      </c>
      <c r="L3140" s="10">
        <v>0.27622234252167399</v>
      </c>
    </row>
    <row r="3141" spans="10:12" x14ac:dyDescent="0.3">
      <c r="J3141">
        <v>3118</v>
      </c>
      <c r="K3141" s="10">
        <v>0.1953577872138669</v>
      </c>
      <c r="L3141" s="10">
        <v>0.19713280125965565</v>
      </c>
    </row>
    <row r="3142" spans="10:12" x14ac:dyDescent="0.3">
      <c r="J3142">
        <v>3119</v>
      </c>
      <c r="K3142" s="10">
        <v>0.23891351295190852</v>
      </c>
      <c r="L3142" s="10">
        <v>-6.9156925399417535E-2</v>
      </c>
    </row>
    <row r="3143" spans="10:12" x14ac:dyDescent="0.3">
      <c r="J3143">
        <v>3120</v>
      </c>
      <c r="K3143" s="10">
        <v>0.2448533467078583</v>
      </c>
      <c r="L3143" s="10">
        <v>-6.7295392168043908E-2</v>
      </c>
    </row>
    <row r="3144" spans="10:12" x14ac:dyDescent="0.3">
      <c r="J3144">
        <v>3121</v>
      </c>
      <c r="K3144" s="10">
        <v>0.20445846399785794</v>
      </c>
      <c r="L3144" s="10">
        <v>0.1574498882827465</v>
      </c>
    </row>
    <row r="3145" spans="10:12" x14ac:dyDescent="0.3">
      <c r="J3145">
        <v>3122</v>
      </c>
      <c r="K3145" s="10">
        <v>0.20540774562354966</v>
      </c>
      <c r="L3145" s="10">
        <v>9.9324563032044955E-2</v>
      </c>
    </row>
    <row r="3146" spans="10:12" x14ac:dyDescent="0.3">
      <c r="J3146">
        <v>3123</v>
      </c>
      <c r="K3146" s="10">
        <v>0.19357295337901881</v>
      </c>
      <c r="L3146" s="10">
        <v>0.3269036108989733</v>
      </c>
    </row>
    <row r="3147" spans="10:12" x14ac:dyDescent="0.3">
      <c r="J3147">
        <v>3124</v>
      </c>
      <c r="K3147" s="10">
        <v>0.19785791972436201</v>
      </c>
      <c r="L3147" s="10">
        <v>0.25429409818128534</v>
      </c>
    </row>
    <row r="3148" spans="10:12" x14ac:dyDescent="0.3">
      <c r="J3148">
        <v>3125</v>
      </c>
      <c r="K3148" s="10">
        <v>0.19644356459852247</v>
      </c>
      <c r="L3148" s="10">
        <v>0.18657314394675778</v>
      </c>
    </row>
    <row r="3149" spans="10:12" x14ac:dyDescent="0.3">
      <c r="J3149">
        <v>3126</v>
      </c>
      <c r="K3149" s="10">
        <v>0.20167031040490013</v>
      </c>
      <c r="L3149" s="10">
        <v>0.24778769374033516</v>
      </c>
    </row>
    <row r="3150" spans="10:12" x14ac:dyDescent="0.3">
      <c r="J3150">
        <v>3127</v>
      </c>
      <c r="K3150" s="10">
        <v>0.21113303736949457</v>
      </c>
      <c r="L3150" s="10">
        <v>0.15917536782959257</v>
      </c>
    </row>
    <row r="3151" spans="10:12" x14ac:dyDescent="0.3">
      <c r="J3151">
        <v>3128</v>
      </c>
      <c r="K3151" s="10">
        <v>0.20548952444742385</v>
      </c>
      <c r="L3151" s="10">
        <v>0.16067487305153519</v>
      </c>
    </row>
    <row r="3152" spans="10:12" x14ac:dyDescent="0.3">
      <c r="J3152">
        <v>3129</v>
      </c>
      <c r="K3152" s="10">
        <v>0.27095954480491918</v>
      </c>
      <c r="L3152" s="10">
        <v>-7.5360822382211035E-2</v>
      </c>
    </row>
    <row r="3153" spans="10:12" x14ac:dyDescent="0.3">
      <c r="J3153">
        <v>3130</v>
      </c>
      <c r="K3153" s="10">
        <v>0.19021681552148353</v>
      </c>
      <c r="L3153" s="10">
        <v>0.26333037555709943</v>
      </c>
    </row>
    <row r="3154" spans="10:12" x14ac:dyDescent="0.3">
      <c r="J3154">
        <v>3131</v>
      </c>
      <c r="K3154" s="10">
        <v>0.1927369388741961</v>
      </c>
      <c r="L3154" s="10">
        <v>0.34244838127688682</v>
      </c>
    </row>
    <row r="3155" spans="10:12" x14ac:dyDescent="0.3">
      <c r="J3155">
        <v>3132</v>
      </c>
      <c r="K3155" s="10">
        <v>0.20913876248446692</v>
      </c>
      <c r="L3155" s="10">
        <v>0.15187363802647597</v>
      </c>
    </row>
    <row r="3156" spans="10:12" x14ac:dyDescent="0.3">
      <c r="J3156">
        <v>3133</v>
      </c>
      <c r="K3156" s="10">
        <v>0.21188912960677431</v>
      </c>
      <c r="L3156" s="10">
        <v>0.54355857693911869</v>
      </c>
    </row>
    <row r="3157" spans="10:12" x14ac:dyDescent="0.3">
      <c r="J3157">
        <v>3134</v>
      </c>
      <c r="K3157" s="10">
        <v>0.21964259344142181</v>
      </c>
      <c r="L3157" s="10">
        <v>9.9116910211748024E-2</v>
      </c>
    </row>
    <row r="3158" spans="10:12" x14ac:dyDescent="0.3">
      <c r="J3158">
        <v>3135</v>
      </c>
      <c r="K3158" s="10">
        <v>0.23679169406842498</v>
      </c>
      <c r="L3158" s="10">
        <v>0.29910638946374557</v>
      </c>
    </row>
    <row r="3159" spans="10:12" x14ac:dyDescent="0.3">
      <c r="J3159">
        <v>3136</v>
      </c>
      <c r="K3159" s="10">
        <v>0.22791477349316108</v>
      </c>
      <c r="L3159" s="10">
        <v>8.3603440246461991E-2</v>
      </c>
    </row>
    <row r="3160" spans="10:12" x14ac:dyDescent="0.3">
      <c r="J3160">
        <v>3137</v>
      </c>
      <c r="K3160" s="10">
        <v>0.21346546602443289</v>
      </c>
      <c r="L3160" s="10">
        <v>0.24302846495650121</v>
      </c>
    </row>
    <row r="3161" spans="10:12" x14ac:dyDescent="0.3">
      <c r="J3161">
        <v>3138</v>
      </c>
      <c r="K3161" s="10">
        <v>0.2917274438426698</v>
      </c>
      <c r="L3161" s="10">
        <v>-2.3250606491198755E-2</v>
      </c>
    </row>
    <row r="3162" spans="10:12" x14ac:dyDescent="0.3">
      <c r="J3162">
        <v>3139</v>
      </c>
      <c r="K3162" s="10">
        <v>0.21660087316457116</v>
      </c>
      <c r="L3162" s="10">
        <v>0.4085908769522959</v>
      </c>
    </row>
    <row r="3163" spans="10:12" x14ac:dyDescent="0.3">
      <c r="J3163">
        <v>3140</v>
      </c>
      <c r="K3163" s="10">
        <v>0.19839829095421035</v>
      </c>
      <c r="L3163" s="10">
        <v>0.46332522545800342</v>
      </c>
    </row>
    <row r="3164" spans="10:12" x14ac:dyDescent="0.3">
      <c r="J3164">
        <v>3141</v>
      </c>
      <c r="K3164" s="10">
        <v>0.20148635244292046</v>
      </c>
      <c r="L3164" s="10">
        <v>0.13683023898160934</v>
      </c>
    </row>
    <row r="3165" spans="10:12" x14ac:dyDescent="0.3">
      <c r="J3165">
        <v>3142</v>
      </c>
      <c r="K3165" s="10">
        <v>0.20527628990816313</v>
      </c>
      <c r="L3165" s="10">
        <v>0.21762837271925797</v>
      </c>
    </row>
    <row r="3166" spans="10:12" x14ac:dyDescent="0.3">
      <c r="J3166">
        <v>3143</v>
      </c>
      <c r="K3166" s="10">
        <v>0.24334520708035373</v>
      </c>
      <c r="L3166" s="10">
        <v>-1.8776843977365752E-2</v>
      </c>
    </row>
    <row r="3167" spans="10:12" x14ac:dyDescent="0.3">
      <c r="J3167">
        <v>3144</v>
      </c>
      <c r="K3167" s="10">
        <v>0.20627719950744169</v>
      </c>
      <c r="L3167" s="10">
        <v>0.31656881846016688</v>
      </c>
    </row>
    <row r="3168" spans="10:12" x14ac:dyDescent="0.3">
      <c r="J3168">
        <v>3145</v>
      </c>
      <c r="K3168" s="10">
        <v>0.23683332610878749</v>
      </c>
      <c r="L3168" s="10">
        <v>1.0548622832842205E-2</v>
      </c>
    </row>
    <row r="3169" spans="10:12" x14ac:dyDescent="0.3">
      <c r="J3169">
        <v>3146</v>
      </c>
      <c r="K3169" s="10">
        <v>0.24202661644522144</v>
      </c>
      <c r="L3169" s="10">
        <v>0.21905693424709893</v>
      </c>
    </row>
    <row r="3170" spans="10:12" x14ac:dyDescent="0.3">
      <c r="J3170">
        <v>3147</v>
      </c>
      <c r="K3170" s="10">
        <v>0.22974479260721001</v>
      </c>
      <c r="L3170" s="10">
        <v>-2.9094496510935569E-2</v>
      </c>
    </row>
    <row r="3171" spans="10:12" x14ac:dyDescent="0.3">
      <c r="J3171">
        <v>3148</v>
      </c>
      <c r="K3171" s="10">
        <v>0.24657324272729803</v>
      </c>
      <c r="L3171" s="10">
        <v>-7.6665090243489359E-2</v>
      </c>
    </row>
    <row r="3172" spans="10:12" x14ac:dyDescent="0.3">
      <c r="J3172">
        <v>3149</v>
      </c>
      <c r="K3172" s="10">
        <v>0.19609787077622981</v>
      </c>
      <c r="L3172" s="10">
        <v>0.2079780389128969</v>
      </c>
    </row>
    <row r="3173" spans="10:12" x14ac:dyDescent="0.3">
      <c r="J3173">
        <v>3150</v>
      </c>
      <c r="K3173" s="10">
        <v>0.19098054202040224</v>
      </c>
      <c r="L3173" s="10">
        <v>0.3458131417080359</v>
      </c>
    </row>
    <row r="3174" spans="10:12" x14ac:dyDescent="0.3">
      <c r="J3174">
        <v>3151</v>
      </c>
      <c r="K3174" s="10">
        <v>0.19169379522620139</v>
      </c>
      <c r="L3174" s="10">
        <v>0.27087807847425499</v>
      </c>
    </row>
    <row r="3175" spans="10:12" x14ac:dyDescent="0.3">
      <c r="J3175">
        <v>3152</v>
      </c>
      <c r="K3175" s="10">
        <v>0.20376132153010446</v>
      </c>
      <c r="L3175" s="10">
        <v>0.12411620730372042</v>
      </c>
    </row>
    <row r="3176" spans="10:12" x14ac:dyDescent="0.3">
      <c r="J3176">
        <v>3153</v>
      </c>
      <c r="K3176" s="10">
        <v>0.19039496965224503</v>
      </c>
      <c r="L3176" s="10">
        <v>0.28137189456063272</v>
      </c>
    </row>
    <row r="3177" spans="10:12" x14ac:dyDescent="0.3">
      <c r="J3177">
        <v>3154</v>
      </c>
      <c r="K3177" s="10">
        <v>0.25073730356647378</v>
      </c>
      <c r="L3177" s="10">
        <v>-3.8944464381988446E-2</v>
      </c>
    </row>
    <row r="3178" spans="10:12" x14ac:dyDescent="0.3">
      <c r="J3178">
        <v>3155</v>
      </c>
      <c r="K3178" s="10">
        <v>0.21450132925494855</v>
      </c>
      <c r="L3178" s="10">
        <v>7.8960403696590409E-2</v>
      </c>
    </row>
    <row r="3179" spans="10:12" x14ac:dyDescent="0.3">
      <c r="J3179">
        <v>3156</v>
      </c>
      <c r="K3179" s="10">
        <v>0.1958522546737686</v>
      </c>
      <c r="L3179" s="10">
        <v>0.25955924671097763</v>
      </c>
    </row>
    <row r="3180" spans="10:12" x14ac:dyDescent="0.3">
      <c r="J3180">
        <v>3157</v>
      </c>
      <c r="K3180" s="10">
        <v>0.26089404504055802</v>
      </c>
      <c r="L3180" s="10">
        <v>-8.2398685063045041E-2</v>
      </c>
    </row>
    <row r="3181" spans="10:12" x14ac:dyDescent="0.3">
      <c r="J3181">
        <v>3158</v>
      </c>
      <c r="K3181" s="10">
        <v>0.21389497939270039</v>
      </c>
      <c r="L3181" s="10">
        <v>0.42256359308637653</v>
      </c>
    </row>
    <row r="3182" spans="10:12" x14ac:dyDescent="0.3">
      <c r="J3182">
        <v>3159</v>
      </c>
      <c r="K3182" s="10">
        <v>0.19751678102315412</v>
      </c>
      <c r="L3182" s="10">
        <v>0.18430923820202777</v>
      </c>
    </row>
    <row r="3183" spans="10:12" x14ac:dyDescent="0.3">
      <c r="J3183">
        <v>3160</v>
      </c>
      <c r="K3183" s="10">
        <v>0.22103797658995653</v>
      </c>
      <c r="L3183" s="10">
        <v>9.8608766859837715E-2</v>
      </c>
    </row>
    <row r="3184" spans="10:12" x14ac:dyDescent="0.3">
      <c r="J3184">
        <v>3161</v>
      </c>
      <c r="K3184" s="10">
        <v>0.21209350149177911</v>
      </c>
      <c r="L3184" s="10">
        <v>0.38333036502751128</v>
      </c>
    </row>
    <row r="3185" spans="10:12" x14ac:dyDescent="0.3">
      <c r="J3185">
        <v>3162</v>
      </c>
      <c r="K3185" s="10">
        <v>0.19962705879356787</v>
      </c>
      <c r="L3185" s="10">
        <v>0.27045275466021756</v>
      </c>
    </row>
    <row r="3186" spans="10:12" x14ac:dyDescent="0.3">
      <c r="J3186">
        <v>3163</v>
      </c>
      <c r="K3186" s="10">
        <v>0.26597892443110088</v>
      </c>
      <c r="L3186" s="10">
        <v>1.7987023333137807E-2</v>
      </c>
    </row>
    <row r="3187" spans="10:12" x14ac:dyDescent="0.3">
      <c r="J3187">
        <v>3164</v>
      </c>
      <c r="K3187" s="10">
        <v>0.20458977232367037</v>
      </c>
      <c r="L3187" s="10">
        <v>0.18115872912181802</v>
      </c>
    </row>
    <row r="3188" spans="10:12" x14ac:dyDescent="0.3">
      <c r="J3188">
        <v>3165</v>
      </c>
      <c r="K3188" s="10">
        <v>0.21391149318579336</v>
      </c>
      <c r="L3188" s="10">
        <v>6.9132021817326667E-2</v>
      </c>
    </row>
    <row r="3189" spans="10:12" x14ac:dyDescent="0.3">
      <c r="J3189">
        <v>3166</v>
      </c>
      <c r="K3189" s="10">
        <v>0.21389627785191737</v>
      </c>
      <c r="L3189" s="10">
        <v>8.7098356703030982E-2</v>
      </c>
    </row>
    <row r="3190" spans="10:12" x14ac:dyDescent="0.3">
      <c r="J3190">
        <v>3167</v>
      </c>
      <c r="K3190" s="10">
        <v>0.19463932877154078</v>
      </c>
      <c r="L3190" s="10">
        <v>0.41963955292742355</v>
      </c>
    </row>
    <row r="3191" spans="10:12" x14ac:dyDescent="0.3">
      <c r="J3191">
        <v>3168</v>
      </c>
      <c r="K3191" s="10">
        <v>0.26772196560485217</v>
      </c>
      <c r="L3191" s="10">
        <v>0.79489009447981551</v>
      </c>
    </row>
    <row r="3192" spans="10:12" x14ac:dyDescent="0.3">
      <c r="J3192">
        <v>3169</v>
      </c>
      <c r="K3192" s="10">
        <v>0.19193127023404538</v>
      </c>
      <c r="L3192" s="10">
        <v>0.25450499255857428</v>
      </c>
    </row>
    <row r="3193" spans="10:12" x14ac:dyDescent="0.3">
      <c r="J3193">
        <v>3170</v>
      </c>
      <c r="K3193" s="10">
        <v>0.21070558943175213</v>
      </c>
      <c r="L3193" s="10">
        <v>0.13600958140664415</v>
      </c>
    </row>
    <row r="3194" spans="10:12" x14ac:dyDescent="0.3">
      <c r="J3194">
        <v>3171</v>
      </c>
      <c r="K3194" s="10">
        <v>0.20310796813307622</v>
      </c>
      <c r="L3194" s="10">
        <v>0.16101849636467713</v>
      </c>
    </row>
    <row r="3195" spans="10:12" x14ac:dyDescent="0.3">
      <c r="J3195">
        <v>3172</v>
      </c>
      <c r="K3195" s="10">
        <v>0.25918965399845212</v>
      </c>
      <c r="L3195" s="10">
        <v>0.76389932799793225</v>
      </c>
    </row>
    <row r="3196" spans="10:12" x14ac:dyDescent="0.3">
      <c r="J3196">
        <v>3173</v>
      </c>
      <c r="K3196" s="10">
        <v>0.19689593178099266</v>
      </c>
      <c r="L3196" s="10">
        <v>0.19994845455453433</v>
      </c>
    </row>
    <row r="3197" spans="10:12" x14ac:dyDescent="0.3">
      <c r="J3197">
        <v>3174</v>
      </c>
      <c r="K3197" s="10">
        <v>0.23449318535816713</v>
      </c>
      <c r="L3197" s="10">
        <v>-3.0427979242651032E-2</v>
      </c>
    </row>
    <row r="3198" spans="10:12" x14ac:dyDescent="0.3">
      <c r="J3198">
        <v>3175</v>
      </c>
      <c r="K3198" s="10">
        <v>0.22065889029709207</v>
      </c>
      <c r="L3198" s="10">
        <v>0.24399401226432099</v>
      </c>
    </row>
    <row r="3199" spans="10:12" x14ac:dyDescent="0.3">
      <c r="J3199">
        <v>3176</v>
      </c>
      <c r="K3199" s="10">
        <v>0.1982332989964502</v>
      </c>
      <c r="L3199" s="10">
        <v>0.44594915306701821</v>
      </c>
    </row>
    <row r="3200" spans="10:12" x14ac:dyDescent="0.3">
      <c r="J3200">
        <v>3177</v>
      </c>
      <c r="K3200" s="10">
        <v>0.20236186735331457</v>
      </c>
      <c r="L3200" s="10">
        <v>0.18024897680493879</v>
      </c>
    </row>
    <row r="3201" spans="10:12" x14ac:dyDescent="0.3">
      <c r="J3201">
        <v>3178</v>
      </c>
      <c r="K3201" s="10">
        <v>0.19557650866565757</v>
      </c>
      <c r="L3201" s="10">
        <v>0.43932707053090042</v>
      </c>
    </row>
    <row r="3202" spans="10:12" x14ac:dyDescent="0.3">
      <c r="J3202">
        <v>3179</v>
      </c>
      <c r="K3202" s="10">
        <v>0.19880297285562887</v>
      </c>
      <c r="L3202" s="10">
        <v>0.44095309836323049</v>
      </c>
    </row>
    <row r="3203" spans="10:12" x14ac:dyDescent="0.3">
      <c r="J3203">
        <v>3180</v>
      </c>
      <c r="K3203" s="10">
        <v>0.22772530348755957</v>
      </c>
      <c r="L3203" s="10">
        <v>0.26166139444739939</v>
      </c>
    </row>
    <row r="3204" spans="10:12" x14ac:dyDescent="0.3">
      <c r="J3204">
        <v>3181</v>
      </c>
      <c r="K3204" s="10">
        <v>0.188910266564534</v>
      </c>
      <c r="L3204" s="10">
        <v>0.32149387437276594</v>
      </c>
    </row>
    <row r="3205" spans="10:12" x14ac:dyDescent="0.3">
      <c r="J3205">
        <v>3182</v>
      </c>
      <c r="K3205" s="10">
        <v>0.19750699439549149</v>
      </c>
      <c r="L3205" s="10">
        <v>0.17118718098374486</v>
      </c>
    </row>
    <row r="3206" spans="10:12" x14ac:dyDescent="0.3">
      <c r="J3206">
        <v>3183</v>
      </c>
      <c r="K3206" s="10">
        <v>0.22270502248394447</v>
      </c>
      <c r="L3206" s="10">
        <v>0.6080720317346896</v>
      </c>
    </row>
    <row r="3207" spans="10:12" x14ac:dyDescent="0.3">
      <c r="J3207">
        <v>3184</v>
      </c>
      <c r="K3207" s="10">
        <v>0.19481188345982234</v>
      </c>
      <c r="L3207" s="10">
        <v>0.238722471063085</v>
      </c>
    </row>
    <row r="3208" spans="10:12" x14ac:dyDescent="0.3">
      <c r="J3208">
        <v>3185</v>
      </c>
      <c r="K3208" s="10">
        <v>0.23380236795310894</v>
      </c>
      <c r="L3208" s="10">
        <v>-1.4622274882711533E-2</v>
      </c>
    </row>
    <row r="3209" spans="10:12" x14ac:dyDescent="0.3">
      <c r="J3209">
        <v>3186</v>
      </c>
      <c r="K3209" s="10">
        <v>0.20913733512103255</v>
      </c>
      <c r="L3209" s="10">
        <v>0.53874123245394057</v>
      </c>
    </row>
    <row r="3210" spans="10:12" x14ac:dyDescent="0.3">
      <c r="J3210">
        <v>3187</v>
      </c>
      <c r="K3210" s="10">
        <v>0.24190400125921371</v>
      </c>
      <c r="L3210" s="10">
        <v>0.31700762849659808</v>
      </c>
    </row>
    <row r="3211" spans="10:12" x14ac:dyDescent="0.3">
      <c r="J3211">
        <v>3188</v>
      </c>
      <c r="K3211" s="10">
        <v>0.22147270782404799</v>
      </c>
      <c r="L3211" s="10">
        <v>0.41256391160761291</v>
      </c>
    </row>
    <row r="3212" spans="10:12" x14ac:dyDescent="0.3">
      <c r="J3212">
        <v>3189</v>
      </c>
      <c r="K3212" s="10">
        <v>0.21285736102467134</v>
      </c>
      <c r="L3212" s="10">
        <v>0.56026280966015063</v>
      </c>
    </row>
    <row r="3213" spans="10:12" x14ac:dyDescent="0.3">
      <c r="J3213">
        <v>3190</v>
      </c>
      <c r="K3213" s="10">
        <v>0.22048145590734286</v>
      </c>
      <c r="L3213" s="10">
        <v>4.19698378066743E-2</v>
      </c>
    </row>
    <row r="3214" spans="10:12" x14ac:dyDescent="0.3">
      <c r="J3214">
        <v>3191</v>
      </c>
      <c r="K3214" s="10">
        <v>0.21398350538645372</v>
      </c>
      <c r="L3214" s="10">
        <v>0.25791429874686977</v>
      </c>
    </row>
    <row r="3215" spans="10:12" x14ac:dyDescent="0.3">
      <c r="J3215">
        <v>3192</v>
      </c>
      <c r="K3215" s="10">
        <v>0.2101792727971375</v>
      </c>
      <c r="L3215" s="10">
        <v>0.16593867656080585</v>
      </c>
    </row>
    <row r="3216" spans="10:12" x14ac:dyDescent="0.3">
      <c r="J3216">
        <v>3193</v>
      </c>
      <c r="K3216" s="10">
        <v>0.22566546516746797</v>
      </c>
      <c r="L3216" s="10">
        <v>0.14737691089298105</v>
      </c>
    </row>
    <row r="3217" spans="10:12" x14ac:dyDescent="0.3">
      <c r="J3217">
        <v>3194</v>
      </c>
      <c r="K3217" s="10">
        <v>0.21778406060200003</v>
      </c>
      <c r="L3217" s="10">
        <v>6.7878294675350836E-2</v>
      </c>
    </row>
    <row r="3218" spans="10:12" x14ac:dyDescent="0.3">
      <c r="J3218">
        <v>3195</v>
      </c>
      <c r="K3218" s="10">
        <v>0.21003495460998547</v>
      </c>
      <c r="L3218" s="10">
        <v>8.6655875821963296E-2</v>
      </c>
    </row>
    <row r="3219" spans="10:12" x14ac:dyDescent="0.3">
      <c r="J3219">
        <v>3196</v>
      </c>
      <c r="K3219" s="10">
        <v>0.19789837268179103</v>
      </c>
      <c r="L3219" s="10">
        <v>0.35370669149464568</v>
      </c>
    </row>
    <row r="3220" spans="10:12" x14ac:dyDescent="0.3">
      <c r="J3220">
        <v>3197</v>
      </c>
      <c r="K3220" s="10">
        <v>0.20861583859297883</v>
      </c>
      <c r="L3220" s="10">
        <v>0.34388443538867081</v>
      </c>
    </row>
    <row r="3221" spans="10:12" x14ac:dyDescent="0.3">
      <c r="J3221">
        <v>3198</v>
      </c>
      <c r="K3221" s="10">
        <v>0.19047618696727123</v>
      </c>
      <c r="L3221" s="10">
        <v>0.36049671668328309</v>
      </c>
    </row>
    <row r="3222" spans="10:12" x14ac:dyDescent="0.3">
      <c r="J3222">
        <v>3199</v>
      </c>
      <c r="K3222" s="10">
        <v>0.21521187487306156</v>
      </c>
      <c r="L3222" s="10">
        <v>0.25147820152402084</v>
      </c>
    </row>
    <row r="3223" spans="10:12" x14ac:dyDescent="0.3">
      <c r="J3223">
        <v>3200</v>
      </c>
      <c r="K3223" s="10">
        <v>0.26015854773093372</v>
      </c>
      <c r="L3223" s="10">
        <v>-4.82002583857008E-2</v>
      </c>
    </row>
    <row r="3224" spans="10:12" x14ac:dyDescent="0.3">
      <c r="J3224">
        <v>3201</v>
      </c>
      <c r="K3224" s="10">
        <v>0.25070979671626176</v>
      </c>
      <c r="L3224" s="10">
        <v>0.73029985268844599</v>
      </c>
    </row>
    <row r="3225" spans="10:12" x14ac:dyDescent="0.3">
      <c r="J3225">
        <v>3202</v>
      </c>
      <c r="K3225" s="10">
        <v>0.2349865772204571</v>
      </c>
      <c r="L3225" s="10">
        <v>0.21863237493591084</v>
      </c>
    </row>
    <row r="3226" spans="10:12" x14ac:dyDescent="0.3">
      <c r="J3226">
        <v>3203</v>
      </c>
      <c r="K3226" s="10">
        <v>0.19562381132752421</v>
      </c>
      <c r="L3226" s="10">
        <v>0.17458742472561017</v>
      </c>
    </row>
    <row r="3227" spans="10:12" x14ac:dyDescent="0.3">
      <c r="J3227">
        <v>3204</v>
      </c>
      <c r="K3227" s="10">
        <v>0.25869721671396656</v>
      </c>
      <c r="L3227" s="10">
        <v>6.5652775578551772E-2</v>
      </c>
    </row>
    <row r="3228" spans="10:12" x14ac:dyDescent="0.3">
      <c r="J3228">
        <v>3205</v>
      </c>
      <c r="K3228" s="10">
        <v>0.20202715745865998</v>
      </c>
      <c r="L3228" s="10">
        <v>0.26178398555131388</v>
      </c>
    </row>
    <row r="3229" spans="10:12" x14ac:dyDescent="0.3">
      <c r="J3229">
        <v>3206</v>
      </c>
      <c r="K3229" s="10">
        <v>0.21914647433802345</v>
      </c>
      <c r="L3229" s="10">
        <v>0.35614205819946798</v>
      </c>
    </row>
    <row r="3230" spans="10:12" x14ac:dyDescent="0.3">
      <c r="J3230">
        <v>3207</v>
      </c>
      <c r="K3230" s="10">
        <v>0.25730168098269107</v>
      </c>
      <c r="L3230" s="10">
        <v>0.7568071425804751</v>
      </c>
    </row>
    <row r="3231" spans="10:12" x14ac:dyDescent="0.3">
      <c r="J3231">
        <v>3208</v>
      </c>
      <c r="K3231" s="10">
        <v>0.20473181089246401</v>
      </c>
      <c r="L3231" s="10">
        <v>0.51130383859425277</v>
      </c>
    </row>
    <row r="3232" spans="10:12" x14ac:dyDescent="0.3">
      <c r="J3232">
        <v>3209</v>
      </c>
      <c r="K3232" s="10">
        <v>0.23665648912387463</v>
      </c>
      <c r="L3232" s="10">
        <v>-4.5248916975222875E-2</v>
      </c>
    </row>
    <row r="3233" spans="10:12" x14ac:dyDescent="0.3">
      <c r="J3233">
        <v>3210</v>
      </c>
      <c r="K3233" s="10">
        <v>0.22062194122986192</v>
      </c>
      <c r="L3233" s="10">
        <v>0.1236354907100891</v>
      </c>
    </row>
    <row r="3234" spans="10:12" x14ac:dyDescent="0.3">
      <c r="J3234">
        <v>3211</v>
      </c>
      <c r="K3234" s="10">
        <v>0.18982238631896103</v>
      </c>
      <c r="L3234" s="10">
        <v>0.28755753852088795</v>
      </c>
    </row>
    <row r="3235" spans="10:12" x14ac:dyDescent="0.3">
      <c r="J3235">
        <v>3212</v>
      </c>
      <c r="K3235" s="10">
        <v>0.19562093151563509</v>
      </c>
      <c r="L3235" s="10">
        <v>0.17679018303188632</v>
      </c>
    </row>
    <row r="3236" spans="10:12" x14ac:dyDescent="0.3">
      <c r="J3236">
        <v>3213</v>
      </c>
      <c r="K3236" s="10">
        <v>0.25063323824206557</v>
      </c>
      <c r="L3236" s="10">
        <v>0.73015745293360235</v>
      </c>
    </row>
    <row r="3237" spans="10:12" x14ac:dyDescent="0.3">
      <c r="J3237">
        <v>3214</v>
      </c>
      <c r="K3237" s="10">
        <v>0.22851516805556721</v>
      </c>
      <c r="L3237" s="10">
        <v>-1.5944226969366135E-2</v>
      </c>
    </row>
    <row r="3238" spans="10:12" x14ac:dyDescent="0.3">
      <c r="J3238">
        <v>3215</v>
      </c>
      <c r="K3238" s="10">
        <v>0.25838517109243531</v>
      </c>
      <c r="L3238" s="10">
        <v>4.5687226862404368E-4</v>
      </c>
    </row>
    <row r="3239" spans="10:12" x14ac:dyDescent="0.3">
      <c r="J3239">
        <v>3216</v>
      </c>
      <c r="K3239" s="10">
        <v>0.19792350150859689</v>
      </c>
      <c r="L3239" s="10">
        <v>0.33895531975914306</v>
      </c>
    </row>
    <row r="3240" spans="10:12" x14ac:dyDescent="0.3">
      <c r="J3240">
        <v>3217</v>
      </c>
      <c r="K3240" s="10">
        <v>0.20411715859573085</v>
      </c>
      <c r="L3240" s="10">
        <v>0.5014998852942224</v>
      </c>
    </row>
    <row r="3241" spans="10:12" x14ac:dyDescent="0.3">
      <c r="J3241">
        <v>3218</v>
      </c>
      <c r="K3241" s="10">
        <v>0.23345504876121689</v>
      </c>
      <c r="L3241" s="10">
        <v>0.1410653149269091</v>
      </c>
    </row>
    <row r="3242" spans="10:12" x14ac:dyDescent="0.3">
      <c r="J3242">
        <v>3219</v>
      </c>
      <c r="K3242" s="10">
        <v>0.19238673062520203</v>
      </c>
      <c r="L3242" s="10">
        <v>0.21866981892166271</v>
      </c>
    </row>
    <row r="3243" spans="10:12" x14ac:dyDescent="0.3">
      <c r="J3243">
        <v>3220</v>
      </c>
      <c r="K3243" s="10">
        <v>0.19310747054058205</v>
      </c>
      <c r="L3243" s="10">
        <v>0.20285420750715638</v>
      </c>
    </row>
    <row r="3244" spans="10:12" x14ac:dyDescent="0.3">
      <c r="J3244">
        <v>3221</v>
      </c>
      <c r="K3244" s="10">
        <v>0.23467840422348105</v>
      </c>
      <c r="L3244" s="10">
        <v>0.650721787958634</v>
      </c>
    </row>
    <row r="3245" spans="10:12" x14ac:dyDescent="0.3">
      <c r="J3245">
        <v>3222</v>
      </c>
      <c r="K3245" s="10">
        <v>0.22883928677852253</v>
      </c>
      <c r="L3245" s="10">
        <v>-2.1412875570250761E-2</v>
      </c>
    </row>
    <row r="3246" spans="10:12" x14ac:dyDescent="0.3">
      <c r="J3246">
        <v>3223</v>
      </c>
      <c r="K3246" s="10">
        <v>0.20824086976213663</v>
      </c>
      <c r="L3246" s="10">
        <v>0.1682671272605798</v>
      </c>
    </row>
    <row r="3247" spans="10:12" x14ac:dyDescent="0.3">
      <c r="J3247">
        <v>3224</v>
      </c>
      <c r="K3247" s="10">
        <v>0.22616802953619686</v>
      </c>
      <c r="L3247" s="10">
        <v>0.34267406402653755</v>
      </c>
    </row>
    <row r="3248" spans="10:12" x14ac:dyDescent="0.3">
      <c r="J3248">
        <v>3225</v>
      </c>
      <c r="K3248" s="10">
        <v>0.24788938657529166</v>
      </c>
      <c r="L3248" s="10">
        <v>4.0479292239791936E-2</v>
      </c>
    </row>
    <row r="3249" spans="10:12" x14ac:dyDescent="0.3">
      <c r="J3249">
        <v>3226</v>
      </c>
      <c r="K3249" s="10">
        <v>0.22787615886112986</v>
      </c>
      <c r="L3249" s="10">
        <v>3.0107912021776734E-2</v>
      </c>
    </row>
    <row r="3250" spans="10:12" x14ac:dyDescent="0.3">
      <c r="J3250">
        <v>3227</v>
      </c>
      <c r="K3250" s="10">
        <v>0.22269268945978879</v>
      </c>
      <c r="L3250" s="10">
        <v>0.48914419958376343</v>
      </c>
    </row>
    <row r="3251" spans="10:12" x14ac:dyDescent="0.3">
      <c r="J3251">
        <v>3228</v>
      </c>
      <c r="K3251" s="10">
        <v>0.20525232304955573</v>
      </c>
      <c r="L3251" s="10">
        <v>0.51141080492769786</v>
      </c>
    </row>
    <row r="3252" spans="10:12" x14ac:dyDescent="0.3">
      <c r="J3252">
        <v>3229</v>
      </c>
      <c r="K3252" s="10">
        <v>0.19717379560761697</v>
      </c>
      <c r="L3252" s="10">
        <v>0.27578013087991249</v>
      </c>
    </row>
    <row r="3253" spans="10:12" x14ac:dyDescent="0.3">
      <c r="J3253">
        <v>3230</v>
      </c>
      <c r="K3253" s="10">
        <v>0.19340539327053066</v>
      </c>
      <c r="L3253" s="10">
        <v>0.41195011985627805</v>
      </c>
    </row>
    <row r="3254" spans="10:12" x14ac:dyDescent="0.3">
      <c r="J3254">
        <v>3231</v>
      </c>
      <c r="K3254" s="10">
        <v>0.19403882042654264</v>
      </c>
      <c r="L3254" s="10">
        <v>0.31815511699300786</v>
      </c>
    </row>
    <row r="3255" spans="10:12" x14ac:dyDescent="0.3">
      <c r="J3255">
        <v>3232</v>
      </c>
      <c r="K3255" s="10">
        <v>0.20219921725230369</v>
      </c>
      <c r="L3255" s="10">
        <v>0.18832341484535448</v>
      </c>
    </row>
    <row r="3256" spans="10:12" x14ac:dyDescent="0.3">
      <c r="J3256">
        <v>3233</v>
      </c>
      <c r="K3256" s="10">
        <v>0.2221779299820319</v>
      </c>
      <c r="L3256" s="10">
        <v>0.48910993934320807</v>
      </c>
    </row>
    <row r="3257" spans="10:12" x14ac:dyDescent="0.3">
      <c r="J3257">
        <v>3234</v>
      </c>
      <c r="K3257" s="10">
        <v>0.19119165549691661</v>
      </c>
      <c r="L3257" s="10">
        <v>0.27945706994614927</v>
      </c>
    </row>
    <row r="3258" spans="10:12" x14ac:dyDescent="0.3">
      <c r="J3258">
        <v>3235</v>
      </c>
      <c r="K3258" s="10">
        <v>0.26830344950140123</v>
      </c>
      <c r="L3258" s="10">
        <v>0.79584049256739131</v>
      </c>
    </row>
    <row r="3259" spans="10:12" x14ac:dyDescent="0.3">
      <c r="J3259">
        <v>3236</v>
      </c>
      <c r="K3259" s="10">
        <v>0.20469954168918261</v>
      </c>
      <c r="L3259" s="10">
        <v>0.17376988357948608</v>
      </c>
    </row>
    <row r="3260" spans="10:12" x14ac:dyDescent="0.3">
      <c r="J3260">
        <v>3237</v>
      </c>
      <c r="K3260" s="10">
        <v>0.19559621862070053</v>
      </c>
      <c r="L3260" s="10">
        <v>0.19277245759909672</v>
      </c>
    </row>
    <row r="3261" spans="10:12" x14ac:dyDescent="0.3">
      <c r="J3261">
        <v>3238</v>
      </c>
      <c r="K3261" s="10">
        <v>0.20972156664727407</v>
      </c>
      <c r="L3261" s="10">
        <v>0.33308748725498138</v>
      </c>
    </row>
    <row r="3262" spans="10:12" x14ac:dyDescent="0.3">
      <c r="J3262">
        <v>3239</v>
      </c>
      <c r="K3262" s="10">
        <v>0.21280451985658269</v>
      </c>
      <c r="L3262" s="10">
        <v>0.12365382379234308</v>
      </c>
    </row>
    <row r="3263" spans="10:12" x14ac:dyDescent="0.3">
      <c r="J3263">
        <v>3240</v>
      </c>
      <c r="K3263" s="10">
        <v>0.19283817839013326</v>
      </c>
      <c r="L3263" s="10">
        <v>0.37180092259931846</v>
      </c>
    </row>
    <row r="3264" spans="10:12" x14ac:dyDescent="0.3">
      <c r="J3264">
        <v>3241</v>
      </c>
      <c r="K3264" s="10">
        <v>0.19005488212615967</v>
      </c>
      <c r="L3264" s="10">
        <v>0.29053556573982975</v>
      </c>
    </row>
    <row r="3265" spans="10:12" x14ac:dyDescent="0.3">
      <c r="J3265">
        <v>3242</v>
      </c>
      <c r="K3265" s="10">
        <v>0.20466488420468185</v>
      </c>
      <c r="L3265" s="10">
        <v>0.35428183722266587</v>
      </c>
    </row>
    <row r="3266" spans="10:12" x14ac:dyDescent="0.3">
      <c r="J3266">
        <v>3243</v>
      </c>
      <c r="K3266" s="10">
        <v>0.19749795840003331</v>
      </c>
      <c r="L3266" s="10">
        <v>0.37163201205777008</v>
      </c>
    </row>
    <row r="3267" spans="10:12" x14ac:dyDescent="0.3">
      <c r="J3267">
        <v>3244</v>
      </c>
      <c r="K3267" s="10">
        <v>0.21409592727442056</v>
      </c>
      <c r="L3267" s="10">
        <v>0.18544154747294048</v>
      </c>
    </row>
    <row r="3268" spans="10:12" x14ac:dyDescent="0.3">
      <c r="J3268">
        <v>3245</v>
      </c>
      <c r="K3268" s="10">
        <v>0.22220212180306309</v>
      </c>
      <c r="L3268" s="10">
        <v>8.4010934492619066E-2</v>
      </c>
    </row>
    <row r="3269" spans="10:12" x14ac:dyDescent="0.3">
      <c r="J3269">
        <v>3246</v>
      </c>
      <c r="K3269" s="10">
        <v>0.25429690403728938</v>
      </c>
      <c r="L3269" s="10">
        <v>-5.8830110568711458E-2</v>
      </c>
    </row>
    <row r="3270" spans="10:12" x14ac:dyDescent="0.3">
      <c r="J3270">
        <v>3247</v>
      </c>
      <c r="K3270" s="10">
        <v>0.20757610450051334</v>
      </c>
      <c r="L3270" s="10">
        <v>0.13974363228875025</v>
      </c>
    </row>
    <row r="3271" spans="10:12" x14ac:dyDescent="0.3">
      <c r="J3271">
        <v>3248</v>
      </c>
      <c r="K3271" s="10">
        <v>0.19077224213414412</v>
      </c>
      <c r="L3271" s="10">
        <v>0.31917074300918391</v>
      </c>
    </row>
    <row r="3272" spans="10:12" x14ac:dyDescent="0.3">
      <c r="J3272">
        <v>3249</v>
      </c>
      <c r="K3272" s="10">
        <v>0.24005978867922062</v>
      </c>
      <c r="L3272" s="10">
        <v>-3.4385468236510182E-2</v>
      </c>
    </row>
    <row r="3273" spans="10:12" x14ac:dyDescent="0.3">
      <c r="J3273">
        <v>3250</v>
      </c>
      <c r="K3273" s="10">
        <v>0.20958139575966034</v>
      </c>
      <c r="L3273" s="10">
        <v>0.13699693083525724</v>
      </c>
    </row>
    <row r="3274" spans="10:12" x14ac:dyDescent="0.3">
      <c r="J3274">
        <v>3251</v>
      </c>
      <c r="K3274" s="10">
        <v>0.20645354918841935</v>
      </c>
      <c r="L3274" s="10">
        <v>0.38785491676254003</v>
      </c>
    </row>
    <row r="3275" spans="10:12" x14ac:dyDescent="0.3">
      <c r="J3275">
        <v>3252</v>
      </c>
      <c r="K3275" s="10">
        <v>0.23225054074993856</v>
      </c>
      <c r="L3275" s="10">
        <v>3.7452051865898013E-2</v>
      </c>
    </row>
    <row r="3276" spans="10:12" x14ac:dyDescent="0.3">
      <c r="J3276">
        <v>3253</v>
      </c>
      <c r="K3276" s="10">
        <v>0.23493142178852364</v>
      </c>
      <c r="L3276" s="10">
        <v>-1.1435663128866805E-3</v>
      </c>
    </row>
    <row r="3277" spans="10:12" x14ac:dyDescent="0.3">
      <c r="J3277">
        <v>3254</v>
      </c>
      <c r="K3277" s="10">
        <v>0.21312778217431055</v>
      </c>
      <c r="L3277" s="10">
        <v>0.29591058504056839</v>
      </c>
    </row>
    <row r="3278" spans="10:12" x14ac:dyDescent="0.3">
      <c r="J3278">
        <v>3255</v>
      </c>
      <c r="K3278" s="10">
        <v>0.22473075329584008</v>
      </c>
      <c r="L3278" s="10">
        <v>0.53371181878802976</v>
      </c>
    </row>
    <row r="3279" spans="10:12" x14ac:dyDescent="0.3">
      <c r="J3279">
        <v>3256</v>
      </c>
      <c r="K3279" s="10">
        <v>0.21176032701365061</v>
      </c>
      <c r="L3279" s="10">
        <v>7.0801276446964351E-2</v>
      </c>
    </row>
    <row r="3280" spans="10:12" x14ac:dyDescent="0.3">
      <c r="J3280">
        <v>3257</v>
      </c>
      <c r="K3280" s="10">
        <v>0.23999576450806642</v>
      </c>
      <c r="L3280" s="10">
        <v>-1.9455939804467484E-2</v>
      </c>
    </row>
    <row r="3281" spans="10:12" x14ac:dyDescent="0.3">
      <c r="J3281">
        <v>3258</v>
      </c>
      <c r="K3281" s="10">
        <v>0.20059256181749088</v>
      </c>
      <c r="L3281" s="10">
        <v>0.26580513247870435</v>
      </c>
    </row>
    <row r="3282" spans="10:12" x14ac:dyDescent="0.3">
      <c r="J3282">
        <v>3259</v>
      </c>
      <c r="K3282" s="10">
        <v>0.21229163444679403</v>
      </c>
      <c r="L3282" s="10">
        <v>0.39174379744685672</v>
      </c>
    </row>
    <row r="3283" spans="10:12" x14ac:dyDescent="0.3">
      <c r="J3283">
        <v>3260</v>
      </c>
      <c r="K3283" s="10">
        <v>0.19220046962220116</v>
      </c>
      <c r="L3283" s="10">
        <v>0.21662292482451492</v>
      </c>
    </row>
    <row r="3284" spans="10:12" x14ac:dyDescent="0.3">
      <c r="J3284">
        <v>3261</v>
      </c>
      <c r="K3284" s="10">
        <v>0.21781939568033545</v>
      </c>
      <c r="L3284" s="10">
        <v>0.195554335654337</v>
      </c>
    </row>
    <row r="3285" spans="10:12" x14ac:dyDescent="0.3">
      <c r="J3285">
        <v>3262</v>
      </c>
      <c r="K3285" s="10">
        <v>0.19692361929745852</v>
      </c>
      <c r="L3285" s="10">
        <v>0.21097228940236332</v>
      </c>
    </row>
    <row r="3286" spans="10:12" x14ac:dyDescent="0.3">
      <c r="J3286">
        <v>3263</v>
      </c>
      <c r="K3286" s="10">
        <v>0.19533774847119589</v>
      </c>
      <c r="L3286" s="10">
        <v>0.21606650810531949</v>
      </c>
    </row>
    <row r="3287" spans="10:12" x14ac:dyDescent="0.3">
      <c r="J3287">
        <v>3264</v>
      </c>
      <c r="K3287" s="10">
        <v>0.21148144922189552</v>
      </c>
      <c r="L3287" s="10">
        <v>0.2512364329406771</v>
      </c>
    </row>
    <row r="3288" spans="10:12" x14ac:dyDescent="0.3">
      <c r="J3288">
        <v>3265</v>
      </c>
      <c r="K3288" s="10">
        <v>0.19297161658169665</v>
      </c>
      <c r="L3288" s="10">
        <v>0.39016692575929762</v>
      </c>
    </row>
    <row r="3289" spans="10:12" x14ac:dyDescent="0.3">
      <c r="J3289">
        <v>3266</v>
      </c>
      <c r="K3289" s="10">
        <v>0.19591910353811612</v>
      </c>
      <c r="L3289" s="10">
        <v>0.19783481082612864</v>
      </c>
    </row>
    <row r="3290" spans="10:12" x14ac:dyDescent="0.3">
      <c r="J3290">
        <v>3267</v>
      </c>
      <c r="K3290" s="10">
        <v>0.21908568557156138</v>
      </c>
      <c r="L3290" s="10">
        <v>2.1991379702483688E-2</v>
      </c>
    </row>
    <row r="3291" spans="10:12" x14ac:dyDescent="0.3">
      <c r="J3291">
        <v>3268</v>
      </c>
      <c r="K3291" s="10">
        <v>0.18894131908036946</v>
      </c>
      <c r="L3291" s="10">
        <v>0.32101971966927911</v>
      </c>
    </row>
    <row r="3292" spans="10:12" x14ac:dyDescent="0.3">
      <c r="J3292">
        <v>3269</v>
      </c>
      <c r="K3292" s="10">
        <v>0.19206856708186365</v>
      </c>
      <c r="L3292" s="10">
        <v>0.29985227512832252</v>
      </c>
    </row>
    <row r="3293" spans="10:12" x14ac:dyDescent="0.3">
      <c r="J3293">
        <v>3270</v>
      </c>
      <c r="K3293" s="10">
        <v>0.19888059918436665</v>
      </c>
      <c r="L3293" s="10">
        <v>0.14616545534143841</v>
      </c>
    </row>
    <row r="3294" spans="10:12" x14ac:dyDescent="0.3">
      <c r="J3294">
        <v>3271</v>
      </c>
      <c r="K3294" s="10">
        <v>0.23021002257682036</v>
      </c>
      <c r="L3294" s="10">
        <v>9.3981848827972933E-2</v>
      </c>
    </row>
    <row r="3295" spans="10:12" x14ac:dyDescent="0.3">
      <c r="J3295">
        <v>3272</v>
      </c>
      <c r="K3295" s="10">
        <v>0.1996105448188058</v>
      </c>
      <c r="L3295" s="10">
        <v>0.4198666921959337</v>
      </c>
    </row>
    <row r="3296" spans="10:12" x14ac:dyDescent="0.3">
      <c r="J3296">
        <v>3273</v>
      </c>
      <c r="K3296" s="10">
        <v>0.21270495264121145</v>
      </c>
      <c r="L3296" s="10">
        <v>0.13687297550237404</v>
      </c>
    </row>
    <row r="3297" spans="10:12" x14ac:dyDescent="0.3">
      <c r="J3297">
        <v>3274</v>
      </c>
      <c r="K3297" s="10">
        <v>0.19964499436224731</v>
      </c>
      <c r="L3297" s="10">
        <v>0.27339907391584767</v>
      </c>
    </row>
    <row r="3298" spans="10:12" x14ac:dyDescent="0.3">
      <c r="J3298">
        <v>3275</v>
      </c>
      <c r="K3298" s="10">
        <v>0.19295350002794301</v>
      </c>
      <c r="L3298" s="10">
        <v>0.39498092229499981</v>
      </c>
    </row>
    <row r="3299" spans="10:12" x14ac:dyDescent="0.3">
      <c r="J3299">
        <v>3276</v>
      </c>
      <c r="K3299" s="10">
        <v>0.20092638619877301</v>
      </c>
      <c r="L3299" s="10">
        <v>0.24435625088759003</v>
      </c>
    </row>
    <row r="3300" spans="10:12" x14ac:dyDescent="0.3">
      <c r="J3300">
        <v>3277</v>
      </c>
      <c r="K3300" s="10">
        <v>0.23135568955173544</v>
      </c>
      <c r="L3300" s="10">
        <v>0.30004892513106862</v>
      </c>
    </row>
    <row r="3301" spans="10:12" x14ac:dyDescent="0.3">
      <c r="J3301">
        <v>3278</v>
      </c>
      <c r="K3301" s="10">
        <v>0.2035549834197973</v>
      </c>
      <c r="L3301" s="10">
        <v>0.24159381929609425</v>
      </c>
    </row>
    <row r="3302" spans="10:12" x14ac:dyDescent="0.3">
      <c r="J3302">
        <v>3279</v>
      </c>
      <c r="K3302" s="10">
        <v>0.22190367493518989</v>
      </c>
      <c r="L3302" s="10">
        <v>2.0491727911733926E-2</v>
      </c>
    </row>
    <row r="3303" spans="10:12" x14ac:dyDescent="0.3">
      <c r="J3303">
        <v>3280</v>
      </c>
      <c r="K3303" s="10">
        <v>0.23681307520526254</v>
      </c>
      <c r="L3303" s="10">
        <v>0.18164105383264945</v>
      </c>
    </row>
    <row r="3304" spans="10:12" x14ac:dyDescent="0.3">
      <c r="J3304">
        <v>3281</v>
      </c>
      <c r="K3304" s="10">
        <v>0.23481874240054912</v>
      </c>
      <c r="L3304" s="10">
        <v>-1.0628555186859241E-2</v>
      </c>
    </row>
    <row r="3305" spans="10:12" x14ac:dyDescent="0.3">
      <c r="J3305">
        <v>3282</v>
      </c>
      <c r="K3305" s="10">
        <v>0.19102460006586278</v>
      </c>
      <c r="L3305" s="10">
        <v>0.2502615678151795</v>
      </c>
    </row>
    <row r="3306" spans="10:12" x14ac:dyDescent="0.3">
      <c r="J3306">
        <v>3283</v>
      </c>
      <c r="K3306" s="10">
        <v>0.25624011258301227</v>
      </c>
      <c r="L3306" s="10">
        <v>0.11607832114975819</v>
      </c>
    </row>
    <row r="3307" spans="10:12" x14ac:dyDescent="0.3">
      <c r="J3307">
        <v>3284</v>
      </c>
      <c r="K3307" s="10">
        <v>0.21798470279481791</v>
      </c>
      <c r="L3307" s="10">
        <v>0.43876042086289013</v>
      </c>
    </row>
    <row r="3308" spans="10:12" x14ac:dyDescent="0.3">
      <c r="J3308">
        <v>3285</v>
      </c>
      <c r="K3308" s="10">
        <v>0.19168491813034022</v>
      </c>
      <c r="L3308" s="10">
        <v>0.3934435910945232</v>
      </c>
    </row>
    <row r="3309" spans="10:12" x14ac:dyDescent="0.3">
      <c r="J3309">
        <v>3286</v>
      </c>
      <c r="K3309" s="10">
        <v>0.21062254685442444</v>
      </c>
      <c r="L3309" s="10">
        <v>0.18936838208071599</v>
      </c>
    </row>
    <row r="3310" spans="10:12" x14ac:dyDescent="0.3">
      <c r="J3310">
        <v>3287</v>
      </c>
      <c r="K3310" s="10">
        <v>0.22398572881684053</v>
      </c>
      <c r="L3310" s="10">
        <v>0.58026563347573712</v>
      </c>
    </row>
    <row r="3311" spans="10:12" x14ac:dyDescent="0.3">
      <c r="J3311">
        <v>3288</v>
      </c>
      <c r="K3311" s="10">
        <v>0.19444092491382076</v>
      </c>
      <c r="L3311" s="10">
        <v>0.42568220520043587</v>
      </c>
    </row>
    <row r="3312" spans="10:12" x14ac:dyDescent="0.3">
      <c r="J3312">
        <v>3289</v>
      </c>
      <c r="K3312" s="10">
        <v>0.19323265635684297</v>
      </c>
      <c r="L3312" s="10">
        <v>0.23123255709254983</v>
      </c>
    </row>
    <row r="3313" spans="10:12" x14ac:dyDescent="0.3">
      <c r="J3313">
        <v>3290</v>
      </c>
      <c r="K3313" s="10">
        <v>0.20896110029258622</v>
      </c>
      <c r="L3313" s="10">
        <v>0.5321421041544665</v>
      </c>
    </row>
    <row r="3314" spans="10:12" x14ac:dyDescent="0.3">
      <c r="J3314">
        <v>3291</v>
      </c>
      <c r="K3314" s="10">
        <v>0.18909857661735655</v>
      </c>
      <c r="L3314" s="10">
        <v>0.31865421120388981</v>
      </c>
    </row>
    <row r="3315" spans="10:12" x14ac:dyDescent="0.3">
      <c r="J3315">
        <v>3292</v>
      </c>
      <c r="K3315" s="10">
        <v>0.19510408426718387</v>
      </c>
      <c r="L3315" s="10">
        <v>0.2572866454802995</v>
      </c>
    </row>
    <row r="3316" spans="10:12" x14ac:dyDescent="0.3">
      <c r="J3316">
        <v>3293</v>
      </c>
      <c r="K3316" s="10">
        <v>0.20941700149576822</v>
      </c>
      <c r="L3316" s="10">
        <v>0.27041650029513387</v>
      </c>
    </row>
    <row r="3317" spans="10:12" x14ac:dyDescent="0.3">
      <c r="J3317">
        <v>3294</v>
      </c>
      <c r="K3317" s="10">
        <v>0.21879288856298604</v>
      </c>
      <c r="L3317" s="10">
        <v>0.1037704738673558</v>
      </c>
    </row>
    <row r="3318" spans="10:12" x14ac:dyDescent="0.3">
      <c r="J3318">
        <v>3295</v>
      </c>
      <c r="K3318" s="10">
        <v>0.1976661943481072</v>
      </c>
      <c r="L3318" s="10">
        <v>0.3793377176153746</v>
      </c>
    </row>
    <row r="3319" spans="10:12" x14ac:dyDescent="0.3">
      <c r="J3319">
        <v>3296</v>
      </c>
      <c r="K3319" s="10">
        <v>0.23205863266874854</v>
      </c>
      <c r="L3319" s="10">
        <v>5.0672891102157058E-2</v>
      </c>
    </row>
    <row r="3320" spans="10:12" x14ac:dyDescent="0.3">
      <c r="J3320">
        <v>3297</v>
      </c>
      <c r="K3320" s="10">
        <v>0.19889061047166548</v>
      </c>
      <c r="L3320" s="10">
        <v>0.25068315159956628</v>
      </c>
    </row>
    <row r="3321" spans="10:12" x14ac:dyDescent="0.3">
      <c r="J3321">
        <v>3298</v>
      </c>
      <c r="K3321" s="10">
        <v>0.21658075978985761</v>
      </c>
      <c r="L3321" s="10">
        <v>8.0855980163142938E-2</v>
      </c>
    </row>
    <row r="3322" spans="10:12" x14ac:dyDescent="0.3">
      <c r="J3322">
        <v>3299</v>
      </c>
      <c r="K3322" s="10">
        <v>0.21165897422349178</v>
      </c>
      <c r="L3322" s="10">
        <v>0.14128618983783986</v>
      </c>
    </row>
    <row r="3323" spans="10:12" x14ac:dyDescent="0.3">
      <c r="J3323">
        <v>3300</v>
      </c>
      <c r="K3323" s="10">
        <v>0.24341058689981376</v>
      </c>
      <c r="L3323" s="10">
        <v>0.30612425470053301</v>
      </c>
    </row>
    <row r="3324" spans="10:12" x14ac:dyDescent="0.3">
      <c r="J3324">
        <v>3301</v>
      </c>
      <c r="K3324" s="10">
        <v>0.19633634579147013</v>
      </c>
      <c r="L3324" s="10">
        <v>0.27287548247386323</v>
      </c>
    </row>
    <row r="3325" spans="10:12" x14ac:dyDescent="0.3">
      <c r="J3325">
        <v>3302</v>
      </c>
      <c r="K3325" s="10">
        <v>0.18940014490155177</v>
      </c>
      <c r="L3325" s="10">
        <v>0.29920460509601315</v>
      </c>
    </row>
    <row r="3326" spans="10:12" x14ac:dyDescent="0.3">
      <c r="J3326">
        <v>3303</v>
      </c>
      <c r="K3326" s="10">
        <v>0.22883850382704468</v>
      </c>
      <c r="L3326" s="10">
        <v>3.6738478843631607E-2</v>
      </c>
    </row>
    <row r="3327" spans="10:12" x14ac:dyDescent="0.3">
      <c r="J3327">
        <v>3304</v>
      </c>
      <c r="K3327" s="10">
        <v>0.22160712821816844</v>
      </c>
      <c r="L3327" s="10">
        <v>0.57430595145868846</v>
      </c>
    </row>
    <row r="3328" spans="10:12" x14ac:dyDescent="0.3">
      <c r="J3328">
        <v>3305</v>
      </c>
      <c r="K3328" s="10">
        <v>0.19604796391270971</v>
      </c>
      <c r="L3328" s="10">
        <v>0.2676256078605434</v>
      </c>
    </row>
    <row r="3329" spans="10:12" x14ac:dyDescent="0.3">
      <c r="J3329">
        <v>3306</v>
      </c>
      <c r="K3329" s="10">
        <v>0.22229601795416978</v>
      </c>
      <c r="L3329" s="10">
        <v>4.5603659640932132E-2</v>
      </c>
    </row>
    <row r="3330" spans="10:12" x14ac:dyDescent="0.3">
      <c r="J3330">
        <v>3307</v>
      </c>
      <c r="K3330" s="10">
        <v>0.20004477581351499</v>
      </c>
      <c r="L3330" s="10">
        <v>0.16822183292459897</v>
      </c>
    </row>
    <row r="3331" spans="10:12" x14ac:dyDescent="0.3">
      <c r="J3331">
        <v>3308</v>
      </c>
      <c r="K3331" s="10">
        <v>0.20733328024557263</v>
      </c>
      <c r="L3331" s="10">
        <v>0.41491221759051089</v>
      </c>
    </row>
    <row r="3332" spans="10:12" x14ac:dyDescent="0.3">
      <c r="J3332">
        <v>3309</v>
      </c>
      <c r="K3332" s="10">
        <v>0.20165095052426088</v>
      </c>
      <c r="L3332" s="10">
        <v>0.18492864489726357</v>
      </c>
    </row>
    <row r="3333" spans="10:12" x14ac:dyDescent="0.3">
      <c r="J3333">
        <v>3310</v>
      </c>
      <c r="K3333" s="10">
        <v>0.26811942181323689</v>
      </c>
      <c r="L3333" s="10">
        <v>-7.1381737421519154E-2</v>
      </c>
    </row>
    <row r="3334" spans="10:12" x14ac:dyDescent="0.3">
      <c r="J3334">
        <v>3311</v>
      </c>
      <c r="K3334" s="10">
        <v>0.33880222459266135</v>
      </c>
      <c r="L3334" s="10">
        <v>-4.5728114629760626E-2</v>
      </c>
    </row>
    <row r="3335" spans="10:12" x14ac:dyDescent="0.3">
      <c r="J3335">
        <v>3312</v>
      </c>
      <c r="K3335" s="10">
        <v>0.18965225272409775</v>
      </c>
      <c r="L3335" s="10">
        <v>0.25958388036006269</v>
      </c>
    </row>
    <row r="3336" spans="10:12" x14ac:dyDescent="0.3">
      <c r="J3336">
        <v>3313</v>
      </c>
      <c r="K3336" s="10">
        <v>0.19258151984579752</v>
      </c>
      <c r="L3336" s="10">
        <v>0.35270810083672749</v>
      </c>
    </row>
    <row r="3337" spans="10:12" x14ac:dyDescent="0.3">
      <c r="J3337">
        <v>3314</v>
      </c>
      <c r="K3337" s="10">
        <v>0.22866738828040578</v>
      </c>
      <c r="L3337" s="10">
        <v>9.6461899084066688E-3</v>
      </c>
    </row>
    <row r="3338" spans="10:12" x14ac:dyDescent="0.3">
      <c r="J3338">
        <v>3315</v>
      </c>
      <c r="K3338" s="10">
        <v>0.22105895572101192</v>
      </c>
      <c r="L3338" s="10">
        <v>3.5884228240025719E-2</v>
      </c>
    </row>
    <row r="3339" spans="10:12" x14ac:dyDescent="0.3">
      <c r="J3339">
        <v>3316</v>
      </c>
      <c r="K3339" s="10">
        <v>0.23504106436922023</v>
      </c>
      <c r="L3339" s="10">
        <v>7.4119733682219482E-3</v>
      </c>
    </row>
    <row r="3340" spans="10:12" x14ac:dyDescent="0.3">
      <c r="J3340">
        <v>3317</v>
      </c>
      <c r="K3340" s="10">
        <v>0.23642955935314003</v>
      </c>
      <c r="L3340" s="10">
        <v>8.1555132058381774E-2</v>
      </c>
    </row>
    <row r="3341" spans="10:12" x14ac:dyDescent="0.3">
      <c r="J3341">
        <v>3318</v>
      </c>
      <c r="K3341" s="10">
        <v>0.19150240219013789</v>
      </c>
      <c r="L3341" s="10">
        <v>0.33445674244440393</v>
      </c>
    </row>
    <row r="3342" spans="10:12" x14ac:dyDescent="0.3">
      <c r="J3342">
        <v>3319</v>
      </c>
      <c r="K3342" s="10">
        <v>0.20233355194751068</v>
      </c>
      <c r="L3342" s="10">
        <v>0.21600598755359596</v>
      </c>
    </row>
    <row r="3343" spans="10:12" x14ac:dyDescent="0.3">
      <c r="J3343">
        <v>3320</v>
      </c>
      <c r="K3343" s="10">
        <v>0.22237723539060053</v>
      </c>
      <c r="L3343" s="10">
        <v>0.37116117209449317</v>
      </c>
    </row>
    <row r="3344" spans="10:12" x14ac:dyDescent="0.3">
      <c r="J3344">
        <v>3321</v>
      </c>
      <c r="K3344" s="10">
        <v>0.23324981998482472</v>
      </c>
      <c r="L3344" s="10">
        <v>2.6057589305825073E-2</v>
      </c>
    </row>
    <row r="3345" spans="10:12" x14ac:dyDescent="0.3">
      <c r="J3345">
        <v>3322</v>
      </c>
      <c r="K3345" s="10">
        <v>0.22270069398186781</v>
      </c>
      <c r="L3345" s="10">
        <v>0.31134941627669721</v>
      </c>
    </row>
    <row r="3346" spans="10:12" x14ac:dyDescent="0.3">
      <c r="J3346">
        <v>3323</v>
      </c>
      <c r="K3346" s="10">
        <v>0.25764112284140572</v>
      </c>
      <c r="L3346" s="10">
        <v>0.22024547536523917</v>
      </c>
    </row>
    <row r="3347" spans="10:12" x14ac:dyDescent="0.3">
      <c r="J3347">
        <v>3324</v>
      </c>
      <c r="K3347" s="10">
        <v>0.23424322171617099</v>
      </c>
      <c r="L3347" s="10">
        <v>0.18714663793423028</v>
      </c>
    </row>
    <row r="3348" spans="10:12" x14ac:dyDescent="0.3">
      <c r="J3348">
        <v>3325</v>
      </c>
      <c r="K3348" s="10">
        <v>0.23778087662029745</v>
      </c>
      <c r="L3348" s="10">
        <v>0.17432086226031979</v>
      </c>
    </row>
    <row r="3349" spans="10:12" x14ac:dyDescent="0.3">
      <c r="J3349">
        <v>3326</v>
      </c>
      <c r="K3349" s="10">
        <v>0.20656982508334229</v>
      </c>
      <c r="L3349" s="10">
        <v>0.51129955929608906</v>
      </c>
    </row>
    <row r="3350" spans="10:12" x14ac:dyDescent="0.3">
      <c r="J3350">
        <v>3327</v>
      </c>
      <c r="K3350" s="10">
        <v>0.21109107814053554</v>
      </c>
      <c r="L3350" s="10">
        <v>0.48249007126528687</v>
      </c>
    </row>
    <row r="3351" spans="10:12" x14ac:dyDescent="0.3">
      <c r="J3351">
        <v>3328</v>
      </c>
      <c r="K3351" s="10">
        <v>0.19829497532670781</v>
      </c>
      <c r="L3351" s="10">
        <v>0.19604721058137523</v>
      </c>
    </row>
    <row r="3352" spans="10:12" x14ac:dyDescent="0.3">
      <c r="J3352">
        <v>3329</v>
      </c>
      <c r="K3352" s="10">
        <v>0.19431461726085059</v>
      </c>
      <c r="L3352" s="10">
        <v>0.22034212774038364</v>
      </c>
    </row>
    <row r="3353" spans="10:12" x14ac:dyDescent="0.3">
      <c r="J3353">
        <v>3330</v>
      </c>
      <c r="K3353" s="10">
        <v>0.24096690665078549</v>
      </c>
      <c r="L3353" s="10">
        <v>0.10270676493053592</v>
      </c>
    </row>
    <row r="3354" spans="10:12" x14ac:dyDescent="0.3">
      <c r="J3354">
        <v>3331</v>
      </c>
      <c r="K3354" s="10">
        <v>0.18923848078889524</v>
      </c>
      <c r="L3354" s="10">
        <v>0.30474600669402974</v>
      </c>
    </row>
    <row r="3355" spans="10:12" x14ac:dyDescent="0.3">
      <c r="J3355">
        <v>3332</v>
      </c>
      <c r="K3355" s="10">
        <v>0.18908492244656225</v>
      </c>
      <c r="L3355" s="10">
        <v>0.31533741880923971</v>
      </c>
    </row>
    <row r="3356" spans="10:12" x14ac:dyDescent="0.3">
      <c r="J3356">
        <v>3333</v>
      </c>
      <c r="K3356" s="10">
        <v>0.22182868800181449</v>
      </c>
      <c r="L3356" s="10">
        <v>0.29451062626305763</v>
      </c>
    </row>
    <row r="3357" spans="10:12" x14ac:dyDescent="0.3">
      <c r="J3357">
        <v>3334</v>
      </c>
      <c r="K3357" s="10">
        <v>0.22555522472566231</v>
      </c>
      <c r="L3357" s="10">
        <v>0.16504942044396295</v>
      </c>
    </row>
    <row r="3358" spans="10:12" x14ac:dyDescent="0.3">
      <c r="J3358">
        <v>3335</v>
      </c>
      <c r="K3358" s="10">
        <v>0.21325455913515176</v>
      </c>
      <c r="L3358" s="10">
        <v>0.33688578084630744</v>
      </c>
    </row>
    <row r="3359" spans="10:12" x14ac:dyDescent="0.3">
      <c r="J3359">
        <v>3336</v>
      </c>
      <c r="K3359" s="10">
        <v>0.19976473037090822</v>
      </c>
      <c r="L3359" s="10">
        <v>0.13972387819691273</v>
      </c>
    </row>
    <row r="3360" spans="10:12" x14ac:dyDescent="0.3">
      <c r="J3360">
        <v>3337</v>
      </c>
      <c r="K3360" s="10">
        <v>0.20473829812889593</v>
      </c>
      <c r="L3360" s="10">
        <v>0.28126018524646773</v>
      </c>
    </row>
    <row r="3361" spans="10:12" x14ac:dyDescent="0.3">
      <c r="J3361">
        <v>3338</v>
      </c>
      <c r="K3361" s="10">
        <v>0.19018960369092908</v>
      </c>
      <c r="L3361" s="10">
        <v>0.36782994571291194</v>
      </c>
    </row>
    <row r="3362" spans="10:12" x14ac:dyDescent="0.3">
      <c r="J3362">
        <v>3339</v>
      </c>
      <c r="K3362" s="10">
        <v>0.24091204789914128</v>
      </c>
      <c r="L3362" s="10">
        <v>3.6470933831188573E-2</v>
      </c>
    </row>
    <row r="3363" spans="10:12" x14ac:dyDescent="0.3">
      <c r="J3363">
        <v>3340</v>
      </c>
      <c r="K3363" s="10">
        <v>0.2243407710607658</v>
      </c>
      <c r="L3363" s="10">
        <v>-1.9453277123829688E-3</v>
      </c>
    </row>
    <row r="3364" spans="10:12" x14ac:dyDescent="0.3">
      <c r="J3364">
        <v>3341</v>
      </c>
      <c r="K3364" s="10">
        <v>0.25118984348697065</v>
      </c>
      <c r="L3364" s="10">
        <v>-8.4763932419485655E-2</v>
      </c>
    </row>
    <row r="3365" spans="10:12" x14ac:dyDescent="0.3">
      <c r="J3365">
        <v>3342</v>
      </c>
      <c r="K3365" s="10">
        <v>0.1891155486513699</v>
      </c>
      <c r="L3365" s="10">
        <v>0.33821120802177451</v>
      </c>
    </row>
    <row r="3366" spans="10:12" x14ac:dyDescent="0.3">
      <c r="J3366">
        <v>3343</v>
      </c>
      <c r="K3366" s="10">
        <v>0.23760215897391018</v>
      </c>
      <c r="L3366" s="10">
        <v>3.7728208779378852E-3</v>
      </c>
    </row>
    <row r="3367" spans="10:12" x14ac:dyDescent="0.3">
      <c r="J3367">
        <v>3344</v>
      </c>
      <c r="K3367" s="10">
        <v>0.20630352405035615</v>
      </c>
      <c r="L3367" s="10">
        <v>0.11088158496159595</v>
      </c>
    </row>
    <row r="3368" spans="10:12" x14ac:dyDescent="0.3">
      <c r="J3368">
        <v>3345</v>
      </c>
      <c r="K3368" s="10">
        <v>0.1903269016152124</v>
      </c>
      <c r="L3368" s="10">
        <v>0.25591597252671661</v>
      </c>
    </row>
    <row r="3369" spans="10:12" x14ac:dyDescent="0.3">
      <c r="J3369">
        <v>3346</v>
      </c>
      <c r="K3369" s="10">
        <v>0.21678038299816968</v>
      </c>
      <c r="L3369" s="10">
        <v>0.14857373940403321</v>
      </c>
    </row>
    <row r="3370" spans="10:12" x14ac:dyDescent="0.3">
      <c r="J3370">
        <v>3347</v>
      </c>
      <c r="K3370" s="10">
        <v>0.19585827614430304</v>
      </c>
      <c r="L3370" s="10">
        <v>0.38679355281907657</v>
      </c>
    </row>
    <row r="3371" spans="10:12" x14ac:dyDescent="0.3">
      <c r="J3371">
        <v>3348</v>
      </c>
      <c r="K3371" s="10">
        <v>0.20809628593251162</v>
      </c>
      <c r="L3371" s="10">
        <v>0.24004078932269829</v>
      </c>
    </row>
    <row r="3372" spans="10:12" x14ac:dyDescent="0.3">
      <c r="J3372">
        <v>3349</v>
      </c>
      <c r="K3372" s="10">
        <v>0.20673329141078289</v>
      </c>
      <c r="L3372" s="10">
        <v>0.18229031110266741</v>
      </c>
    </row>
    <row r="3373" spans="10:12" x14ac:dyDescent="0.3">
      <c r="J3373">
        <v>3350</v>
      </c>
      <c r="K3373" s="10">
        <v>0.24764854563608943</v>
      </c>
      <c r="L3373" s="10">
        <v>9.9767297688355835E-2</v>
      </c>
    </row>
    <row r="3374" spans="10:12" x14ac:dyDescent="0.3">
      <c r="J3374">
        <v>3351</v>
      </c>
      <c r="K3374" s="10">
        <v>0.23918616733094775</v>
      </c>
      <c r="L3374" s="10">
        <v>5.5696270154604009E-2</v>
      </c>
    </row>
    <row r="3375" spans="10:12" x14ac:dyDescent="0.3">
      <c r="J3375">
        <v>3352</v>
      </c>
      <c r="K3375" s="10">
        <v>0.25511811306900156</v>
      </c>
      <c r="L3375" s="10">
        <v>9.3709859239401089E-2</v>
      </c>
    </row>
    <row r="3376" spans="10:12" x14ac:dyDescent="0.3">
      <c r="J3376">
        <v>3353</v>
      </c>
      <c r="K3376" s="10">
        <v>0.21786534432410462</v>
      </c>
      <c r="L3376" s="10">
        <v>0.56228630407627178</v>
      </c>
    </row>
    <row r="3377" spans="10:12" x14ac:dyDescent="0.3">
      <c r="J3377">
        <v>3354</v>
      </c>
      <c r="K3377" s="10">
        <v>0.21995743892084341</v>
      </c>
      <c r="L3377" s="10">
        <v>7.353175100131587E-2</v>
      </c>
    </row>
    <row r="3378" spans="10:12" x14ac:dyDescent="0.3">
      <c r="J3378">
        <v>3355</v>
      </c>
      <c r="K3378" s="10">
        <v>0.20565341346350252</v>
      </c>
      <c r="L3378" s="10">
        <v>0.37066887187215541</v>
      </c>
    </row>
    <row r="3379" spans="10:12" x14ac:dyDescent="0.3">
      <c r="J3379">
        <v>3356</v>
      </c>
      <c r="K3379" s="10">
        <v>0.18979977410879806</v>
      </c>
      <c r="L3379" s="10">
        <v>0.25773877756008973</v>
      </c>
    </row>
    <row r="3380" spans="10:12" x14ac:dyDescent="0.3">
      <c r="J3380">
        <v>3357</v>
      </c>
      <c r="K3380" s="10">
        <v>0.25310669802964947</v>
      </c>
      <c r="L3380" s="10">
        <v>0.73662597071179903</v>
      </c>
    </row>
    <row r="3381" spans="10:12" x14ac:dyDescent="0.3">
      <c r="J3381">
        <v>3358</v>
      </c>
      <c r="K3381" s="10">
        <v>0.20874881109178386</v>
      </c>
      <c r="L3381" s="10">
        <v>0.19220540515892201</v>
      </c>
    </row>
    <row r="3382" spans="10:12" x14ac:dyDescent="0.3">
      <c r="J3382">
        <v>3359</v>
      </c>
      <c r="K3382" s="10">
        <v>0.22558855103988779</v>
      </c>
      <c r="L3382" s="10">
        <v>0.2674185342403726</v>
      </c>
    </row>
    <row r="3383" spans="10:12" x14ac:dyDescent="0.3">
      <c r="J3383">
        <v>3360</v>
      </c>
      <c r="K3383" s="10">
        <v>0.19459164635209439</v>
      </c>
      <c r="L3383" s="10">
        <v>0.41803280269380416</v>
      </c>
    </row>
    <row r="3384" spans="10:12" x14ac:dyDescent="0.3">
      <c r="J3384">
        <v>3361</v>
      </c>
      <c r="K3384" s="10">
        <v>0.19851643139727709</v>
      </c>
      <c r="L3384" s="10">
        <v>0.33322359657314171</v>
      </c>
    </row>
    <row r="3385" spans="10:12" x14ac:dyDescent="0.3">
      <c r="J3385">
        <v>3362</v>
      </c>
      <c r="K3385" s="10">
        <v>0.20958050053970018</v>
      </c>
      <c r="L3385" s="10">
        <v>0.473828560484512</v>
      </c>
    </row>
    <row r="3386" spans="10:12" x14ac:dyDescent="0.3">
      <c r="J3386">
        <v>3363</v>
      </c>
      <c r="K3386" s="10">
        <v>0.2054948375279893</v>
      </c>
      <c r="L3386" s="10">
        <v>0.505763944408961</v>
      </c>
    </row>
    <row r="3387" spans="10:12" x14ac:dyDescent="0.3">
      <c r="J3387">
        <v>3364</v>
      </c>
      <c r="K3387" s="10">
        <v>0.20994036313313624</v>
      </c>
      <c r="L3387" s="10">
        <v>0.11338780460947484</v>
      </c>
    </row>
    <row r="3388" spans="10:12" x14ac:dyDescent="0.3">
      <c r="J3388">
        <v>3365</v>
      </c>
      <c r="K3388" s="10">
        <v>0.22698474160604695</v>
      </c>
      <c r="L3388" s="10">
        <v>8.8924762149468484E-4</v>
      </c>
    </row>
    <row r="3389" spans="10:12" x14ac:dyDescent="0.3">
      <c r="J3389">
        <v>3366</v>
      </c>
      <c r="K3389" s="10">
        <v>0.22585816749349669</v>
      </c>
      <c r="L3389" s="10">
        <v>0.22093534348722871</v>
      </c>
    </row>
    <row r="3390" spans="10:12" x14ac:dyDescent="0.3">
      <c r="J3390">
        <v>3367</v>
      </c>
      <c r="K3390" s="10">
        <v>0.20842067752482113</v>
      </c>
      <c r="L3390" s="10">
        <v>0.23329537613064494</v>
      </c>
    </row>
    <row r="3391" spans="10:12" x14ac:dyDescent="0.3">
      <c r="J3391">
        <v>3368</v>
      </c>
      <c r="K3391" s="10">
        <v>0.2004867258132593</v>
      </c>
      <c r="L3391" s="10">
        <v>0.13666324916046202</v>
      </c>
    </row>
    <row r="3392" spans="10:12" x14ac:dyDescent="0.3">
      <c r="J3392">
        <v>3369</v>
      </c>
      <c r="K3392" s="10">
        <v>0.2272385001941897</v>
      </c>
      <c r="L3392" s="10">
        <v>0.18101150988875686</v>
      </c>
    </row>
    <row r="3393" spans="10:12" x14ac:dyDescent="0.3">
      <c r="J3393">
        <v>3370</v>
      </c>
      <c r="K3393" s="10">
        <v>0.27967213576879463</v>
      </c>
      <c r="L3393" s="10">
        <v>6.4757639814727513E-2</v>
      </c>
    </row>
    <row r="3394" spans="10:12" x14ac:dyDescent="0.3">
      <c r="J3394">
        <v>3371</v>
      </c>
      <c r="K3394" s="10">
        <v>0.23434562657061198</v>
      </c>
      <c r="L3394" s="10">
        <v>0.10129561268970806</v>
      </c>
    </row>
    <row r="3395" spans="10:12" x14ac:dyDescent="0.3">
      <c r="J3395">
        <v>3372</v>
      </c>
      <c r="K3395" s="10">
        <v>0.20146061883770158</v>
      </c>
      <c r="L3395" s="10">
        <v>0.21316163553167411</v>
      </c>
    </row>
    <row r="3396" spans="10:12" x14ac:dyDescent="0.3">
      <c r="J3396">
        <v>3373</v>
      </c>
      <c r="K3396" s="10">
        <v>0.19593535328808526</v>
      </c>
      <c r="L3396" s="10">
        <v>0.17201324519391253</v>
      </c>
    </row>
    <row r="3397" spans="10:12" x14ac:dyDescent="0.3">
      <c r="J3397">
        <v>3374</v>
      </c>
      <c r="K3397" s="10">
        <v>0.21431538351888077</v>
      </c>
      <c r="L3397" s="10">
        <v>0.38644886714355353</v>
      </c>
    </row>
    <row r="3398" spans="10:12" x14ac:dyDescent="0.3">
      <c r="J3398">
        <v>3375</v>
      </c>
      <c r="K3398" s="10">
        <v>0.19741931841280341</v>
      </c>
      <c r="L3398" s="10">
        <v>0.38505387117173517</v>
      </c>
    </row>
    <row r="3399" spans="10:12" x14ac:dyDescent="0.3">
      <c r="J3399">
        <v>3376</v>
      </c>
      <c r="K3399" s="10">
        <v>0.20740785100143511</v>
      </c>
      <c r="L3399" s="10">
        <v>0.27474774116364375</v>
      </c>
    </row>
    <row r="3400" spans="10:12" x14ac:dyDescent="0.3">
      <c r="J3400">
        <v>3377</v>
      </c>
      <c r="K3400" s="10">
        <v>0.24685850388772604</v>
      </c>
      <c r="L3400" s="10">
        <v>-4.240337491749651E-2</v>
      </c>
    </row>
    <row r="3401" spans="10:12" x14ac:dyDescent="0.3">
      <c r="J3401">
        <v>3378</v>
      </c>
      <c r="K3401" s="10">
        <v>0.24005794629332824</v>
      </c>
      <c r="L3401" s="10">
        <v>-7.0706397393096462E-2</v>
      </c>
    </row>
    <row r="3402" spans="10:12" x14ac:dyDescent="0.3">
      <c r="J3402">
        <v>3379</v>
      </c>
      <c r="K3402" s="10">
        <v>0.21096209364999546</v>
      </c>
      <c r="L3402" s="10">
        <v>0.30723027778449902</v>
      </c>
    </row>
    <row r="3403" spans="10:12" x14ac:dyDescent="0.3">
      <c r="J3403">
        <v>3380</v>
      </c>
      <c r="K3403" s="10">
        <v>0.26624599385980946</v>
      </c>
      <c r="L3403" s="10">
        <v>8.9687903677432901E-2</v>
      </c>
    </row>
    <row r="3404" spans="10:12" x14ac:dyDescent="0.3">
      <c r="J3404">
        <v>3381</v>
      </c>
      <c r="K3404" s="10">
        <v>0.22110277077943008</v>
      </c>
      <c r="L3404" s="10">
        <v>2.1244824457108243E-2</v>
      </c>
    </row>
    <row r="3405" spans="10:12" x14ac:dyDescent="0.3">
      <c r="J3405">
        <v>3382</v>
      </c>
      <c r="K3405" s="10">
        <v>0.26136941863114582</v>
      </c>
      <c r="L3405" s="10">
        <v>2.2394643569297695E-2</v>
      </c>
    </row>
    <row r="3406" spans="10:12" x14ac:dyDescent="0.3">
      <c r="J3406">
        <v>3383</v>
      </c>
      <c r="K3406" s="10">
        <v>0.28404645235174403</v>
      </c>
      <c r="L3406" s="10">
        <v>0.13723226573927863</v>
      </c>
    </row>
    <row r="3407" spans="10:12" x14ac:dyDescent="0.3">
      <c r="J3407">
        <v>3384</v>
      </c>
      <c r="K3407" s="10">
        <v>0.21273459537649161</v>
      </c>
      <c r="L3407" s="10">
        <v>0.17135431555582054</v>
      </c>
    </row>
    <row r="3408" spans="10:12" x14ac:dyDescent="0.3">
      <c r="J3408">
        <v>3385</v>
      </c>
      <c r="K3408" s="10">
        <v>0.21081119261345116</v>
      </c>
      <c r="L3408" s="10">
        <v>0.16921985800548875</v>
      </c>
    </row>
    <row r="3409" spans="10:12" x14ac:dyDescent="0.3">
      <c r="J3409">
        <v>3386</v>
      </c>
      <c r="K3409" s="10">
        <v>0.20728356574726722</v>
      </c>
      <c r="L3409" s="10">
        <v>0.50838374914563023</v>
      </c>
    </row>
    <row r="3410" spans="10:12" x14ac:dyDescent="0.3">
      <c r="J3410">
        <v>3387</v>
      </c>
      <c r="K3410" s="10">
        <v>0.26342410544429778</v>
      </c>
      <c r="L3410" s="10">
        <v>-8.747114798339263E-3</v>
      </c>
    </row>
    <row r="3411" spans="10:12" x14ac:dyDescent="0.3">
      <c r="J3411">
        <v>3388</v>
      </c>
      <c r="K3411" s="10">
        <v>0.20868686541702539</v>
      </c>
      <c r="L3411" s="10">
        <v>8.281944646902531E-2</v>
      </c>
    </row>
    <row r="3412" spans="10:12" x14ac:dyDescent="0.3">
      <c r="J3412">
        <v>3389</v>
      </c>
      <c r="K3412" s="10">
        <v>0.24367996329268979</v>
      </c>
      <c r="L3412" s="10">
        <v>-1.5768852293893611E-2</v>
      </c>
    </row>
    <row r="3413" spans="10:12" x14ac:dyDescent="0.3">
      <c r="J3413">
        <v>3390</v>
      </c>
      <c r="K3413" s="10">
        <v>0.21308492025995518</v>
      </c>
      <c r="L3413" s="10">
        <v>0.14216649390735558</v>
      </c>
    </row>
    <row r="3414" spans="10:12" x14ac:dyDescent="0.3">
      <c r="J3414">
        <v>3391</v>
      </c>
      <c r="K3414" s="10">
        <v>0.22411578749347294</v>
      </c>
      <c r="L3414" s="10">
        <v>0.10692273098761991</v>
      </c>
    </row>
    <row r="3415" spans="10:12" x14ac:dyDescent="0.3">
      <c r="J3415">
        <v>3392</v>
      </c>
      <c r="K3415" s="10">
        <v>0.23795497818725062</v>
      </c>
      <c r="L3415" s="10">
        <v>9.3868819218566379E-2</v>
      </c>
    </row>
    <row r="3416" spans="10:12" x14ac:dyDescent="0.3">
      <c r="J3416">
        <v>3393</v>
      </c>
      <c r="K3416" s="10">
        <v>0.20453809070679446</v>
      </c>
      <c r="L3416" s="10">
        <v>0.33623607308346676</v>
      </c>
    </row>
    <row r="3417" spans="10:12" x14ac:dyDescent="0.3">
      <c r="J3417">
        <v>3394</v>
      </c>
      <c r="K3417" s="10">
        <v>0.19386050512347647</v>
      </c>
      <c r="L3417" s="10">
        <v>0.405030604144277</v>
      </c>
    </row>
    <row r="3418" spans="10:12" x14ac:dyDescent="0.3">
      <c r="J3418">
        <v>3395</v>
      </c>
      <c r="K3418" s="10">
        <v>0.19213323294471826</v>
      </c>
      <c r="L3418" s="10">
        <v>0.35493378263320424</v>
      </c>
    </row>
    <row r="3419" spans="10:12" x14ac:dyDescent="0.3">
      <c r="J3419">
        <v>3396</v>
      </c>
      <c r="K3419" s="10">
        <v>0.20509946540062884</v>
      </c>
      <c r="L3419" s="10">
        <v>0.31612910608158995</v>
      </c>
    </row>
    <row r="3420" spans="10:12" x14ac:dyDescent="0.3">
      <c r="J3420">
        <v>3397</v>
      </c>
      <c r="K3420" s="10">
        <v>0.25048492151056317</v>
      </c>
      <c r="L3420" s="10">
        <v>0.1996061209353531</v>
      </c>
    </row>
    <row r="3421" spans="10:12" x14ac:dyDescent="0.3">
      <c r="J3421">
        <v>3398</v>
      </c>
      <c r="K3421" s="10">
        <v>0.21681445241995534</v>
      </c>
      <c r="L3421" s="10">
        <v>0.21825426227296674</v>
      </c>
    </row>
    <row r="3422" spans="10:12" x14ac:dyDescent="0.3">
      <c r="J3422">
        <v>3399</v>
      </c>
      <c r="K3422" s="10">
        <v>0.18870330408122221</v>
      </c>
      <c r="L3422" s="10">
        <v>0.31269775955185292</v>
      </c>
    </row>
    <row r="3423" spans="10:12" x14ac:dyDescent="0.3">
      <c r="J3423">
        <v>3400</v>
      </c>
      <c r="K3423" s="10">
        <v>0.19773952115199583</v>
      </c>
      <c r="L3423" s="10">
        <v>0.2938867324335479</v>
      </c>
    </row>
    <row r="3424" spans="10:12" x14ac:dyDescent="0.3">
      <c r="J3424">
        <v>3401</v>
      </c>
      <c r="K3424" s="10">
        <v>0.22985578387553063</v>
      </c>
      <c r="L3424" s="10">
        <v>4.9457660654807209E-2</v>
      </c>
    </row>
    <row r="3425" spans="10:12" x14ac:dyDescent="0.3">
      <c r="J3425">
        <v>3402</v>
      </c>
      <c r="K3425" s="10">
        <v>0.20872323887742555</v>
      </c>
      <c r="L3425" s="10">
        <v>0.18211696122574139</v>
      </c>
    </row>
    <row r="3426" spans="10:12" x14ac:dyDescent="0.3">
      <c r="J3426">
        <v>3403</v>
      </c>
      <c r="K3426" s="10">
        <v>0.2283893560949124</v>
      </c>
      <c r="L3426" s="10">
        <v>4.4602691375179235E-2</v>
      </c>
    </row>
    <row r="3427" spans="10:12" x14ac:dyDescent="0.3">
      <c r="J3427">
        <v>3404</v>
      </c>
      <c r="K3427" s="10">
        <v>0.20560332044228155</v>
      </c>
      <c r="L3427" s="10">
        <v>0.37284376082287329</v>
      </c>
    </row>
    <row r="3428" spans="10:12" x14ac:dyDescent="0.3">
      <c r="J3428">
        <v>3405</v>
      </c>
      <c r="K3428" s="10">
        <v>0.21001723734079397</v>
      </c>
      <c r="L3428" s="10">
        <v>0.31812039125653546</v>
      </c>
    </row>
    <row r="3429" spans="10:12" x14ac:dyDescent="0.3">
      <c r="J3429">
        <v>3406</v>
      </c>
      <c r="K3429" s="10">
        <v>0.21853241541389559</v>
      </c>
      <c r="L3429" s="10">
        <v>2.6721558006737388E-2</v>
      </c>
    </row>
    <row r="3430" spans="10:12" x14ac:dyDescent="0.3">
      <c r="J3430">
        <v>3407</v>
      </c>
      <c r="K3430" s="10">
        <v>0.19605394787966796</v>
      </c>
      <c r="L3430" s="10">
        <v>0.18921700965604255</v>
      </c>
    </row>
    <row r="3431" spans="10:12" x14ac:dyDescent="0.3">
      <c r="J3431">
        <v>3408</v>
      </c>
      <c r="K3431" s="10">
        <v>0.20195223621458225</v>
      </c>
      <c r="L3431" s="10">
        <v>0.45720342242883688</v>
      </c>
    </row>
    <row r="3432" spans="10:12" x14ac:dyDescent="0.3">
      <c r="J3432">
        <v>3409</v>
      </c>
      <c r="K3432" s="10">
        <v>0.19987466749457841</v>
      </c>
      <c r="L3432" s="10">
        <v>0.2295069304570192</v>
      </c>
    </row>
    <row r="3433" spans="10:12" x14ac:dyDescent="0.3">
      <c r="J3433">
        <v>3410</v>
      </c>
      <c r="K3433" s="10">
        <v>0.21443231185162923</v>
      </c>
      <c r="L3433" s="10">
        <v>0.5582988450320665</v>
      </c>
    </row>
    <row r="3434" spans="10:12" x14ac:dyDescent="0.3">
      <c r="J3434">
        <v>3411</v>
      </c>
      <c r="K3434" s="10">
        <v>0.19867012819528987</v>
      </c>
      <c r="L3434" s="10">
        <v>0.29351180876650784</v>
      </c>
    </row>
    <row r="3435" spans="10:12" x14ac:dyDescent="0.3">
      <c r="J3435">
        <v>3412</v>
      </c>
      <c r="K3435" s="10">
        <v>0.19256829380047069</v>
      </c>
      <c r="L3435" s="10">
        <v>0.37893201828369433</v>
      </c>
    </row>
    <row r="3436" spans="10:12" x14ac:dyDescent="0.3">
      <c r="J3436">
        <v>3413</v>
      </c>
      <c r="K3436" s="10">
        <v>0.19435443434888794</v>
      </c>
      <c r="L3436" s="10">
        <v>0.18935749354583947</v>
      </c>
    </row>
    <row r="3437" spans="10:12" x14ac:dyDescent="0.3">
      <c r="J3437">
        <v>3414</v>
      </c>
      <c r="K3437" s="10">
        <v>0.22797967838671809</v>
      </c>
      <c r="L3437" s="10">
        <v>0.2404977592309748</v>
      </c>
    </row>
    <row r="3438" spans="10:12" x14ac:dyDescent="0.3">
      <c r="J3438">
        <v>3415</v>
      </c>
      <c r="K3438" s="10">
        <v>0.20772664975845173</v>
      </c>
      <c r="L3438" s="10">
        <v>0.10620068827953583</v>
      </c>
    </row>
    <row r="3439" spans="10:12" x14ac:dyDescent="0.3">
      <c r="J3439">
        <v>3416</v>
      </c>
      <c r="K3439" s="10">
        <v>0.23659167954816918</v>
      </c>
      <c r="L3439" s="10">
        <v>0.66382543021340967</v>
      </c>
    </row>
    <row r="3440" spans="10:12" x14ac:dyDescent="0.3">
      <c r="J3440">
        <v>3417</v>
      </c>
      <c r="K3440" s="10">
        <v>0.19586489082690495</v>
      </c>
      <c r="L3440" s="10">
        <v>0.27644807272008709</v>
      </c>
    </row>
    <row r="3441" spans="10:12" x14ac:dyDescent="0.3">
      <c r="J3441">
        <v>3418</v>
      </c>
      <c r="K3441" s="10">
        <v>0.20815298908732319</v>
      </c>
      <c r="L3441" s="10">
        <v>0.1676663604698812</v>
      </c>
    </row>
    <row r="3442" spans="10:12" x14ac:dyDescent="0.3">
      <c r="J3442">
        <v>3419</v>
      </c>
      <c r="K3442" s="10">
        <v>0.20755394230353566</v>
      </c>
      <c r="L3442" s="10">
        <v>0.32124013935540274</v>
      </c>
    </row>
    <row r="3443" spans="10:12" x14ac:dyDescent="0.3">
      <c r="J3443">
        <v>3420</v>
      </c>
      <c r="K3443" s="10">
        <v>0.21034386269459257</v>
      </c>
      <c r="L3443" s="10">
        <v>0.17304806912343826</v>
      </c>
    </row>
    <row r="3444" spans="10:12" x14ac:dyDescent="0.3">
      <c r="J3444">
        <v>3421</v>
      </c>
      <c r="K3444" s="10">
        <v>0.19552194344198442</v>
      </c>
      <c r="L3444" s="10">
        <v>0.33919563459602775</v>
      </c>
    </row>
    <row r="3445" spans="10:12" x14ac:dyDescent="0.3">
      <c r="J3445">
        <v>3422</v>
      </c>
      <c r="K3445" s="10">
        <v>0.2168687636709519</v>
      </c>
      <c r="L3445" s="10">
        <v>0.47811545217959561</v>
      </c>
    </row>
    <row r="3446" spans="10:12" x14ac:dyDescent="0.3">
      <c r="J3446">
        <v>3423</v>
      </c>
      <c r="K3446" s="10">
        <v>0.21188533861005671</v>
      </c>
      <c r="L3446" s="10">
        <v>0.42757962213598916</v>
      </c>
    </row>
    <row r="3447" spans="10:12" x14ac:dyDescent="0.3">
      <c r="J3447">
        <v>3424</v>
      </c>
      <c r="K3447" s="10">
        <v>0.21006287663479206</v>
      </c>
      <c r="L3447" s="10">
        <v>9.4236218293658053E-2</v>
      </c>
    </row>
    <row r="3448" spans="10:12" x14ac:dyDescent="0.3">
      <c r="J3448">
        <v>3425</v>
      </c>
      <c r="K3448" s="10">
        <v>0.1893442613888959</v>
      </c>
      <c r="L3448" s="10">
        <v>0.28803526790475886</v>
      </c>
    </row>
    <row r="3449" spans="10:12" x14ac:dyDescent="0.3">
      <c r="J3449">
        <v>3426</v>
      </c>
      <c r="K3449" s="10">
        <v>0.202998805358616</v>
      </c>
      <c r="L3449" s="10">
        <v>0.26837848054252017</v>
      </c>
    </row>
    <row r="3450" spans="10:12" x14ac:dyDescent="0.3">
      <c r="J3450">
        <v>3427</v>
      </c>
      <c r="K3450" s="10">
        <v>0.20198740522012809</v>
      </c>
      <c r="L3450" s="10">
        <v>0.14393309147487626</v>
      </c>
    </row>
    <row r="3451" spans="10:12" x14ac:dyDescent="0.3">
      <c r="J3451">
        <v>3428</v>
      </c>
      <c r="K3451" s="10">
        <v>0.22107088577508327</v>
      </c>
      <c r="L3451" s="10">
        <v>0.49800500582814139</v>
      </c>
    </row>
    <row r="3452" spans="10:12" x14ac:dyDescent="0.3">
      <c r="J3452">
        <v>3429</v>
      </c>
      <c r="K3452" s="10">
        <v>0.24500916963821273</v>
      </c>
      <c r="L3452" s="10">
        <v>0.25743794994098579</v>
      </c>
    </row>
    <row r="3453" spans="10:12" x14ac:dyDescent="0.3">
      <c r="J3453">
        <v>3430</v>
      </c>
      <c r="K3453" s="10">
        <v>0.20297606309684424</v>
      </c>
      <c r="L3453" s="10">
        <v>0.48560515531771731</v>
      </c>
    </row>
    <row r="3454" spans="10:12" x14ac:dyDescent="0.3">
      <c r="J3454">
        <v>3431</v>
      </c>
      <c r="K3454" s="10">
        <v>0.19516992019538146</v>
      </c>
      <c r="L3454" s="10">
        <v>0.18112138139992023</v>
      </c>
    </row>
    <row r="3455" spans="10:12" x14ac:dyDescent="0.3">
      <c r="J3455">
        <v>3432</v>
      </c>
      <c r="K3455" s="10">
        <v>0.20832577055355908</v>
      </c>
      <c r="L3455" s="10">
        <v>0.35561058925883182</v>
      </c>
    </row>
    <row r="3456" spans="10:12" x14ac:dyDescent="0.3">
      <c r="J3456">
        <v>3433</v>
      </c>
      <c r="K3456" s="10">
        <v>0.19430812179153226</v>
      </c>
      <c r="L3456" s="10">
        <v>0.18822144088029594</v>
      </c>
    </row>
    <row r="3457" spans="10:12" x14ac:dyDescent="0.3">
      <c r="J3457">
        <v>3434</v>
      </c>
      <c r="K3457" s="10">
        <v>0.20504951718049774</v>
      </c>
      <c r="L3457" s="10">
        <v>0.37118259545417759</v>
      </c>
    </row>
    <row r="3458" spans="10:12" x14ac:dyDescent="0.3">
      <c r="J3458">
        <v>3435</v>
      </c>
      <c r="K3458" s="10">
        <v>0.20527340137614603</v>
      </c>
      <c r="L3458" s="10">
        <v>0.17106517330685655</v>
      </c>
    </row>
    <row r="3459" spans="10:12" x14ac:dyDescent="0.3">
      <c r="J3459">
        <v>3436</v>
      </c>
      <c r="K3459" s="10">
        <v>0.2065815455359214</v>
      </c>
      <c r="L3459" s="10">
        <v>0.14818267878502861</v>
      </c>
    </row>
    <row r="3460" spans="10:12" x14ac:dyDescent="0.3">
      <c r="J3460">
        <v>3437</v>
      </c>
      <c r="K3460" s="10">
        <v>0.19399076001891308</v>
      </c>
      <c r="L3460" s="10">
        <v>0.30857757828728583</v>
      </c>
    </row>
    <row r="3461" spans="10:12" x14ac:dyDescent="0.3">
      <c r="J3461">
        <v>3438</v>
      </c>
      <c r="K3461" s="10">
        <v>0.2101441004092007</v>
      </c>
      <c r="L3461" s="10">
        <v>0.45882754901876538</v>
      </c>
    </row>
    <row r="3462" spans="10:12" x14ac:dyDescent="0.3">
      <c r="J3462">
        <v>3439</v>
      </c>
      <c r="K3462" s="10">
        <v>0.22862714687983687</v>
      </c>
      <c r="L3462" s="10">
        <v>3.511214613568972E-2</v>
      </c>
    </row>
    <row r="3463" spans="10:12" x14ac:dyDescent="0.3">
      <c r="J3463">
        <v>3440</v>
      </c>
      <c r="K3463" s="10">
        <v>0.19841778632469201</v>
      </c>
      <c r="L3463" s="10">
        <v>0.17673627477284168</v>
      </c>
    </row>
    <row r="3464" spans="10:12" x14ac:dyDescent="0.3">
      <c r="J3464">
        <v>3441</v>
      </c>
      <c r="K3464" s="10">
        <v>0.23318110804998129</v>
      </c>
      <c r="L3464" s="10">
        <v>-4.0242134516337257E-2</v>
      </c>
    </row>
    <row r="3465" spans="10:12" x14ac:dyDescent="0.3">
      <c r="J3465">
        <v>3442</v>
      </c>
      <c r="K3465" s="10">
        <v>0.20045696841011937</v>
      </c>
      <c r="L3465" s="10">
        <v>0.46544033282031677</v>
      </c>
    </row>
    <row r="3466" spans="10:12" x14ac:dyDescent="0.3">
      <c r="J3466">
        <v>3443</v>
      </c>
      <c r="K3466" s="10">
        <v>0.1918987238551034</v>
      </c>
      <c r="L3466" s="10">
        <v>0.39705681692848493</v>
      </c>
    </row>
    <row r="3467" spans="10:12" x14ac:dyDescent="0.3">
      <c r="J3467">
        <v>3444</v>
      </c>
      <c r="K3467" s="10">
        <v>0.21285915655772739</v>
      </c>
      <c r="L3467" s="10">
        <v>0.52475303345734625</v>
      </c>
    </row>
    <row r="3468" spans="10:12" x14ac:dyDescent="0.3">
      <c r="J3468">
        <v>3445</v>
      </c>
      <c r="K3468" s="10">
        <v>0.19014576233395519</v>
      </c>
      <c r="L3468" s="10">
        <v>0.30711380140074318</v>
      </c>
    </row>
    <row r="3469" spans="10:12" x14ac:dyDescent="0.3">
      <c r="J3469">
        <v>3446</v>
      </c>
      <c r="K3469" s="10">
        <v>0.20519305366127438</v>
      </c>
      <c r="L3469" s="10">
        <v>0.1075357283026056</v>
      </c>
    </row>
    <row r="3470" spans="10:12" x14ac:dyDescent="0.3">
      <c r="J3470">
        <v>3447</v>
      </c>
      <c r="K3470" s="10">
        <v>0.19620967488194974</v>
      </c>
      <c r="L3470" s="10">
        <v>0.23779959357630501</v>
      </c>
    </row>
    <row r="3471" spans="10:12" x14ac:dyDescent="0.3">
      <c r="J3471">
        <v>3448</v>
      </c>
      <c r="K3471" s="10">
        <v>0.22024057377253639</v>
      </c>
      <c r="L3471" s="10">
        <v>0.14363149588145474</v>
      </c>
    </row>
    <row r="3472" spans="10:12" x14ac:dyDescent="0.3">
      <c r="J3472">
        <v>3449</v>
      </c>
      <c r="K3472" s="10">
        <v>0.21670700409930876</v>
      </c>
      <c r="L3472" s="10">
        <v>0.57246557120101893</v>
      </c>
    </row>
    <row r="3473" spans="10:12" x14ac:dyDescent="0.3">
      <c r="J3473">
        <v>3450</v>
      </c>
      <c r="K3473" s="10">
        <v>0.22875036482676542</v>
      </c>
      <c r="L3473" s="10">
        <v>0.60097436671403259</v>
      </c>
    </row>
    <row r="3474" spans="10:12" x14ac:dyDescent="0.3">
      <c r="J3474">
        <v>3451</v>
      </c>
      <c r="K3474" s="10">
        <v>0.20029710634460163</v>
      </c>
      <c r="L3474" s="10">
        <v>0.19051969748833858</v>
      </c>
    </row>
    <row r="3475" spans="10:12" x14ac:dyDescent="0.3">
      <c r="J3475">
        <v>3452</v>
      </c>
      <c r="K3475" s="10">
        <v>0.19001719331639577</v>
      </c>
      <c r="L3475" s="10">
        <v>0.28016105803946256</v>
      </c>
    </row>
    <row r="3476" spans="10:12" x14ac:dyDescent="0.3">
      <c r="J3476">
        <v>3453</v>
      </c>
      <c r="K3476" s="10">
        <v>0.22329124066524464</v>
      </c>
      <c r="L3476" s="10">
        <v>0.11002104450180088</v>
      </c>
    </row>
    <row r="3477" spans="10:12" x14ac:dyDescent="0.3">
      <c r="J3477">
        <v>3454</v>
      </c>
      <c r="K3477" s="10">
        <v>0.25163472424790806</v>
      </c>
      <c r="L3477" s="10">
        <v>4.7209676154442715E-2</v>
      </c>
    </row>
    <row r="3478" spans="10:12" x14ac:dyDescent="0.3">
      <c r="J3478">
        <v>3455</v>
      </c>
      <c r="K3478" s="10">
        <v>0.21716288015084373</v>
      </c>
      <c r="L3478" s="10">
        <v>0.28963347852248122</v>
      </c>
    </row>
    <row r="3479" spans="10:12" x14ac:dyDescent="0.3">
      <c r="J3479">
        <v>3456</v>
      </c>
      <c r="K3479" s="10">
        <v>0.21915914009753126</v>
      </c>
      <c r="L3479" s="10">
        <v>0.34212730587483547</v>
      </c>
    </row>
    <row r="3480" spans="10:12" x14ac:dyDescent="0.3">
      <c r="J3480">
        <v>3457</v>
      </c>
      <c r="K3480" s="10">
        <v>0.20169202111395743</v>
      </c>
      <c r="L3480" s="10">
        <v>0.23344812694792746</v>
      </c>
    </row>
    <row r="3481" spans="10:12" x14ac:dyDescent="0.3">
      <c r="J3481">
        <v>3458</v>
      </c>
      <c r="K3481" s="10">
        <v>0.20156467021585714</v>
      </c>
      <c r="L3481" s="10">
        <v>0.41522229770360902</v>
      </c>
    </row>
    <row r="3482" spans="10:12" x14ac:dyDescent="0.3">
      <c r="J3482">
        <v>3459</v>
      </c>
      <c r="K3482" s="10">
        <v>0.19887768225725086</v>
      </c>
      <c r="L3482" s="10">
        <v>0.2504929042331967</v>
      </c>
    </row>
    <row r="3483" spans="10:12" x14ac:dyDescent="0.3">
      <c r="J3483">
        <v>3460</v>
      </c>
      <c r="K3483" s="10">
        <v>0.19510296567173169</v>
      </c>
      <c r="L3483" s="10">
        <v>0.23347219548288251</v>
      </c>
    </row>
    <row r="3484" spans="10:12" x14ac:dyDescent="0.3">
      <c r="J3484">
        <v>3461</v>
      </c>
      <c r="K3484" s="10">
        <v>0.2137789779641375</v>
      </c>
      <c r="L3484" s="10">
        <v>6.0211517417629361E-2</v>
      </c>
    </row>
    <row r="3485" spans="10:12" x14ac:dyDescent="0.3">
      <c r="J3485">
        <v>3462</v>
      </c>
      <c r="K3485" s="10">
        <v>0.23487535583064512</v>
      </c>
      <c r="L3485" s="10">
        <v>0.23721716639575982</v>
      </c>
    </row>
    <row r="3486" spans="10:12" x14ac:dyDescent="0.3">
      <c r="J3486">
        <v>3463</v>
      </c>
      <c r="K3486" s="10">
        <v>0.20476553423730859</v>
      </c>
      <c r="L3486" s="10">
        <v>0.417297456179681</v>
      </c>
    </row>
    <row r="3487" spans="10:12" x14ac:dyDescent="0.3">
      <c r="J3487">
        <v>3464</v>
      </c>
      <c r="K3487" s="10">
        <v>0.2279055465435883</v>
      </c>
      <c r="L3487" s="10">
        <v>8.6190212262464858E-2</v>
      </c>
    </row>
    <row r="3488" spans="10:12" x14ac:dyDescent="0.3">
      <c r="J3488">
        <v>3465</v>
      </c>
      <c r="K3488" s="10">
        <v>0.19128928123735459</v>
      </c>
      <c r="L3488" s="10">
        <v>0.36307556697969318</v>
      </c>
    </row>
    <row r="3489" spans="10:12" x14ac:dyDescent="0.3">
      <c r="J3489">
        <v>3466</v>
      </c>
      <c r="K3489" s="10">
        <v>0.18913012234109761</v>
      </c>
      <c r="L3489" s="10">
        <v>0.27544294352448984</v>
      </c>
    </row>
    <row r="3490" spans="10:12" x14ac:dyDescent="0.3">
      <c r="J3490">
        <v>3467</v>
      </c>
      <c r="K3490" s="10">
        <v>0.20751932621806007</v>
      </c>
      <c r="L3490" s="10">
        <v>0.17696611851307931</v>
      </c>
    </row>
    <row r="3491" spans="10:12" x14ac:dyDescent="0.3">
      <c r="J3491">
        <v>3468</v>
      </c>
      <c r="K3491" s="10">
        <v>0.19598397743755949</v>
      </c>
      <c r="L3491" s="10">
        <v>0.27691635550414484</v>
      </c>
    </row>
    <row r="3492" spans="10:12" x14ac:dyDescent="0.3">
      <c r="J3492">
        <v>3469</v>
      </c>
      <c r="K3492" s="10">
        <v>0.18925808322586612</v>
      </c>
      <c r="L3492" s="10">
        <v>0.28105091952149397</v>
      </c>
    </row>
    <row r="3493" spans="10:12" x14ac:dyDescent="0.3">
      <c r="J3493">
        <v>3470</v>
      </c>
      <c r="K3493" s="10">
        <v>0.20183858526737261</v>
      </c>
      <c r="L3493" s="10">
        <v>0.17961687364682968</v>
      </c>
    </row>
    <row r="3494" spans="10:12" x14ac:dyDescent="0.3">
      <c r="J3494">
        <v>3471</v>
      </c>
      <c r="K3494" s="10">
        <v>0.19678727429868415</v>
      </c>
      <c r="L3494" s="10">
        <v>0.19407502311230354</v>
      </c>
    </row>
    <row r="3495" spans="10:12" x14ac:dyDescent="0.3">
      <c r="J3495">
        <v>3472</v>
      </c>
      <c r="K3495" s="10">
        <v>0.25489429132439873</v>
      </c>
      <c r="L3495" s="10">
        <v>0.24996731647712689</v>
      </c>
    </row>
    <row r="3496" spans="10:12" x14ac:dyDescent="0.3">
      <c r="J3496">
        <v>3473</v>
      </c>
      <c r="K3496" s="10">
        <v>0.19852106954338236</v>
      </c>
      <c r="L3496" s="10">
        <v>0.28256645462396207</v>
      </c>
    </row>
    <row r="3497" spans="10:12" x14ac:dyDescent="0.3">
      <c r="J3497">
        <v>3474</v>
      </c>
      <c r="K3497" s="10">
        <v>0.19462651506565554</v>
      </c>
      <c r="L3497" s="10">
        <v>0.30405535661144673</v>
      </c>
    </row>
    <row r="3498" spans="10:12" x14ac:dyDescent="0.3">
      <c r="J3498">
        <v>3475</v>
      </c>
      <c r="K3498" s="10">
        <v>0.21654787753600016</v>
      </c>
      <c r="L3498" s="10">
        <v>0.17582268251505903</v>
      </c>
    </row>
    <row r="3499" spans="10:12" x14ac:dyDescent="0.3">
      <c r="J3499">
        <v>3476</v>
      </c>
      <c r="K3499" s="10">
        <v>0.23049426777723914</v>
      </c>
      <c r="L3499" s="10">
        <v>6.8753260393360577E-2</v>
      </c>
    </row>
    <row r="3500" spans="10:12" x14ac:dyDescent="0.3">
      <c r="J3500">
        <v>3477</v>
      </c>
      <c r="K3500" s="10">
        <v>0.20203067294263274</v>
      </c>
      <c r="L3500" s="10">
        <v>0.47928693673625244</v>
      </c>
    </row>
    <row r="3501" spans="10:12" x14ac:dyDescent="0.3">
      <c r="J3501">
        <v>3478</v>
      </c>
      <c r="K3501" s="10">
        <v>0.21700102117050166</v>
      </c>
      <c r="L3501" s="10">
        <v>0.51804830045397954</v>
      </c>
    </row>
    <row r="3502" spans="10:12" x14ac:dyDescent="0.3">
      <c r="J3502">
        <v>3479</v>
      </c>
      <c r="K3502" s="10">
        <v>0.19670108977799419</v>
      </c>
      <c r="L3502" s="10">
        <v>0.17017934390031364</v>
      </c>
    </row>
    <row r="3503" spans="10:12" x14ac:dyDescent="0.3">
      <c r="J3503">
        <v>3480</v>
      </c>
      <c r="K3503" s="10">
        <v>0.22379142245625261</v>
      </c>
      <c r="L3503" s="10">
        <v>1.6798854038324262E-2</v>
      </c>
    </row>
    <row r="3504" spans="10:12" x14ac:dyDescent="0.3">
      <c r="J3504">
        <v>3481</v>
      </c>
      <c r="K3504" s="10">
        <v>0.23446367131324239</v>
      </c>
      <c r="L3504" s="10">
        <v>4.7281286187051755E-3</v>
      </c>
    </row>
    <row r="3505" spans="10:12" x14ac:dyDescent="0.3">
      <c r="J3505">
        <v>3482</v>
      </c>
      <c r="K3505" s="10">
        <v>0.30638663936206867</v>
      </c>
      <c r="L3505" s="10">
        <v>5.1514868189783514E-2</v>
      </c>
    </row>
    <row r="3506" spans="10:12" x14ac:dyDescent="0.3">
      <c r="J3506">
        <v>3483</v>
      </c>
      <c r="K3506" s="10">
        <v>0.28664403593985732</v>
      </c>
      <c r="L3506" s="10">
        <v>-6.0621657453824536E-2</v>
      </c>
    </row>
    <row r="3507" spans="10:12" x14ac:dyDescent="0.3">
      <c r="J3507">
        <v>3484</v>
      </c>
      <c r="K3507" s="10">
        <v>0.23399914935858271</v>
      </c>
      <c r="L3507" s="10">
        <v>0.30453496672714508</v>
      </c>
    </row>
    <row r="3508" spans="10:12" x14ac:dyDescent="0.3">
      <c r="J3508">
        <v>3485</v>
      </c>
      <c r="K3508" s="10">
        <v>0.21217671136524008</v>
      </c>
      <c r="L3508" s="10">
        <v>6.6764421601559196E-2</v>
      </c>
    </row>
    <row r="3509" spans="10:12" x14ac:dyDescent="0.3">
      <c r="J3509">
        <v>3486</v>
      </c>
      <c r="K3509" s="10">
        <v>0.18918208331618103</v>
      </c>
      <c r="L3509" s="10">
        <v>0.28624873348875696</v>
      </c>
    </row>
    <row r="3510" spans="10:12" x14ac:dyDescent="0.3">
      <c r="J3510">
        <v>3487</v>
      </c>
      <c r="K3510" s="10">
        <v>0.22088395106193515</v>
      </c>
      <c r="L3510" s="10">
        <v>0.11134928142582551</v>
      </c>
    </row>
    <row r="3511" spans="10:12" x14ac:dyDescent="0.3">
      <c r="J3511">
        <v>3488</v>
      </c>
      <c r="K3511" s="10">
        <v>0.20202796616609853</v>
      </c>
      <c r="L3511" s="10">
        <v>0.48804806674321211</v>
      </c>
    </row>
    <row r="3512" spans="10:12" x14ac:dyDescent="0.3">
      <c r="J3512">
        <v>3489</v>
      </c>
      <c r="K3512" s="10">
        <v>0.19231108999620627</v>
      </c>
      <c r="L3512" s="10">
        <v>0.29678368478595668</v>
      </c>
    </row>
    <row r="3513" spans="10:12" x14ac:dyDescent="0.3">
      <c r="J3513">
        <v>3490</v>
      </c>
      <c r="K3513" s="10">
        <v>0.248470242842837</v>
      </c>
      <c r="L3513" s="10">
        <v>0.19396637147530382</v>
      </c>
    </row>
    <row r="3514" spans="10:12" x14ac:dyDescent="0.3">
      <c r="J3514">
        <v>3491</v>
      </c>
      <c r="K3514" s="10">
        <v>0.21665942928081477</v>
      </c>
      <c r="L3514" s="10">
        <v>0.1862496399644411</v>
      </c>
    </row>
    <row r="3515" spans="10:12" x14ac:dyDescent="0.3">
      <c r="J3515">
        <v>3492</v>
      </c>
      <c r="K3515" s="10">
        <v>0.1944749027440863</v>
      </c>
      <c r="L3515" s="10">
        <v>0.3111717673995345</v>
      </c>
    </row>
    <row r="3516" spans="10:12" x14ac:dyDescent="0.3">
      <c r="J3516">
        <v>3493</v>
      </c>
      <c r="K3516" s="10">
        <v>0.25297943056068989</v>
      </c>
      <c r="L3516" s="10">
        <v>-7.519240307642977E-2</v>
      </c>
    </row>
    <row r="3517" spans="10:12" x14ac:dyDescent="0.3">
      <c r="J3517">
        <v>3494</v>
      </c>
      <c r="K3517" s="10">
        <v>0.22835640244668057</v>
      </c>
      <c r="L3517" s="10">
        <v>5.1890963403381472E-2</v>
      </c>
    </row>
    <row r="3518" spans="10:12" x14ac:dyDescent="0.3">
      <c r="J3518">
        <v>3495</v>
      </c>
      <c r="K3518" s="10">
        <v>0.24748493942526059</v>
      </c>
      <c r="L3518" s="10">
        <v>3.519062898501378E-2</v>
      </c>
    </row>
    <row r="3519" spans="10:12" x14ac:dyDescent="0.3">
      <c r="J3519">
        <v>3496</v>
      </c>
      <c r="K3519" s="10">
        <v>0.20822808165638315</v>
      </c>
      <c r="L3519" s="10">
        <v>0.14234317360569121</v>
      </c>
    </row>
    <row r="3520" spans="10:12" x14ac:dyDescent="0.3">
      <c r="J3520">
        <v>3497</v>
      </c>
      <c r="K3520" s="10">
        <v>0.21818813681469343</v>
      </c>
      <c r="L3520" s="10">
        <v>2.6855175434240132E-2</v>
      </c>
    </row>
    <row r="3521" spans="10:12" x14ac:dyDescent="0.3">
      <c r="J3521">
        <v>3498</v>
      </c>
      <c r="K3521" s="10">
        <v>0.21932571574939411</v>
      </c>
      <c r="L3521" s="10">
        <v>0.33249127891691155</v>
      </c>
    </row>
    <row r="3522" spans="10:12" x14ac:dyDescent="0.3">
      <c r="J3522">
        <v>3499</v>
      </c>
      <c r="K3522" s="10">
        <v>0.19893405467122671</v>
      </c>
      <c r="L3522" s="10">
        <v>0.37292266177643768</v>
      </c>
    </row>
    <row r="3523" spans="10:12" x14ac:dyDescent="0.3">
      <c r="J3523">
        <v>3500</v>
      </c>
      <c r="K3523" s="10">
        <v>0.24492119094844947</v>
      </c>
      <c r="L3523" s="10">
        <v>-7.0392891421160592E-2</v>
      </c>
    </row>
    <row r="3524" spans="10:12" x14ac:dyDescent="0.3">
      <c r="J3524">
        <v>3501</v>
      </c>
      <c r="K3524" s="10">
        <v>0.23064510312703734</v>
      </c>
      <c r="L3524" s="10">
        <v>0.33952199217725998</v>
      </c>
    </row>
    <row r="3525" spans="10:12" x14ac:dyDescent="0.3">
      <c r="J3525">
        <v>3502</v>
      </c>
      <c r="K3525" s="10">
        <v>0.22703065189484653</v>
      </c>
      <c r="L3525" s="10">
        <v>0.36574364358086636</v>
      </c>
    </row>
    <row r="3526" spans="10:12" x14ac:dyDescent="0.3">
      <c r="J3526">
        <v>3503</v>
      </c>
      <c r="K3526" s="10">
        <v>0.19426338190906062</v>
      </c>
      <c r="L3526" s="10">
        <v>0.20700377665343975</v>
      </c>
    </row>
    <row r="3527" spans="10:12" x14ac:dyDescent="0.3">
      <c r="J3527">
        <v>3504</v>
      </c>
      <c r="K3527" s="10">
        <v>0.18952488180926338</v>
      </c>
      <c r="L3527" s="10">
        <v>0.26304029623023856</v>
      </c>
    </row>
    <row r="3528" spans="10:12" x14ac:dyDescent="0.3">
      <c r="J3528">
        <v>3505</v>
      </c>
      <c r="K3528" s="10">
        <v>0.21473772643454631</v>
      </c>
      <c r="L3528" s="10">
        <v>0.55965023115653056</v>
      </c>
    </row>
    <row r="3529" spans="10:12" x14ac:dyDescent="0.3">
      <c r="J3529">
        <v>3506</v>
      </c>
      <c r="K3529" s="10">
        <v>0.22660272273328827</v>
      </c>
      <c r="L3529" s="10">
        <v>0.18975699763240961</v>
      </c>
    </row>
    <row r="3530" spans="10:12" x14ac:dyDescent="0.3">
      <c r="J3530">
        <v>3507</v>
      </c>
      <c r="K3530" s="10">
        <v>0.2126914408680422</v>
      </c>
      <c r="L3530" s="10">
        <v>0.22533739044627263</v>
      </c>
    </row>
    <row r="3531" spans="10:12" x14ac:dyDescent="0.3">
      <c r="J3531">
        <v>3508</v>
      </c>
      <c r="K3531" s="10">
        <v>0.20743384519100533</v>
      </c>
      <c r="L3531" s="10">
        <v>0.15268130371935754</v>
      </c>
    </row>
    <row r="3532" spans="10:12" x14ac:dyDescent="0.3">
      <c r="J3532">
        <v>3509</v>
      </c>
      <c r="K3532" s="10">
        <v>0.22846105472671968</v>
      </c>
      <c r="L3532" s="10">
        <v>0.16384899106680084</v>
      </c>
    </row>
    <row r="3533" spans="10:12" x14ac:dyDescent="0.3">
      <c r="J3533">
        <v>3510</v>
      </c>
      <c r="K3533" s="10">
        <v>0.24436125717620613</v>
      </c>
      <c r="L3533" s="10">
        <v>0.11203963174480372</v>
      </c>
    </row>
    <row r="3534" spans="10:12" x14ac:dyDescent="0.3">
      <c r="J3534">
        <v>3511</v>
      </c>
      <c r="K3534" s="10">
        <v>0.20003992203318544</v>
      </c>
      <c r="L3534" s="10">
        <v>0.23895770630925015</v>
      </c>
    </row>
    <row r="3535" spans="10:12" x14ac:dyDescent="0.3">
      <c r="J3535">
        <v>3512</v>
      </c>
      <c r="K3535" s="10">
        <v>0.19605684543638355</v>
      </c>
      <c r="L3535" s="10">
        <v>0.4278011039982822</v>
      </c>
    </row>
    <row r="3536" spans="10:12" x14ac:dyDescent="0.3">
      <c r="J3536">
        <v>3513</v>
      </c>
      <c r="K3536" s="10">
        <v>0.24766549349163738</v>
      </c>
      <c r="L3536" s="10">
        <v>0.1959220406207455</v>
      </c>
    </row>
    <row r="3537" spans="10:12" x14ac:dyDescent="0.3">
      <c r="J3537">
        <v>3514</v>
      </c>
      <c r="K3537" s="10">
        <v>0.23213853486439553</v>
      </c>
      <c r="L3537" s="10">
        <v>0.65211008261613246</v>
      </c>
    </row>
    <row r="3538" spans="10:12" x14ac:dyDescent="0.3">
      <c r="J3538">
        <v>3515</v>
      </c>
      <c r="K3538" s="10">
        <v>0.2201214807321592</v>
      </c>
      <c r="L3538" s="10">
        <v>6.9987648833641031E-2</v>
      </c>
    </row>
    <row r="3539" spans="10:12" x14ac:dyDescent="0.3">
      <c r="J3539">
        <v>3516</v>
      </c>
      <c r="K3539" s="10">
        <v>0.27284824373680372</v>
      </c>
      <c r="L3539" s="10">
        <v>-3.9756921479438753E-2</v>
      </c>
    </row>
    <row r="3540" spans="10:12" x14ac:dyDescent="0.3">
      <c r="J3540">
        <v>3517</v>
      </c>
      <c r="K3540" s="10">
        <v>0.2015315334435164</v>
      </c>
      <c r="L3540" s="10">
        <v>0.20261305176500582</v>
      </c>
    </row>
    <row r="3541" spans="10:12" x14ac:dyDescent="0.3">
      <c r="J3541">
        <v>3518</v>
      </c>
      <c r="K3541" s="10">
        <v>0.24658479984381637</v>
      </c>
      <c r="L3541" s="10">
        <v>-6.8389296589148857E-2</v>
      </c>
    </row>
    <row r="3542" spans="10:12" x14ac:dyDescent="0.3">
      <c r="J3542">
        <v>3519</v>
      </c>
      <c r="K3542" s="10">
        <v>0.19084019815059064</v>
      </c>
      <c r="L3542" s="10">
        <v>0.35721940700444488</v>
      </c>
    </row>
    <row r="3543" spans="10:12" x14ac:dyDescent="0.3">
      <c r="J3543">
        <v>3520</v>
      </c>
      <c r="K3543" s="10">
        <v>0.19104433920868782</v>
      </c>
      <c r="L3543" s="10">
        <v>0.38328126534017032</v>
      </c>
    </row>
    <row r="3544" spans="10:12" x14ac:dyDescent="0.3">
      <c r="J3544">
        <v>3521</v>
      </c>
      <c r="K3544" s="10">
        <v>0.19005952842711948</v>
      </c>
      <c r="L3544" s="10">
        <v>0.30848651570080954</v>
      </c>
    </row>
    <row r="3545" spans="10:12" x14ac:dyDescent="0.3">
      <c r="J3545">
        <v>3522</v>
      </c>
      <c r="K3545" s="10">
        <v>0.23040395845376971</v>
      </c>
      <c r="L3545" s="10">
        <v>5.0348929864891513E-2</v>
      </c>
    </row>
    <row r="3546" spans="10:12" x14ac:dyDescent="0.3">
      <c r="J3546">
        <v>3523</v>
      </c>
      <c r="K3546" s="10">
        <v>0.25582874726925126</v>
      </c>
      <c r="L3546" s="10">
        <v>0.75079371242567927</v>
      </c>
    </row>
    <row r="3547" spans="10:12" x14ac:dyDescent="0.3">
      <c r="J3547">
        <v>3524</v>
      </c>
      <c r="K3547" s="10">
        <v>0.23955705645227857</v>
      </c>
      <c r="L3547" s="10">
        <v>0.68263211644070154</v>
      </c>
    </row>
    <row r="3548" spans="10:12" x14ac:dyDescent="0.3">
      <c r="J3548">
        <v>3525</v>
      </c>
      <c r="K3548" s="10">
        <v>0.25718945167239377</v>
      </c>
      <c r="L3548" s="10">
        <v>-2.1778830429329959E-3</v>
      </c>
    </row>
    <row r="3549" spans="10:12" x14ac:dyDescent="0.3">
      <c r="J3549">
        <v>3526</v>
      </c>
      <c r="K3549" s="10">
        <v>0.22945643735906962</v>
      </c>
      <c r="L3549" s="10">
        <v>1.7951713161196148E-3</v>
      </c>
    </row>
    <row r="3550" spans="10:12" x14ac:dyDescent="0.3">
      <c r="J3550">
        <v>3527</v>
      </c>
      <c r="K3550" s="10">
        <v>0.18909543387075187</v>
      </c>
      <c r="L3550" s="10">
        <v>0.33808801894612955</v>
      </c>
    </row>
    <row r="3551" spans="10:12" x14ac:dyDescent="0.3">
      <c r="J3551">
        <v>3528</v>
      </c>
      <c r="K3551" s="10">
        <v>0.20789804694369846</v>
      </c>
      <c r="L3551" s="10">
        <v>0.42257326010146301</v>
      </c>
    </row>
    <row r="3552" spans="10:12" x14ac:dyDescent="0.3">
      <c r="J3552">
        <v>3529</v>
      </c>
      <c r="K3552" s="10">
        <v>0.21741304265521735</v>
      </c>
      <c r="L3552" s="10">
        <v>0.57606625331979489</v>
      </c>
    </row>
    <row r="3553" spans="10:12" x14ac:dyDescent="0.3">
      <c r="J3553">
        <v>3530</v>
      </c>
      <c r="K3553" s="10">
        <v>0.26807196860832522</v>
      </c>
      <c r="L3553" s="10">
        <v>0.10284391192831829</v>
      </c>
    </row>
    <row r="3554" spans="10:12" x14ac:dyDescent="0.3">
      <c r="J3554">
        <v>3531</v>
      </c>
      <c r="K3554" s="10">
        <v>0.21070303803383478</v>
      </c>
      <c r="L3554" s="10">
        <v>0.42115620755909355</v>
      </c>
    </row>
    <row r="3555" spans="10:12" x14ac:dyDescent="0.3">
      <c r="J3555">
        <v>3532</v>
      </c>
      <c r="K3555" s="10">
        <v>0.19427694001701964</v>
      </c>
      <c r="L3555" s="10">
        <v>0.24805028037602744</v>
      </c>
    </row>
    <row r="3556" spans="10:12" x14ac:dyDescent="0.3">
      <c r="J3556">
        <v>3533</v>
      </c>
      <c r="K3556" s="10">
        <v>0.24013828033600465</v>
      </c>
      <c r="L3556" s="10">
        <v>0.68867928643340159</v>
      </c>
    </row>
    <row r="3557" spans="10:12" x14ac:dyDescent="0.3">
      <c r="J3557">
        <v>3534</v>
      </c>
      <c r="K3557" s="10">
        <v>0.20600147402684676</v>
      </c>
      <c r="L3557" s="10">
        <v>9.4933348050114802E-2</v>
      </c>
    </row>
    <row r="3558" spans="10:12" x14ac:dyDescent="0.3">
      <c r="J3558">
        <v>3535</v>
      </c>
      <c r="K3558" s="10">
        <v>0.22777665447527859</v>
      </c>
      <c r="L3558" s="10">
        <v>0.13657047837573738</v>
      </c>
    </row>
    <row r="3559" spans="10:12" x14ac:dyDescent="0.3">
      <c r="J3559">
        <v>3536</v>
      </c>
      <c r="K3559" s="10">
        <v>0.2162115664329867</v>
      </c>
      <c r="L3559" s="10">
        <v>4.7314746453520837E-2</v>
      </c>
    </row>
    <row r="3560" spans="10:12" x14ac:dyDescent="0.3">
      <c r="J3560">
        <v>3537</v>
      </c>
      <c r="K3560" s="10">
        <v>0.21118642056469003</v>
      </c>
      <c r="L3560" s="10">
        <v>0.52070700377240653</v>
      </c>
    </row>
    <row r="3561" spans="10:12" x14ac:dyDescent="0.3">
      <c r="J3561">
        <v>3538</v>
      </c>
      <c r="K3561" s="10">
        <v>0.19793451259649542</v>
      </c>
      <c r="L3561" s="10">
        <v>0.41059301294014333</v>
      </c>
    </row>
    <row r="3562" spans="10:12" x14ac:dyDescent="0.3">
      <c r="J3562">
        <v>3539</v>
      </c>
      <c r="K3562" s="10">
        <v>0.1912199140408081</v>
      </c>
      <c r="L3562" s="10">
        <v>0.23028013046539542</v>
      </c>
    </row>
    <row r="3563" spans="10:12" x14ac:dyDescent="0.3">
      <c r="J3563">
        <v>3540</v>
      </c>
      <c r="K3563" s="10">
        <v>0.20600278184698287</v>
      </c>
      <c r="L3563" s="10">
        <v>0.13355590433848363</v>
      </c>
    </row>
    <row r="3564" spans="10:12" x14ac:dyDescent="0.3">
      <c r="J3564">
        <v>3541</v>
      </c>
      <c r="K3564" s="10">
        <v>0.20350227105715951</v>
      </c>
      <c r="L3564" s="10">
        <v>0.29512817277840031</v>
      </c>
    </row>
    <row r="3565" spans="10:12" x14ac:dyDescent="0.3">
      <c r="J3565">
        <v>3542</v>
      </c>
      <c r="K3565" s="10">
        <v>0.24252209113599726</v>
      </c>
      <c r="L3565" s="10">
        <v>0.26881024034549938</v>
      </c>
    </row>
    <row r="3566" spans="10:12" x14ac:dyDescent="0.3">
      <c r="J3566">
        <v>3543</v>
      </c>
      <c r="K3566" s="10">
        <v>0.25300204964060802</v>
      </c>
      <c r="L3566" s="10">
        <v>-3.0770355060248653E-2</v>
      </c>
    </row>
    <row r="3567" spans="10:12" x14ac:dyDescent="0.3">
      <c r="J3567">
        <v>3544</v>
      </c>
      <c r="K3567" s="10">
        <v>0.19009752297940932</v>
      </c>
      <c r="L3567" s="10">
        <v>0.25021329892180061</v>
      </c>
    </row>
    <row r="3568" spans="10:12" x14ac:dyDescent="0.3">
      <c r="J3568">
        <v>3545</v>
      </c>
      <c r="K3568" s="10">
        <v>0.21291400237780927</v>
      </c>
      <c r="L3568" s="10">
        <v>0.12578920550049832</v>
      </c>
    </row>
    <row r="3569" spans="10:12" x14ac:dyDescent="0.3">
      <c r="J3569">
        <v>3546</v>
      </c>
      <c r="K3569" s="10">
        <v>0.21580458182655243</v>
      </c>
      <c r="L3569" s="10">
        <v>9.0661408453292153E-2</v>
      </c>
    </row>
    <row r="3570" spans="10:12" x14ac:dyDescent="0.3">
      <c r="J3570">
        <v>3547</v>
      </c>
      <c r="K3570" s="10">
        <v>0.26006927553489945</v>
      </c>
      <c r="L3570" s="10">
        <v>1.4357090960701532E-2</v>
      </c>
    </row>
    <row r="3571" spans="10:12" x14ac:dyDescent="0.3">
      <c r="J3571">
        <v>3548</v>
      </c>
      <c r="K3571" s="10">
        <v>0.20359270929697876</v>
      </c>
      <c r="L3571" s="10">
        <v>0.3788150849674618</v>
      </c>
    </row>
    <row r="3572" spans="10:12" x14ac:dyDescent="0.3">
      <c r="J3572">
        <v>3549</v>
      </c>
      <c r="K3572" s="10">
        <v>0.18940691502817378</v>
      </c>
      <c r="L3572" s="10">
        <v>0.26714083396901733</v>
      </c>
    </row>
    <row r="3573" spans="10:12" x14ac:dyDescent="0.3">
      <c r="J3573">
        <v>3550</v>
      </c>
      <c r="K3573" s="10">
        <v>0.20634013794415867</v>
      </c>
      <c r="L3573" s="10">
        <v>0.35072334515996589</v>
      </c>
    </row>
    <row r="3574" spans="10:12" x14ac:dyDescent="0.3">
      <c r="J3574">
        <v>3551</v>
      </c>
      <c r="K3574" s="10">
        <v>0.23229135942216214</v>
      </c>
      <c r="L3574" s="10">
        <v>-4.0645491321995249E-2</v>
      </c>
    </row>
    <row r="3575" spans="10:12" x14ac:dyDescent="0.3">
      <c r="J3575">
        <v>3552</v>
      </c>
      <c r="K3575" s="10">
        <v>0.19692562403083677</v>
      </c>
      <c r="L3575" s="10">
        <v>0.45191105342240834</v>
      </c>
    </row>
    <row r="3576" spans="10:12" x14ac:dyDescent="0.3">
      <c r="J3576">
        <v>3553</v>
      </c>
      <c r="K3576" s="10">
        <v>0.19829810171437867</v>
      </c>
      <c r="L3576" s="10">
        <v>0.24367402640981531</v>
      </c>
    </row>
    <row r="3577" spans="10:12" x14ac:dyDescent="0.3">
      <c r="J3577">
        <v>3554</v>
      </c>
      <c r="K3577" s="10">
        <v>0.21108853453378515</v>
      </c>
      <c r="L3577" s="10">
        <v>0.16123136079090949</v>
      </c>
    </row>
    <row r="3578" spans="10:12" x14ac:dyDescent="0.3">
      <c r="J3578">
        <v>3555</v>
      </c>
      <c r="K3578" s="10">
        <v>0.23604629788497189</v>
      </c>
      <c r="L3578" s="10">
        <v>0.65471423864433775</v>
      </c>
    </row>
    <row r="3579" spans="10:12" x14ac:dyDescent="0.3">
      <c r="J3579">
        <v>3556</v>
      </c>
      <c r="K3579" s="10">
        <v>0.24518560656088295</v>
      </c>
      <c r="L3579" s="10">
        <v>-9.0137700667850415E-2</v>
      </c>
    </row>
    <row r="3580" spans="10:12" x14ac:dyDescent="0.3">
      <c r="J3580">
        <v>3557</v>
      </c>
      <c r="K3580" s="10">
        <v>0.20034495502395186</v>
      </c>
      <c r="L3580" s="10">
        <v>0.34744577060235415</v>
      </c>
    </row>
    <row r="3581" spans="10:12" x14ac:dyDescent="0.3">
      <c r="J3581">
        <v>3558</v>
      </c>
      <c r="K3581" s="10">
        <v>0.19406573143340045</v>
      </c>
      <c r="L3581" s="10">
        <v>0.42330987188045249</v>
      </c>
    </row>
    <row r="3582" spans="10:12" x14ac:dyDescent="0.3">
      <c r="J3582">
        <v>3559</v>
      </c>
      <c r="K3582" s="10">
        <v>0.21836473022207417</v>
      </c>
      <c r="L3582" s="10">
        <v>0.21774631071486236</v>
      </c>
    </row>
    <row r="3583" spans="10:12" x14ac:dyDescent="0.3">
      <c r="J3583">
        <v>3560</v>
      </c>
      <c r="K3583" s="10">
        <v>0.20918079265653997</v>
      </c>
      <c r="L3583" s="10">
        <v>0.10187890739604386</v>
      </c>
    </row>
    <row r="3584" spans="10:12" x14ac:dyDescent="0.3">
      <c r="J3584">
        <v>3561</v>
      </c>
      <c r="K3584" s="10">
        <v>0.20817593012702862</v>
      </c>
      <c r="L3584" s="10">
        <v>0.17800135283772203</v>
      </c>
    </row>
    <row r="3585" spans="10:12" x14ac:dyDescent="0.3">
      <c r="J3585">
        <v>3562</v>
      </c>
      <c r="K3585" s="10">
        <v>0.21563609854680227</v>
      </c>
      <c r="L3585" s="10">
        <v>8.7395728080039092E-2</v>
      </c>
    </row>
    <row r="3586" spans="10:12" x14ac:dyDescent="0.3">
      <c r="J3586">
        <v>3563</v>
      </c>
      <c r="K3586" s="10">
        <v>0.19604073789831825</v>
      </c>
      <c r="L3586" s="10">
        <v>0.22908135135722291</v>
      </c>
    </row>
    <row r="3587" spans="10:12" x14ac:dyDescent="0.3">
      <c r="J3587">
        <v>3564</v>
      </c>
      <c r="K3587" s="10">
        <v>0.23269831688066628</v>
      </c>
      <c r="L3587" s="10">
        <v>0.15962289133412894</v>
      </c>
    </row>
    <row r="3588" spans="10:12" x14ac:dyDescent="0.3">
      <c r="J3588">
        <v>3565</v>
      </c>
      <c r="K3588" s="10">
        <v>0.19143116448638586</v>
      </c>
      <c r="L3588" s="10">
        <v>0.37415679101130478</v>
      </c>
    </row>
    <row r="3589" spans="10:12" x14ac:dyDescent="0.3">
      <c r="J3589">
        <v>3566</v>
      </c>
      <c r="K3589" s="10">
        <v>0.19794816777041976</v>
      </c>
      <c r="L3589" s="10">
        <v>0.45134403236334925</v>
      </c>
    </row>
    <row r="3590" spans="10:12" x14ac:dyDescent="0.3">
      <c r="J3590">
        <v>3567</v>
      </c>
      <c r="K3590" s="10">
        <v>0.18954765658876424</v>
      </c>
      <c r="L3590" s="10">
        <v>0.26783491429853162</v>
      </c>
    </row>
    <row r="3591" spans="10:12" x14ac:dyDescent="0.3">
      <c r="J3591">
        <v>3568</v>
      </c>
      <c r="K3591" s="10">
        <v>0.19709032970436019</v>
      </c>
      <c r="L3591" s="10">
        <v>0.24332900011247879</v>
      </c>
    </row>
    <row r="3592" spans="10:12" x14ac:dyDescent="0.3">
      <c r="J3592">
        <v>3569</v>
      </c>
      <c r="K3592" s="10">
        <v>0.19877901477417259</v>
      </c>
      <c r="L3592" s="10">
        <v>0.21137365581231238</v>
      </c>
    </row>
    <row r="3593" spans="10:12" x14ac:dyDescent="0.3">
      <c r="J3593">
        <v>3570</v>
      </c>
      <c r="K3593" s="10">
        <v>0.24865890758595174</v>
      </c>
      <c r="L3593" s="10">
        <v>-7.0648837397124561E-2</v>
      </c>
    </row>
    <row r="3594" spans="10:12" x14ac:dyDescent="0.3">
      <c r="J3594">
        <v>3571</v>
      </c>
      <c r="K3594" s="10">
        <v>0.19162438749056693</v>
      </c>
      <c r="L3594" s="10">
        <v>0.38644839923105351</v>
      </c>
    </row>
    <row r="3595" spans="10:12" x14ac:dyDescent="0.3">
      <c r="J3595">
        <v>3572</v>
      </c>
      <c r="K3595" s="10">
        <v>0.19110446829869027</v>
      </c>
      <c r="L3595" s="10">
        <v>0.32840861034526814</v>
      </c>
    </row>
    <row r="3596" spans="10:12" x14ac:dyDescent="0.3">
      <c r="J3596">
        <v>3573</v>
      </c>
      <c r="K3596" s="10">
        <v>0.24362668659010264</v>
      </c>
      <c r="L3596" s="10">
        <v>-8.7273599853499043E-2</v>
      </c>
    </row>
    <row r="3597" spans="10:12" x14ac:dyDescent="0.3">
      <c r="J3597">
        <v>3574</v>
      </c>
      <c r="K3597" s="10">
        <v>0.19524575925423737</v>
      </c>
      <c r="L3597" s="10">
        <v>0.36754105639945212</v>
      </c>
    </row>
    <row r="3598" spans="10:12" x14ac:dyDescent="0.3">
      <c r="J3598">
        <v>3575</v>
      </c>
      <c r="K3598" s="10">
        <v>0.23863643607624488</v>
      </c>
      <c r="L3598" s="10">
        <v>-8.5639278821125209E-3</v>
      </c>
    </row>
    <row r="3599" spans="10:12" x14ac:dyDescent="0.3">
      <c r="J3599">
        <v>3576</v>
      </c>
      <c r="K3599" s="10">
        <v>0.24499270269063056</v>
      </c>
      <c r="L3599" s="10">
        <v>0.29248896348315417</v>
      </c>
    </row>
    <row r="3600" spans="10:12" x14ac:dyDescent="0.3">
      <c r="J3600">
        <v>3577</v>
      </c>
      <c r="K3600" s="10">
        <v>0.22319696496539826</v>
      </c>
      <c r="L3600" s="10">
        <v>4.1233092890812513E-2</v>
      </c>
    </row>
    <row r="3601" spans="10:12" x14ac:dyDescent="0.3">
      <c r="J3601">
        <v>3578</v>
      </c>
      <c r="K3601" s="10">
        <v>0.1899955044051807</v>
      </c>
      <c r="L3601" s="10">
        <v>0.25302054284848646</v>
      </c>
    </row>
    <row r="3602" spans="10:12" x14ac:dyDescent="0.3">
      <c r="J3602">
        <v>3579</v>
      </c>
      <c r="K3602" s="10">
        <v>0.19333656184599343</v>
      </c>
      <c r="L3602" s="10">
        <v>0.2943074047144778</v>
      </c>
    </row>
    <row r="3603" spans="10:12" x14ac:dyDescent="0.3">
      <c r="J3603">
        <v>3580</v>
      </c>
      <c r="K3603" s="10">
        <v>0.20630508253657376</v>
      </c>
      <c r="L3603" s="10">
        <v>0.22109453455506603</v>
      </c>
    </row>
    <row r="3604" spans="10:12" x14ac:dyDescent="0.3">
      <c r="J3604">
        <v>3581</v>
      </c>
      <c r="K3604" s="10">
        <v>0.24272326350616105</v>
      </c>
      <c r="L3604" s="10">
        <v>1.870068141612901E-2</v>
      </c>
    </row>
    <row r="3605" spans="10:12" x14ac:dyDescent="0.3">
      <c r="J3605">
        <v>3582</v>
      </c>
      <c r="K3605" s="10">
        <v>0.20465678619004243</v>
      </c>
      <c r="L3605" s="10">
        <v>0.20361089835361987</v>
      </c>
    </row>
    <row r="3606" spans="10:12" x14ac:dyDescent="0.3">
      <c r="J3606">
        <v>3583</v>
      </c>
      <c r="K3606" s="10">
        <v>0.196329821103361</v>
      </c>
      <c r="L3606" s="10">
        <v>0.16812914364646087</v>
      </c>
    </row>
    <row r="3607" spans="10:12" x14ac:dyDescent="0.3">
      <c r="J3607">
        <v>3584</v>
      </c>
      <c r="K3607" s="10">
        <v>0.211045871386638</v>
      </c>
      <c r="L3607" s="10">
        <v>0.30114889122434341</v>
      </c>
    </row>
    <row r="3608" spans="10:12" x14ac:dyDescent="0.3">
      <c r="J3608">
        <v>3585</v>
      </c>
      <c r="K3608" s="10">
        <v>0.22711802616358029</v>
      </c>
      <c r="L3608" s="10">
        <v>0.57131725873704031</v>
      </c>
    </row>
    <row r="3609" spans="10:12" x14ac:dyDescent="0.3">
      <c r="J3609">
        <v>3586</v>
      </c>
      <c r="K3609" s="10">
        <v>0.1982000801659651</v>
      </c>
      <c r="L3609" s="10">
        <v>0.23292315368807445</v>
      </c>
    </row>
    <row r="3610" spans="10:12" x14ac:dyDescent="0.3">
      <c r="J3610">
        <v>3587</v>
      </c>
      <c r="K3610" s="10">
        <v>0.1938419911388162</v>
      </c>
      <c r="L3610" s="10">
        <v>0.20805856818119775</v>
      </c>
    </row>
    <row r="3611" spans="10:12" x14ac:dyDescent="0.3">
      <c r="J3611">
        <v>3588</v>
      </c>
      <c r="K3611" s="10">
        <v>0.22396615969344058</v>
      </c>
      <c r="L3611" s="10">
        <v>0.52963317368173735</v>
      </c>
    </row>
    <row r="3612" spans="10:12" x14ac:dyDescent="0.3">
      <c r="J3612">
        <v>3589</v>
      </c>
      <c r="K3612" s="10">
        <v>0.21463145427998839</v>
      </c>
      <c r="L3612" s="10">
        <v>0.26655830417462373</v>
      </c>
    </row>
    <row r="3613" spans="10:12" x14ac:dyDescent="0.3">
      <c r="J3613">
        <v>3590</v>
      </c>
      <c r="K3613" s="10">
        <v>0.19549359049689227</v>
      </c>
      <c r="L3613" s="10">
        <v>0.27777183417398948</v>
      </c>
    </row>
    <row r="3614" spans="10:12" x14ac:dyDescent="0.3">
      <c r="J3614">
        <v>3591</v>
      </c>
      <c r="K3614" s="10">
        <v>0.20121691558222729</v>
      </c>
      <c r="L3614" s="10">
        <v>0.23773122116346496</v>
      </c>
    </row>
    <row r="3615" spans="10:12" x14ac:dyDescent="0.3">
      <c r="J3615">
        <v>3592</v>
      </c>
      <c r="K3615" s="10">
        <v>0.19198382806555031</v>
      </c>
      <c r="L3615" s="10">
        <v>0.29980556710513895</v>
      </c>
    </row>
    <row r="3616" spans="10:12" x14ac:dyDescent="0.3">
      <c r="J3616">
        <v>3593</v>
      </c>
      <c r="K3616" s="10">
        <v>0.18934900894715492</v>
      </c>
      <c r="L3616" s="10">
        <v>0.2710398712073287</v>
      </c>
    </row>
    <row r="3617" spans="10:12" x14ac:dyDescent="0.3">
      <c r="J3617">
        <v>3594</v>
      </c>
      <c r="K3617" s="10">
        <v>0.1933370796755865</v>
      </c>
      <c r="L3617" s="10">
        <v>0.22531857581018336</v>
      </c>
    </row>
    <row r="3618" spans="10:12" x14ac:dyDescent="0.3">
      <c r="J3618">
        <v>3595</v>
      </c>
      <c r="K3618" s="10">
        <v>0.28729916740498967</v>
      </c>
      <c r="L3618" s="10">
        <v>1.0572323635401086E-2</v>
      </c>
    </row>
    <row r="3619" spans="10:12" x14ac:dyDescent="0.3">
      <c r="J3619">
        <v>3596</v>
      </c>
      <c r="K3619" s="10">
        <v>0.21317408277144306</v>
      </c>
      <c r="L3619" s="10">
        <v>0.41950327127097142</v>
      </c>
    </row>
    <row r="3620" spans="10:12" x14ac:dyDescent="0.3">
      <c r="J3620">
        <v>3597</v>
      </c>
      <c r="K3620" s="10">
        <v>0.22286100847230664</v>
      </c>
      <c r="L3620" s="10">
        <v>5.9073693511347627E-3</v>
      </c>
    </row>
    <row r="3621" spans="10:12" x14ac:dyDescent="0.3">
      <c r="J3621">
        <v>3598</v>
      </c>
      <c r="K3621" s="10">
        <v>0.21532133126273903</v>
      </c>
      <c r="L3621" s="10">
        <v>0.33961440399478054</v>
      </c>
    </row>
    <row r="3622" spans="10:12" x14ac:dyDescent="0.3">
      <c r="J3622">
        <v>3599</v>
      </c>
      <c r="K3622" s="10">
        <v>0.19304733531159837</v>
      </c>
      <c r="L3622" s="10">
        <v>0.28643495845265565</v>
      </c>
    </row>
    <row r="3623" spans="10:12" x14ac:dyDescent="0.3">
      <c r="J3623">
        <v>3600</v>
      </c>
      <c r="K3623" s="10">
        <v>0.199261604198923</v>
      </c>
      <c r="L3623" s="10">
        <v>0.44704425977601542</v>
      </c>
    </row>
    <row r="3624" spans="10:12" x14ac:dyDescent="0.3">
      <c r="J3624">
        <v>3601</v>
      </c>
      <c r="K3624" s="10">
        <v>0.19168855688526421</v>
      </c>
      <c r="L3624" s="10">
        <v>0.29420378797149405</v>
      </c>
    </row>
    <row r="3625" spans="10:12" x14ac:dyDescent="0.3">
      <c r="J3625">
        <v>3602</v>
      </c>
      <c r="K3625" s="10">
        <v>0.20450408848511187</v>
      </c>
      <c r="L3625" s="10">
        <v>0.13615728664726026</v>
      </c>
    </row>
    <row r="3626" spans="10:12" x14ac:dyDescent="0.3">
      <c r="J3626">
        <v>3603</v>
      </c>
      <c r="K3626" s="10">
        <v>0.21236074742823005</v>
      </c>
      <c r="L3626" s="10">
        <v>0.10435430080557839</v>
      </c>
    </row>
    <row r="3627" spans="10:12" x14ac:dyDescent="0.3">
      <c r="J3627">
        <v>3604</v>
      </c>
      <c r="K3627" s="10">
        <v>0.19384669364810134</v>
      </c>
      <c r="L3627" s="10">
        <v>0.19415232998567172</v>
      </c>
    </row>
    <row r="3628" spans="10:12" x14ac:dyDescent="0.3">
      <c r="J3628">
        <v>3605</v>
      </c>
      <c r="K3628" s="10">
        <v>0.24430921588263088</v>
      </c>
      <c r="L3628" s="10">
        <v>-6.2853442596912307E-2</v>
      </c>
    </row>
    <row r="3629" spans="10:12" x14ac:dyDescent="0.3">
      <c r="J3629">
        <v>3606</v>
      </c>
      <c r="K3629" s="10">
        <v>0.24708290521840523</v>
      </c>
      <c r="L3629" s="10">
        <v>0.15119781076185471</v>
      </c>
    </row>
    <row r="3630" spans="10:12" x14ac:dyDescent="0.3">
      <c r="J3630">
        <v>3607</v>
      </c>
      <c r="K3630" s="10">
        <v>0.21984139996404423</v>
      </c>
      <c r="L3630" s="10">
        <v>3.4664557480587117E-2</v>
      </c>
    </row>
    <row r="3631" spans="10:12" x14ac:dyDescent="0.3">
      <c r="J3631">
        <v>3608</v>
      </c>
      <c r="K3631" s="10">
        <v>0.20494557917502113</v>
      </c>
      <c r="L3631" s="10">
        <v>0.48829949875395645</v>
      </c>
    </row>
    <row r="3632" spans="10:12" x14ac:dyDescent="0.3">
      <c r="J3632">
        <v>3609</v>
      </c>
      <c r="K3632" s="10">
        <v>0.19620095181024017</v>
      </c>
      <c r="L3632" s="10">
        <v>0.21192298575059168</v>
      </c>
    </row>
    <row r="3633" spans="10:12" x14ac:dyDescent="0.3">
      <c r="J3633">
        <v>3610</v>
      </c>
      <c r="K3633" s="10">
        <v>0.18882900141921188</v>
      </c>
      <c r="L3633" s="10">
        <v>0.29251930659957981</v>
      </c>
    </row>
    <row r="3634" spans="10:12" x14ac:dyDescent="0.3">
      <c r="J3634">
        <v>3611</v>
      </c>
      <c r="K3634" s="10">
        <v>0.20726959013427287</v>
      </c>
      <c r="L3634" s="10">
        <v>9.2794965413482991E-2</v>
      </c>
    </row>
    <row r="3635" spans="10:12" x14ac:dyDescent="0.3">
      <c r="J3635">
        <v>3612</v>
      </c>
      <c r="K3635" s="10">
        <v>0.23133103684678821</v>
      </c>
      <c r="L3635" s="10">
        <v>0.35778130023617183</v>
      </c>
    </row>
    <row r="3636" spans="10:12" x14ac:dyDescent="0.3">
      <c r="J3636">
        <v>3613</v>
      </c>
      <c r="K3636" s="10">
        <v>0.26869656928022168</v>
      </c>
      <c r="L3636" s="10">
        <v>0.13784798970502182</v>
      </c>
    </row>
    <row r="3637" spans="10:12" x14ac:dyDescent="0.3">
      <c r="J3637">
        <v>3614</v>
      </c>
      <c r="K3637" s="10">
        <v>0.20374557731309378</v>
      </c>
      <c r="L3637" s="10">
        <v>0.16122471589177026</v>
      </c>
    </row>
    <row r="3638" spans="10:12" x14ac:dyDescent="0.3">
      <c r="J3638">
        <v>3615</v>
      </c>
      <c r="K3638" s="10">
        <v>0.22176197181923746</v>
      </c>
      <c r="L3638" s="10">
        <v>0.49209943283858781</v>
      </c>
    </row>
    <row r="3639" spans="10:12" x14ac:dyDescent="0.3">
      <c r="J3639">
        <v>3616</v>
      </c>
      <c r="K3639" s="10">
        <v>0.18974441295875666</v>
      </c>
      <c r="L3639" s="10">
        <v>0.26479802597211854</v>
      </c>
    </row>
    <row r="3640" spans="10:12" x14ac:dyDescent="0.3">
      <c r="J3640">
        <v>3617</v>
      </c>
      <c r="K3640" s="10">
        <v>0.24232714990529111</v>
      </c>
      <c r="L3640" s="10">
        <v>-2.6367648472660841E-2</v>
      </c>
    </row>
    <row r="3641" spans="10:12" x14ac:dyDescent="0.3">
      <c r="J3641">
        <v>3618</v>
      </c>
      <c r="K3641" s="10">
        <v>0.2271470937419463</v>
      </c>
      <c r="L3641" s="10">
        <v>4.2888693316236653E-2</v>
      </c>
    </row>
    <row r="3642" spans="10:12" x14ac:dyDescent="0.3">
      <c r="J3642">
        <v>3619</v>
      </c>
      <c r="K3642" s="10">
        <v>0.20092901253681286</v>
      </c>
      <c r="L3642" s="10">
        <v>0.26015232951386907</v>
      </c>
    </row>
    <row r="3643" spans="10:12" x14ac:dyDescent="0.3">
      <c r="J3643">
        <v>3620</v>
      </c>
      <c r="K3643" s="10">
        <v>0.22534618498079334</v>
      </c>
      <c r="L3643" s="10">
        <v>0.60643590756690668</v>
      </c>
    </row>
    <row r="3644" spans="10:12" x14ac:dyDescent="0.3">
      <c r="J3644">
        <v>3621</v>
      </c>
      <c r="K3644" s="10">
        <v>0.22687076216093674</v>
      </c>
      <c r="L3644" s="10">
        <v>0.14452126106327554</v>
      </c>
    </row>
    <row r="3645" spans="10:12" x14ac:dyDescent="0.3">
      <c r="J3645">
        <v>3622</v>
      </c>
      <c r="K3645" s="10">
        <v>0.19160749325356102</v>
      </c>
      <c r="L3645" s="10">
        <v>0.34922083480974409</v>
      </c>
    </row>
    <row r="3646" spans="10:12" x14ac:dyDescent="0.3">
      <c r="J3646">
        <v>3623</v>
      </c>
      <c r="K3646" s="10">
        <v>0.24631323327515223</v>
      </c>
      <c r="L3646" s="10">
        <v>0.71413125088324547</v>
      </c>
    </row>
    <row r="3647" spans="10:12" x14ac:dyDescent="0.3">
      <c r="J3647">
        <v>3624</v>
      </c>
      <c r="K3647" s="10">
        <v>0.19313020394888866</v>
      </c>
      <c r="L3647" s="10">
        <v>0.35786191504162607</v>
      </c>
    </row>
    <row r="3648" spans="10:12" x14ac:dyDescent="0.3">
      <c r="J3648">
        <v>3625</v>
      </c>
      <c r="K3648" s="10">
        <v>0.19182960171539246</v>
      </c>
      <c r="L3648" s="10">
        <v>0.23609775313353132</v>
      </c>
    </row>
    <row r="3649" spans="10:12" x14ac:dyDescent="0.3">
      <c r="J3649">
        <v>3626</v>
      </c>
      <c r="K3649" s="10">
        <v>0.2156250536677761</v>
      </c>
      <c r="L3649" s="10">
        <v>5.080733012551835E-2</v>
      </c>
    </row>
    <row r="3650" spans="10:12" x14ac:dyDescent="0.3">
      <c r="J3650">
        <v>3627</v>
      </c>
      <c r="K3650" s="10">
        <v>0.20571283263065315</v>
      </c>
      <c r="L3650" s="10">
        <v>0.30673534964587656</v>
      </c>
    </row>
    <row r="3651" spans="10:12" x14ac:dyDescent="0.3">
      <c r="J3651">
        <v>3628</v>
      </c>
      <c r="K3651" s="10">
        <v>0.2048787655431355</v>
      </c>
      <c r="L3651" s="10">
        <v>0.16566929420330803</v>
      </c>
    </row>
    <row r="3652" spans="10:12" x14ac:dyDescent="0.3">
      <c r="J3652">
        <v>3629</v>
      </c>
      <c r="K3652" s="10">
        <v>0.25008573775261173</v>
      </c>
      <c r="L3652" s="10">
        <v>-3.5957343082020116E-2</v>
      </c>
    </row>
    <row r="3653" spans="10:12" x14ac:dyDescent="0.3">
      <c r="J3653">
        <v>3630</v>
      </c>
      <c r="K3653" s="10">
        <v>0.23542739747639804</v>
      </c>
      <c r="L3653" s="10">
        <v>-3.1586373407745207E-2</v>
      </c>
    </row>
    <row r="3654" spans="10:12" x14ac:dyDescent="0.3">
      <c r="J3654">
        <v>3631</v>
      </c>
      <c r="K3654" s="10">
        <v>0.22447453517567403</v>
      </c>
      <c r="L3654" s="10">
        <v>-5.3045917151532396E-3</v>
      </c>
    </row>
    <row r="3655" spans="10:12" x14ac:dyDescent="0.3">
      <c r="J3655">
        <v>3632</v>
      </c>
      <c r="K3655" s="10">
        <v>0.19496423480390965</v>
      </c>
      <c r="L3655" s="10">
        <v>0.35542049995822877</v>
      </c>
    </row>
    <row r="3656" spans="10:12" x14ac:dyDescent="0.3">
      <c r="J3656">
        <v>3633</v>
      </c>
      <c r="K3656" s="10">
        <v>0.19086607843227787</v>
      </c>
      <c r="L3656" s="10">
        <v>0.26750583578135079</v>
      </c>
    </row>
    <row r="3657" spans="10:12" x14ac:dyDescent="0.3">
      <c r="J3657">
        <v>3634</v>
      </c>
      <c r="K3657" s="10">
        <v>0.24374542894510068</v>
      </c>
      <c r="L3657" s="10">
        <v>-4.3433720486967621E-2</v>
      </c>
    </row>
    <row r="3658" spans="10:12" x14ac:dyDescent="0.3">
      <c r="J3658">
        <v>3635</v>
      </c>
      <c r="K3658" s="10">
        <v>0.20358586572382698</v>
      </c>
      <c r="L3658" s="10">
        <v>0.38733188614933522</v>
      </c>
    </row>
    <row r="3659" spans="10:12" x14ac:dyDescent="0.3">
      <c r="J3659">
        <v>3636</v>
      </c>
      <c r="K3659" s="10">
        <v>0.1904867950294753</v>
      </c>
      <c r="L3659" s="10">
        <v>0.28641094090679414</v>
      </c>
    </row>
    <row r="3660" spans="10:12" x14ac:dyDescent="0.3">
      <c r="J3660">
        <v>3637</v>
      </c>
      <c r="K3660" s="10">
        <v>0.19267417697710615</v>
      </c>
      <c r="L3660" s="10">
        <v>0.32000648648182262</v>
      </c>
    </row>
    <row r="3661" spans="10:12" x14ac:dyDescent="0.3">
      <c r="J3661">
        <v>3638</v>
      </c>
      <c r="K3661" s="10">
        <v>0.20530684095878071</v>
      </c>
      <c r="L3661" s="10">
        <v>0.21161512187731887</v>
      </c>
    </row>
    <row r="3662" spans="10:12" x14ac:dyDescent="0.3">
      <c r="J3662">
        <v>3639</v>
      </c>
      <c r="K3662" s="10">
        <v>0.19380268904568745</v>
      </c>
      <c r="L3662" s="10">
        <v>0.30807662028744998</v>
      </c>
    </row>
    <row r="3663" spans="10:12" x14ac:dyDescent="0.3">
      <c r="J3663">
        <v>3640</v>
      </c>
      <c r="K3663" s="10">
        <v>0.22268771651858821</v>
      </c>
      <c r="L3663" s="10">
        <v>5.1366324364408925E-3</v>
      </c>
    </row>
    <row r="3664" spans="10:12" x14ac:dyDescent="0.3">
      <c r="J3664">
        <v>3641</v>
      </c>
      <c r="K3664" s="10">
        <v>0.23140390213811382</v>
      </c>
      <c r="L3664" s="10">
        <v>5.8037150825815599E-2</v>
      </c>
    </row>
    <row r="3665" spans="10:12" x14ac:dyDescent="0.3">
      <c r="J3665">
        <v>3642</v>
      </c>
      <c r="K3665" s="10">
        <v>0.19826177655440663</v>
      </c>
      <c r="L3665" s="10">
        <v>0.15844262365414719</v>
      </c>
    </row>
    <row r="3666" spans="10:12" x14ac:dyDescent="0.3">
      <c r="J3666">
        <v>3643</v>
      </c>
      <c r="K3666" s="10">
        <v>0.19457481812908531</v>
      </c>
      <c r="L3666" s="10">
        <v>0.25522483154055886</v>
      </c>
    </row>
    <row r="3667" spans="10:12" x14ac:dyDescent="0.3">
      <c r="J3667">
        <v>3644</v>
      </c>
      <c r="K3667" s="10">
        <v>0.2597050403460473</v>
      </c>
      <c r="L3667" s="10">
        <v>0.12777048572179811</v>
      </c>
    </row>
    <row r="3668" spans="10:12" x14ac:dyDescent="0.3">
      <c r="J3668">
        <v>3645</v>
      </c>
      <c r="K3668" s="10">
        <v>0.21566412116169192</v>
      </c>
      <c r="L3668" s="10">
        <v>0.17329730491635187</v>
      </c>
    </row>
    <row r="3669" spans="10:12" x14ac:dyDescent="0.3">
      <c r="J3669">
        <v>3646</v>
      </c>
      <c r="K3669" s="10">
        <v>0.20893669473107898</v>
      </c>
      <c r="L3669" s="10">
        <v>8.0060459428417219E-2</v>
      </c>
    </row>
    <row r="3670" spans="10:12" x14ac:dyDescent="0.3">
      <c r="J3670">
        <v>3647</v>
      </c>
      <c r="K3670" s="10">
        <v>0.19236543118066346</v>
      </c>
      <c r="L3670" s="10">
        <v>0.36094825388790031</v>
      </c>
    </row>
    <row r="3671" spans="10:12" x14ac:dyDescent="0.3">
      <c r="J3671">
        <v>3648</v>
      </c>
      <c r="K3671" s="10">
        <v>0.198636976791009</v>
      </c>
      <c r="L3671" s="10">
        <v>0.46675843551844531</v>
      </c>
    </row>
    <row r="3672" spans="10:12" x14ac:dyDescent="0.3">
      <c r="J3672">
        <v>3649</v>
      </c>
      <c r="K3672" s="10">
        <v>0.1912176670780279</v>
      </c>
      <c r="L3672" s="10">
        <v>0.22806365647738946</v>
      </c>
    </row>
    <row r="3673" spans="10:12" x14ac:dyDescent="0.3">
      <c r="J3673">
        <v>3650</v>
      </c>
      <c r="K3673" s="10">
        <v>0.23398125956146226</v>
      </c>
      <c r="L3673" s="10">
        <v>-4.8072266007552045E-2</v>
      </c>
    </row>
    <row r="3674" spans="10:12" x14ac:dyDescent="0.3">
      <c r="J3674">
        <v>3651</v>
      </c>
      <c r="K3674" s="10">
        <v>0.2149461879888975</v>
      </c>
      <c r="L3674" s="10">
        <v>9.549395146634837E-2</v>
      </c>
    </row>
    <row r="3675" spans="10:12" x14ac:dyDescent="0.3">
      <c r="J3675">
        <v>3652</v>
      </c>
      <c r="K3675" s="10">
        <v>0.27301619175196368</v>
      </c>
      <c r="L3675" s="10">
        <v>-7.9124752348538455E-2</v>
      </c>
    </row>
    <row r="3676" spans="10:12" x14ac:dyDescent="0.3">
      <c r="J3676">
        <v>3653</v>
      </c>
      <c r="K3676" s="10">
        <v>0.22157146337701392</v>
      </c>
      <c r="L3676" s="10">
        <v>4.8439376073586067E-2</v>
      </c>
    </row>
    <row r="3677" spans="10:12" x14ac:dyDescent="0.3">
      <c r="J3677">
        <v>3654</v>
      </c>
      <c r="K3677" s="10">
        <v>0.22213323899812365</v>
      </c>
      <c r="L3677" s="10">
        <v>9.0868788171080822E-3</v>
      </c>
    </row>
    <row r="3678" spans="10:12" x14ac:dyDescent="0.3">
      <c r="J3678">
        <v>3655</v>
      </c>
      <c r="K3678" s="10">
        <v>0.23460264136673567</v>
      </c>
      <c r="L3678" s="10">
        <v>0.18115630388044435</v>
      </c>
    </row>
    <row r="3679" spans="10:12" x14ac:dyDescent="0.3">
      <c r="J3679">
        <v>3656</v>
      </c>
      <c r="K3679" s="10">
        <v>0.22149020228860555</v>
      </c>
      <c r="L3679" s="10">
        <v>0.17507970981309401</v>
      </c>
    </row>
    <row r="3680" spans="10:12" x14ac:dyDescent="0.3">
      <c r="J3680">
        <v>3657</v>
      </c>
      <c r="K3680" s="10">
        <v>0.1904119794506233</v>
      </c>
      <c r="L3680" s="10">
        <v>0.28617619560674001</v>
      </c>
    </row>
    <row r="3681" spans="10:12" x14ac:dyDescent="0.3">
      <c r="J3681">
        <v>3658</v>
      </c>
      <c r="K3681" s="10">
        <v>0.21598835999246585</v>
      </c>
      <c r="L3681" s="10">
        <v>0.37782879397940061</v>
      </c>
    </row>
    <row r="3682" spans="10:12" x14ac:dyDescent="0.3">
      <c r="J3682">
        <v>3659</v>
      </c>
      <c r="K3682" s="10">
        <v>0.19734227652177683</v>
      </c>
      <c r="L3682" s="10">
        <v>0.41368617446142714</v>
      </c>
    </row>
    <row r="3683" spans="10:12" x14ac:dyDescent="0.3">
      <c r="J3683">
        <v>3660</v>
      </c>
      <c r="K3683" s="10">
        <v>0.20439442174900169</v>
      </c>
      <c r="L3683" s="10">
        <v>0.21389887300848157</v>
      </c>
    </row>
    <row r="3684" spans="10:12" x14ac:dyDescent="0.3">
      <c r="J3684">
        <v>3661</v>
      </c>
      <c r="K3684" s="10">
        <v>0.2218680516339048</v>
      </c>
      <c r="L3684" s="10">
        <v>0.19166832268971196</v>
      </c>
    </row>
    <row r="3685" spans="10:12" x14ac:dyDescent="0.3">
      <c r="J3685">
        <v>3662</v>
      </c>
      <c r="K3685" s="10">
        <v>0.1954500753399725</v>
      </c>
      <c r="L3685" s="10">
        <v>0.25552217314844294</v>
      </c>
    </row>
    <row r="3686" spans="10:12" x14ac:dyDescent="0.3">
      <c r="J3686">
        <v>3663</v>
      </c>
      <c r="K3686" s="10">
        <v>0.25234985784472952</v>
      </c>
      <c r="L3686" s="10">
        <v>7.2733073303751936E-2</v>
      </c>
    </row>
    <row r="3687" spans="10:12" x14ac:dyDescent="0.3">
      <c r="J3687">
        <v>3664</v>
      </c>
      <c r="K3687" s="10">
        <v>0.20220693739618631</v>
      </c>
      <c r="L3687" s="10">
        <v>0.1290684189245887</v>
      </c>
    </row>
    <row r="3688" spans="10:12" x14ac:dyDescent="0.3">
      <c r="J3688">
        <v>3665</v>
      </c>
      <c r="K3688" s="10">
        <v>0.24682026414294839</v>
      </c>
      <c r="L3688" s="10">
        <v>-2.8622031176563874E-2</v>
      </c>
    </row>
    <row r="3689" spans="10:12" x14ac:dyDescent="0.3">
      <c r="J3689">
        <v>3666</v>
      </c>
      <c r="K3689" s="10">
        <v>0.19537239748171564</v>
      </c>
      <c r="L3689" s="10">
        <v>0.19376815722688523</v>
      </c>
    </row>
    <row r="3690" spans="10:12" x14ac:dyDescent="0.3">
      <c r="J3690">
        <v>3667</v>
      </c>
      <c r="K3690" s="10">
        <v>0.1964881610144176</v>
      </c>
      <c r="L3690" s="10">
        <v>0.16658941548277709</v>
      </c>
    </row>
    <row r="3691" spans="10:12" x14ac:dyDescent="0.3">
      <c r="J3691">
        <v>3668</v>
      </c>
      <c r="K3691" s="10">
        <v>0.19376172620571672</v>
      </c>
      <c r="L3691" s="10">
        <v>0.40830270988901241</v>
      </c>
    </row>
    <row r="3692" spans="10:12" x14ac:dyDescent="0.3">
      <c r="J3692">
        <v>3669</v>
      </c>
      <c r="K3692" s="10">
        <v>0.20905732355679088</v>
      </c>
      <c r="L3692" s="10">
        <v>8.1241743869085781E-2</v>
      </c>
    </row>
    <row r="3693" spans="10:12" x14ac:dyDescent="0.3">
      <c r="J3693">
        <v>3670</v>
      </c>
      <c r="K3693" s="10">
        <v>0.19586380796556152</v>
      </c>
      <c r="L3693" s="10">
        <v>0.17271454236777622</v>
      </c>
    </row>
    <row r="3694" spans="10:12" x14ac:dyDescent="0.3">
      <c r="J3694">
        <v>3671</v>
      </c>
      <c r="K3694" s="10">
        <v>0.1913308744277275</v>
      </c>
      <c r="L3694" s="10">
        <v>0.33796888120005286</v>
      </c>
    </row>
    <row r="3695" spans="10:12" x14ac:dyDescent="0.3">
      <c r="J3695">
        <v>3672</v>
      </c>
      <c r="K3695" s="10">
        <v>0.19151275525987083</v>
      </c>
      <c r="L3695" s="10">
        <v>0.34448725459583696</v>
      </c>
    </row>
    <row r="3696" spans="10:12" x14ac:dyDescent="0.3">
      <c r="J3696">
        <v>3673</v>
      </c>
      <c r="K3696" s="10">
        <v>0.23477815988215828</v>
      </c>
      <c r="L3696" s="10">
        <v>0.64764949786743797</v>
      </c>
    </row>
    <row r="3697" spans="10:12" x14ac:dyDescent="0.3">
      <c r="J3697">
        <v>3674</v>
      </c>
      <c r="K3697" s="10">
        <v>0.19980705783058644</v>
      </c>
      <c r="L3697" s="10">
        <v>0.43366478035779338</v>
      </c>
    </row>
    <row r="3698" spans="10:12" x14ac:dyDescent="0.3">
      <c r="J3698">
        <v>3675</v>
      </c>
      <c r="K3698" s="10">
        <v>0.21444104868803801</v>
      </c>
      <c r="L3698" s="10">
        <v>0.24595361677114355</v>
      </c>
    </row>
    <row r="3699" spans="10:12" x14ac:dyDescent="0.3">
      <c r="J3699">
        <v>3676</v>
      </c>
      <c r="K3699" s="10">
        <v>0.2625043714491726</v>
      </c>
      <c r="L3699" s="10">
        <v>-3.1742170035441282E-2</v>
      </c>
    </row>
    <row r="3700" spans="10:12" x14ac:dyDescent="0.3">
      <c r="J3700">
        <v>3677</v>
      </c>
      <c r="K3700" s="10">
        <v>0.20124901186960531</v>
      </c>
      <c r="L3700" s="10">
        <v>0.33352574596044565</v>
      </c>
    </row>
    <row r="3701" spans="10:12" x14ac:dyDescent="0.3">
      <c r="J3701">
        <v>3678</v>
      </c>
      <c r="K3701" s="10">
        <v>0.21008514445114615</v>
      </c>
      <c r="L3701" s="10">
        <v>0.46599812464690205</v>
      </c>
    </row>
    <row r="3702" spans="10:12" x14ac:dyDescent="0.3">
      <c r="J3702">
        <v>3679</v>
      </c>
      <c r="K3702" s="10">
        <v>0.26318503183732139</v>
      </c>
      <c r="L3702" s="10">
        <v>-4.3880764223266082E-2</v>
      </c>
    </row>
    <row r="3703" spans="10:12" x14ac:dyDescent="0.3">
      <c r="J3703">
        <v>3680</v>
      </c>
      <c r="K3703" s="10">
        <v>0.21528904854117131</v>
      </c>
      <c r="L3703" s="10">
        <v>8.3908377137673129E-2</v>
      </c>
    </row>
    <row r="3704" spans="10:12" x14ac:dyDescent="0.3">
      <c r="J3704">
        <v>3681</v>
      </c>
      <c r="K3704" s="10">
        <v>0.21053787113738026</v>
      </c>
      <c r="L3704" s="10">
        <v>0.2283660099692498</v>
      </c>
    </row>
    <row r="3705" spans="10:12" x14ac:dyDescent="0.3">
      <c r="J3705">
        <v>3682</v>
      </c>
      <c r="K3705" s="10">
        <v>0.19032953901715394</v>
      </c>
      <c r="L3705" s="10">
        <v>0.24908036132758266</v>
      </c>
    </row>
    <row r="3706" spans="10:12" x14ac:dyDescent="0.3">
      <c r="J3706">
        <v>3683</v>
      </c>
      <c r="K3706" s="10">
        <v>0.1992877082906109</v>
      </c>
      <c r="L3706" s="10">
        <v>0.472053468721778</v>
      </c>
    </row>
    <row r="3707" spans="10:12" x14ac:dyDescent="0.3">
      <c r="J3707">
        <v>3684</v>
      </c>
      <c r="K3707" s="10">
        <v>0.18948326827743578</v>
      </c>
      <c r="L3707" s="10">
        <v>0.33876528942834649</v>
      </c>
    </row>
    <row r="3708" spans="10:12" x14ac:dyDescent="0.3">
      <c r="J3708">
        <v>3685</v>
      </c>
      <c r="K3708" s="10">
        <v>0.19087430773111658</v>
      </c>
      <c r="L3708" s="10">
        <v>0.27864467060227227</v>
      </c>
    </row>
    <row r="3709" spans="10:12" x14ac:dyDescent="0.3">
      <c r="J3709">
        <v>3686</v>
      </c>
      <c r="K3709" s="10">
        <v>0.19672090955693519</v>
      </c>
      <c r="L3709" s="10">
        <v>0.2249481368236505</v>
      </c>
    </row>
    <row r="3710" spans="10:12" x14ac:dyDescent="0.3">
      <c r="J3710">
        <v>3687</v>
      </c>
      <c r="K3710" s="10">
        <v>0.20418965124476485</v>
      </c>
      <c r="L3710" s="10">
        <v>0.2729027512658494</v>
      </c>
    </row>
    <row r="3711" spans="10:12" x14ac:dyDescent="0.3">
      <c r="J3711">
        <v>3688</v>
      </c>
      <c r="K3711" s="10">
        <v>0.20859157018954244</v>
      </c>
      <c r="L3711" s="10">
        <v>0.27489146084034727</v>
      </c>
    </row>
    <row r="3712" spans="10:12" x14ac:dyDescent="0.3">
      <c r="J3712">
        <v>3689</v>
      </c>
      <c r="K3712" s="10">
        <v>0.21560519937868242</v>
      </c>
      <c r="L3712" s="10">
        <v>3.9150633434005822E-2</v>
      </c>
    </row>
    <row r="3713" spans="10:12" x14ac:dyDescent="0.3">
      <c r="J3713">
        <v>3690</v>
      </c>
      <c r="K3713" s="10">
        <v>0.20442411062050206</v>
      </c>
      <c r="L3713" s="10">
        <v>0.49058711678036288</v>
      </c>
    </row>
    <row r="3714" spans="10:12" x14ac:dyDescent="0.3">
      <c r="J3714">
        <v>3691</v>
      </c>
      <c r="K3714" s="10">
        <v>0.26978585982214298</v>
      </c>
      <c r="L3714" s="10">
        <v>0.10923677926969379</v>
      </c>
    </row>
    <row r="3715" spans="10:12" x14ac:dyDescent="0.3">
      <c r="J3715">
        <v>3692</v>
      </c>
      <c r="K3715" s="10">
        <v>0.23748480060642055</v>
      </c>
      <c r="L3715" s="10">
        <v>0.28055784666280725</v>
      </c>
    </row>
    <row r="3716" spans="10:12" x14ac:dyDescent="0.3">
      <c r="J3716">
        <v>3693</v>
      </c>
      <c r="K3716" s="10">
        <v>0.22356757491171503</v>
      </c>
      <c r="L3716" s="10">
        <v>0.14033640911542589</v>
      </c>
    </row>
    <row r="3717" spans="10:12" x14ac:dyDescent="0.3">
      <c r="J3717">
        <v>3694</v>
      </c>
      <c r="K3717" s="10">
        <v>0.19908629361004682</v>
      </c>
      <c r="L3717" s="10">
        <v>0.26831098902088141</v>
      </c>
    </row>
    <row r="3718" spans="10:12" x14ac:dyDescent="0.3">
      <c r="J3718">
        <v>3695</v>
      </c>
      <c r="K3718" s="10">
        <v>0.21405770549297279</v>
      </c>
      <c r="L3718" s="10">
        <v>0.14172924039439377</v>
      </c>
    </row>
    <row r="3719" spans="10:12" x14ac:dyDescent="0.3">
      <c r="J3719">
        <v>3696</v>
      </c>
      <c r="K3719" s="10">
        <v>0.20244672811530984</v>
      </c>
      <c r="L3719" s="10">
        <v>0.15489834181485573</v>
      </c>
    </row>
    <row r="3720" spans="10:12" x14ac:dyDescent="0.3">
      <c r="J3720">
        <v>3697</v>
      </c>
      <c r="K3720" s="10">
        <v>0.21648916509347141</v>
      </c>
      <c r="L3720" s="10">
        <v>9.3570568410088151E-2</v>
      </c>
    </row>
    <row r="3721" spans="10:12" x14ac:dyDescent="0.3">
      <c r="J3721">
        <v>3698</v>
      </c>
      <c r="K3721" s="10">
        <v>0.19343117970177798</v>
      </c>
      <c r="L3721" s="10">
        <v>0.37317047816831128</v>
      </c>
    </row>
    <row r="3722" spans="10:12" x14ac:dyDescent="0.3">
      <c r="J3722">
        <v>3699</v>
      </c>
      <c r="K3722" s="10">
        <v>0.20485338621157279</v>
      </c>
      <c r="L3722" s="10">
        <v>0.15897185655904253</v>
      </c>
    </row>
    <row r="3723" spans="10:12" x14ac:dyDescent="0.3">
      <c r="J3723">
        <v>3700</v>
      </c>
      <c r="K3723" s="10">
        <v>0.19359826546129555</v>
      </c>
      <c r="L3723" s="10">
        <v>0.36869786429752788</v>
      </c>
    </row>
    <row r="3724" spans="10:12" x14ac:dyDescent="0.3">
      <c r="J3724">
        <v>3701</v>
      </c>
      <c r="K3724" s="10">
        <v>0.20150018373482037</v>
      </c>
      <c r="L3724" s="10">
        <v>0.18379731613253952</v>
      </c>
    </row>
    <row r="3725" spans="10:12" x14ac:dyDescent="0.3">
      <c r="J3725">
        <v>3702</v>
      </c>
      <c r="K3725" s="10">
        <v>0.19286833162865835</v>
      </c>
      <c r="L3725" s="10">
        <v>0.22027296150305559</v>
      </c>
    </row>
    <row r="3726" spans="10:12" x14ac:dyDescent="0.3">
      <c r="J3726">
        <v>3703</v>
      </c>
      <c r="K3726" s="10">
        <v>0.20562649450979209</v>
      </c>
      <c r="L3726" s="10">
        <v>9.7398459441355084E-2</v>
      </c>
    </row>
    <row r="3727" spans="10:12" x14ac:dyDescent="0.3">
      <c r="J3727">
        <v>3704</v>
      </c>
      <c r="K3727" s="10">
        <v>0.2002615687035551</v>
      </c>
      <c r="L3727" s="10">
        <v>0.19173043769151268</v>
      </c>
    </row>
    <row r="3728" spans="10:12" x14ac:dyDescent="0.3">
      <c r="J3728">
        <v>3705</v>
      </c>
      <c r="K3728" s="10">
        <v>0.26096421044298829</v>
      </c>
      <c r="L3728" s="10">
        <v>5.835625864003096E-2</v>
      </c>
    </row>
    <row r="3729" spans="10:12" x14ac:dyDescent="0.3">
      <c r="J3729">
        <v>3706</v>
      </c>
      <c r="K3729" s="10">
        <v>0.22039122055139201</v>
      </c>
      <c r="L3729" s="10">
        <v>0.15128872257329257</v>
      </c>
    </row>
    <row r="3730" spans="10:12" x14ac:dyDescent="0.3">
      <c r="J3730">
        <v>3707</v>
      </c>
      <c r="K3730" s="10">
        <v>0.21203902507501393</v>
      </c>
      <c r="L3730" s="10">
        <v>0.49965353576701294</v>
      </c>
    </row>
    <row r="3731" spans="10:12" x14ac:dyDescent="0.3">
      <c r="J3731">
        <v>3708</v>
      </c>
      <c r="K3731" s="10">
        <v>0.20368080156508797</v>
      </c>
      <c r="L3731" s="10">
        <v>0.12335906998557603</v>
      </c>
    </row>
    <row r="3732" spans="10:12" x14ac:dyDescent="0.3">
      <c r="J3732">
        <v>3709</v>
      </c>
      <c r="K3732" s="10">
        <v>0.21803302758219639</v>
      </c>
      <c r="L3732" s="10">
        <v>0.31983449572719364</v>
      </c>
    </row>
    <row r="3733" spans="10:12" x14ac:dyDescent="0.3">
      <c r="J3733">
        <v>3710</v>
      </c>
      <c r="K3733" s="10">
        <v>0.23737637007042564</v>
      </c>
      <c r="L3733" s="10">
        <v>0.2447157817999642</v>
      </c>
    </row>
    <row r="3734" spans="10:12" x14ac:dyDescent="0.3">
      <c r="J3734">
        <v>3711</v>
      </c>
      <c r="K3734" s="10">
        <v>0.21657955521574312</v>
      </c>
      <c r="L3734" s="10">
        <v>0.33749815046420828</v>
      </c>
    </row>
    <row r="3735" spans="10:12" x14ac:dyDescent="0.3">
      <c r="J3735">
        <v>3712</v>
      </c>
      <c r="K3735" s="10">
        <v>0.21177301762813949</v>
      </c>
      <c r="L3735" s="10">
        <v>0.36439235199271353</v>
      </c>
    </row>
    <row r="3736" spans="10:12" x14ac:dyDescent="0.3">
      <c r="J3736">
        <v>3713</v>
      </c>
      <c r="K3736" s="10">
        <v>0.20895244091222182</v>
      </c>
      <c r="L3736" s="10">
        <v>0.35338219253471048</v>
      </c>
    </row>
    <row r="3737" spans="10:12" x14ac:dyDescent="0.3">
      <c r="J3737">
        <v>3714</v>
      </c>
      <c r="K3737" s="10">
        <v>0.21606877620556286</v>
      </c>
      <c r="L3737" s="10">
        <v>3.8126221448104541E-2</v>
      </c>
    </row>
    <row r="3738" spans="10:12" x14ac:dyDescent="0.3">
      <c r="J3738">
        <v>3715</v>
      </c>
      <c r="K3738" s="10">
        <v>0.19727668470120363</v>
      </c>
      <c r="L3738" s="10">
        <v>0.40688171294766712</v>
      </c>
    </row>
    <row r="3739" spans="10:12" x14ac:dyDescent="0.3">
      <c r="J3739">
        <v>3716</v>
      </c>
      <c r="K3739" s="10">
        <v>0.20818300491572583</v>
      </c>
      <c r="L3739" s="10">
        <v>0.13443803409590391</v>
      </c>
    </row>
    <row r="3740" spans="10:12" x14ac:dyDescent="0.3">
      <c r="J3740">
        <v>3717</v>
      </c>
      <c r="K3740" s="10">
        <v>0.23596997515147905</v>
      </c>
      <c r="L3740" s="10">
        <v>3.9449445825742432E-2</v>
      </c>
    </row>
    <row r="3741" spans="10:12" x14ac:dyDescent="0.3">
      <c r="J3741">
        <v>3718</v>
      </c>
      <c r="K3741" s="10">
        <v>0.20773110534423248</v>
      </c>
      <c r="L3741" s="10">
        <v>0.23558014355133289</v>
      </c>
    </row>
    <row r="3742" spans="10:12" x14ac:dyDescent="0.3">
      <c r="J3742">
        <v>3719</v>
      </c>
      <c r="K3742" s="10">
        <v>0.21781379918955027</v>
      </c>
      <c r="L3742" s="10">
        <v>0.20653079463200327</v>
      </c>
    </row>
    <row r="3743" spans="10:12" x14ac:dyDescent="0.3">
      <c r="J3743">
        <v>3720</v>
      </c>
      <c r="K3743" s="10">
        <v>0.20922955066201579</v>
      </c>
      <c r="L3743" s="10">
        <v>0.20009008203054141</v>
      </c>
    </row>
    <row r="3744" spans="10:12" x14ac:dyDescent="0.3">
      <c r="J3744">
        <v>3721</v>
      </c>
      <c r="K3744" s="10">
        <v>0.23384019644860601</v>
      </c>
      <c r="L3744" s="10">
        <v>0.10662622408275489</v>
      </c>
    </row>
    <row r="3745" spans="10:12" x14ac:dyDescent="0.3">
      <c r="J3745">
        <v>3722</v>
      </c>
      <c r="K3745" s="10">
        <v>0.22280943105311787</v>
      </c>
      <c r="L3745" s="10">
        <v>0.3608257466862263</v>
      </c>
    </row>
    <row r="3746" spans="10:12" x14ac:dyDescent="0.3">
      <c r="J3746">
        <v>3723</v>
      </c>
      <c r="K3746" s="10">
        <v>0.19298909751905782</v>
      </c>
      <c r="L3746" s="10">
        <v>0.32865094539235201</v>
      </c>
    </row>
    <row r="3747" spans="10:12" x14ac:dyDescent="0.3">
      <c r="J3747">
        <v>3724</v>
      </c>
      <c r="K3747" s="10">
        <v>0.20023677624403152</v>
      </c>
      <c r="L3747" s="10">
        <v>0.19928977789796098</v>
      </c>
    </row>
    <row r="3748" spans="10:12" x14ac:dyDescent="0.3">
      <c r="J3748">
        <v>3725</v>
      </c>
      <c r="K3748" s="10">
        <v>0.22064532047343294</v>
      </c>
      <c r="L3748" s="10">
        <v>0.56458721153359304</v>
      </c>
    </row>
    <row r="3749" spans="10:12" x14ac:dyDescent="0.3">
      <c r="J3749">
        <v>3726</v>
      </c>
      <c r="K3749" s="10">
        <v>0.22004928860131248</v>
      </c>
      <c r="L3749" s="10">
        <v>0.59374147964641966</v>
      </c>
    </row>
    <row r="3750" spans="10:12" x14ac:dyDescent="0.3">
      <c r="J3750">
        <v>3727</v>
      </c>
      <c r="K3750" s="10">
        <v>0.18976199268664809</v>
      </c>
      <c r="L3750" s="10">
        <v>0.33612156541120286</v>
      </c>
    </row>
    <row r="3751" spans="10:12" x14ac:dyDescent="0.3">
      <c r="J3751">
        <v>3728</v>
      </c>
      <c r="K3751" s="10">
        <v>0.23768841510931563</v>
      </c>
      <c r="L3751" s="10">
        <v>1.8520611814087998E-2</v>
      </c>
    </row>
    <row r="3752" spans="10:12" x14ac:dyDescent="0.3">
      <c r="J3752">
        <v>3729</v>
      </c>
      <c r="K3752" s="10">
        <v>0.1907797730535655</v>
      </c>
      <c r="L3752" s="10">
        <v>0.32568005616492668</v>
      </c>
    </row>
    <row r="3753" spans="10:12" x14ac:dyDescent="0.3">
      <c r="J3753">
        <v>3730</v>
      </c>
      <c r="K3753" s="10">
        <v>0.2355121705797413</v>
      </c>
      <c r="L3753" s="10">
        <v>-7.7053581353096062E-4</v>
      </c>
    </row>
    <row r="3754" spans="10:12" x14ac:dyDescent="0.3">
      <c r="J3754">
        <v>3731</v>
      </c>
      <c r="K3754" s="10">
        <v>0.20691518927906044</v>
      </c>
      <c r="L3754" s="10">
        <v>0.49380178955779558</v>
      </c>
    </row>
    <row r="3755" spans="10:12" x14ac:dyDescent="0.3">
      <c r="J3755">
        <v>3732</v>
      </c>
      <c r="K3755" s="10">
        <v>0.18978952132947674</v>
      </c>
      <c r="L3755" s="10">
        <v>0.3595326409983447</v>
      </c>
    </row>
    <row r="3756" spans="10:12" x14ac:dyDescent="0.3">
      <c r="J3756">
        <v>3733</v>
      </c>
      <c r="K3756" s="10">
        <v>0.23683743022954939</v>
      </c>
      <c r="L3756" s="10">
        <v>0.12244993991520761</v>
      </c>
    </row>
    <row r="3757" spans="10:12" x14ac:dyDescent="0.3">
      <c r="J3757">
        <v>3734</v>
      </c>
      <c r="K3757" s="10">
        <v>0.2001149210491569</v>
      </c>
      <c r="L3757" s="10">
        <v>0.2663971794704954</v>
      </c>
    </row>
    <row r="3758" spans="10:12" x14ac:dyDescent="0.3">
      <c r="J3758">
        <v>3735</v>
      </c>
      <c r="K3758" s="10">
        <v>0.1913663178980225</v>
      </c>
      <c r="L3758" s="10">
        <v>0.30251491743064246</v>
      </c>
    </row>
    <row r="3759" spans="10:12" x14ac:dyDescent="0.3">
      <c r="J3759">
        <v>3736</v>
      </c>
      <c r="K3759" s="10">
        <v>0.23164655439632514</v>
      </c>
      <c r="L3759" s="10">
        <v>0.39239951916201943</v>
      </c>
    </row>
    <row r="3760" spans="10:12" x14ac:dyDescent="0.3">
      <c r="J3760">
        <v>3737</v>
      </c>
      <c r="K3760" s="10">
        <v>0.19605966824314577</v>
      </c>
      <c r="L3760" s="10">
        <v>0.2189172593924012</v>
      </c>
    </row>
    <row r="3761" spans="10:12" x14ac:dyDescent="0.3">
      <c r="J3761">
        <v>3738</v>
      </c>
      <c r="K3761" s="10">
        <v>0.2234736425093338</v>
      </c>
      <c r="L3761" s="10">
        <v>8.1469410774571621E-2</v>
      </c>
    </row>
    <row r="3762" spans="10:12" x14ac:dyDescent="0.3">
      <c r="J3762">
        <v>3739</v>
      </c>
      <c r="K3762" s="10">
        <v>0.20217369792615708</v>
      </c>
      <c r="L3762" s="10">
        <v>0.32212747231652372</v>
      </c>
    </row>
    <row r="3763" spans="10:12" x14ac:dyDescent="0.3">
      <c r="J3763">
        <v>3740</v>
      </c>
      <c r="K3763" s="10">
        <v>0.23575477334311359</v>
      </c>
      <c r="L3763" s="10">
        <v>0.28114808572812844</v>
      </c>
    </row>
    <row r="3764" spans="10:12" x14ac:dyDescent="0.3">
      <c r="J3764">
        <v>3741</v>
      </c>
      <c r="K3764" s="10">
        <v>0.194248232705172</v>
      </c>
      <c r="L3764" s="10">
        <v>0.40296723900560233</v>
      </c>
    </row>
    <row r="3765" spans="10:12" x14ac:dyDescent="0.3">
      <c r="J3765">
        <v>3742</v>
      </c>
      <c r="K3765" s="10">
        <v>0.19095974901761165</v>
      </c>
      <c r="L3765" s="10">
        <v>0.26292107096498496</v>
      </c>
    </row>
    <row r="3766" spans="10:12" x14ac:dyDescent="0.3">
      <c r="J3766">
        <v>3743</v>
      </c>
      <c r="K3766" s="10">
        <v>0.21241713734765225</v>
      </c>
      <c r="L3766" s="10">
        <v>5.7145155343459236E-2</v>
      </c>
    </row>
    <row r="3767" spans="10:12" x14ac:dyDescent="0.3">
      <c r="J3767">
        <v>3744</v>
      </c>
      <c r="K3767" s="10">
        <v>0.29250908710693962</v>
      </c>
      <c r="L3767" s="10">
        <v>5.0245152875087601E-2</v>
      </c>
    </row>
    <row r="3768" spans="10:12" x14ac:dyDescent="0.3">
      <c r="J3768">
        <v>3745</v>
      </c>
      <c r="K3768" s="10">
        <v>0.20159029320983118</v>
      </c>
      <c r="L3768" s="10">
        <v>0.47503047184435776</v>
      </c>
    </row>
    <row r="3769" spans="10:12" x14ac:dyDescent="0.3">
      <c r="J3769">
        <v>3746</v>
      </c>
      <c r="K3769" s="10">
        <v>0.22793037774343924</v>
      </c>
      <c r="L3769" s="10">
        <v>-9.8967155507269852E-3</v>
      </c>
    </row>
    <row r="3770" spans="10:12" x14ac:dyDescent="0.3">
      <c r="J3770">
        <v>3747</v>
      </c>
      <c r="K3770" s="10">
        <v>0.19120905659155782</v>
      </c>
      <c r="L3770" s="10">
        <v>0.25649735763445664</v>
      </c>
    </row>
    <row r="3771" spans="10:12" x14ac:dyDescent="0.3">
      <c r="J3771">
        <v>3748</v>
      </c>
      <c r="K3771" s="10">
        <v>0.19556390031848145</v>
      </c>
      <c r="L3771" s="10">
        <v>0.30025609077040305</v>
      </c>
    </row>
    <row r="3772" spans="10:12" x14ac:dyDescent="0.3">
      <c r="J3772">
        <v>3749</v>
      </c>
      <c r="K3772" s="10">
        <v>0.19882757142808025</v>
      </c>
      <c r="L3772" s="10">
        <v>0.22745149537142989</v>
      </c>
    </row>
    <row r="3773" spans="10:12" x14ac:dyDescent="0.3">
      <c r="J3773">
        <v>3750</v>
      </c>
      <c r="K3773" s="10">
        <v>0.19505195639460571</v>
      </c>
      <c r="L3773" s="10">
        <v>0.40626310291503309</v>
      </c>
    </row>
    <row r="3774" spans="10:12" x14ac:dyDescent="0.3">
      <c r="J3774">
        <v>3751</v>
      </c>
      <c r="K3774" s="10">
        <v>0.20928261051590702</v>
      </c>
      <c r="L3774" s="10">
        <v>8.6645464782113574E-2</v>
      </c>
    </row>
    <row r="3775" spans="10:12" x14ac:dyDescent="0.3">
      <c r="J3775">
        <v>3752</v>
      </c>
      <c r="K3775" s="10">
        <v>0.21963133007962102</v>
      </c>
      <c r="L3775" s="10">
        <v>0.21694219752901331</v>
      </c>
    </row>
    <row r="3776" spans="10:12" x14ac:dyDescent="0.3">
      <c r="J3776">
        <v>3753</v>
      </c>
      <c r="K3776" s="10">
        <v>0.2518004069443463</v>
      </c>
      <c r="L3776" s="10">
        <v>0.13263059997651691</v>
      </c>
    </row>
    <row r="3777" spans="10:12" x14ac:dyDescent="0.3">
      <c r="J3777">
        <v>3754</v>
      </c>
      <c r="K3777" s="10">
        <v>0.19438541901322792</v>
      </c>
      <c r="L3777" s="10">
        <v>0.39079783448859318</v>
      </c>
    </row>
    <row r="3778" spans="10:12" x14ac:dyDescent="0.3">
      <c r="J3778">
        <v>3755</v>
      </c>
      <c r="K3778" s="10">
        <v>0.22585887257649942</v>
      </c>
      <c r="L3778" s="10">
        <v>7.691674160491993E-2</v>
      </c>
    </row>
    <row r="3779" spans="10:12" x14ac:dyDescent="0.3">
      <c r="J3779">
        <v>3756</v>
      </c>
      <c r="K3779" s="10">
        <v>0.24435089970374574</v>
      </c>
      <c r="L3779" s="10">
        <v>0.24642397412092454</v>
      </c>
    </row>
    <row r="3780" spans="10:12" x14ac:dyDescent="0.3">
      <c r="J3780">
        <v>3757</v>
      </c>
      <c r="K3780" s="10">
        <v>0.22354878764713515</v>
      </c>
      <c r="L3780" s="10">
        <v>0.23271853862477926</v>
      </c>
    </row>
    <row r="3781" spans="10:12" x14ac:dyDescent="0.3">
      <c r="J3781">
        <v>3758</v>
      </c>
      <c r="K3781" s="10">
        <v>0.21399508760461475</v>
      </c>
      <c r="L3781" s="10">
        <v>0.2112772761744513</v>
      </c>
    </row>
    <row r="3782" spans="10:12" x14ac:dyDescent="0.3">
      <c r="J3782">
        <v>3759</v>
      </c>
      <c r="K3782" s="10">
        <v>0.23330257906303781</v>
      </c>
      <c r="L3782" s="10">
        <v>-4.5431858908193234E-2</v>
      </c>
    </row>
    <row r="3783" spans="10:12" x14ac:dyDescent="0.3">
      <c r="J3783">
        <v>3760</v>
      </c>
      <c r="K3783" s="10">
        <v>0.19045371266990757</v>
      </c>
      <c r="L3783" s="10">
        <v>0.2902230678824323</v>
      </c>
    </row>
    <row r="3784" spans="10:12" x14ac:dyDescent="0.3">
      <c r="J3784">
        <v>3761</v>
      </c>
      <c r="K3784" s="10">
        <v>0.24749826204509134</v>
      </c>
      <c r="L3784" s="10">
        <v>-6.5772949875417319E-2</v>
      </c>
    </row>
    <row r="3785" spans="10:12" x14ac:dyDescent="0.3">
      <c r="J3785">
        <v>3762</v>
      </c>
      <c r="K3785" s="10">
        <v>0.23559953489415703</v>
      </c>
      <c r="L3785" s="10">
        <v>2.2152165751898545E-2</v>
      </c>
    </row>
    <row r="3786" spans="10:12" x14ac:dyDescent="0.3">
      <c r="J3786">
        <v>3763</v>
      </c>
      <c r="K3786" s="10">
        <v>0.20108708954486981</v>
      </c>
      <c r="L3786" s="10">
        <v>0.27470938225201375</v>
      </c>
    </row>
    <row r="3787" spans="10:12" x14ac:dyDescent="0.3">
      <c r="J3787">
        <v>3764</v>
      </c>
      <c r="K3787" s="10">
        <v>0.22642355905568456</v>
      </c>
      <c r="L3787" s="10">
        <v>-1.4458875225284107E-2</v>
      </c>
    </row>
    <row r="3788" spans="10:12" x14ac:dyDescent="0.3">
      <c r="J3788">
        <v>3765</v>
      </c>
      <c r="K3788" s="10">
        <v>0.19826180578777755</v>
      </c>
      <c r="L3788" s="10">
        <v>0.40530379234234487</v>
      </c>
    </row>
    <row r="3789" spans="10:12" x14ac:dyDescent="0.3">
      <c r="J3789">
        <v>3766</v>
      </c>
      <c r="K3789" s="10">
        <v>0.21636557855762198</v>
      </c>
      <c r="L3789" s="10">
        <v>0.26450844953776631</v>
      </c>
    </row>
    <row r="3790" spans="10:12" x14ac:dyDescent="0.3">
      <c r="J3790">
        <v>3767</v>
      </c>
      <c r="K3790" s="10">
        <v>0.2165944254366525</v>
      </c>
      <c r="L3790" s="10">
        <v>0.52577720422343321</v>
      </c>
    </row>
    <row r="3791" spans="10:12" x14ac:dyDescent="0.3">
      <c r="J3791">
        <v>3768</v>
      </c>
      <c r="K3791" s="10">
        <v>0.19220936415278211</v>
      </c>
      <c r="L3791" s="10">
        <v>0.34644415690904512</v>
      </c>
    </row>
    <row r="3792" spans="10:12" x14ac:dyDescent="0.3">
      <c r="J3792">
        <v>3769</v>
      </c>
      <c r="K3792" s="10">
        <v>0.19085560721661227</v>
      </c>
      <c r="L3792" s="10">
        <v>0.24281526756950647</v>
      </c>
    </row>
    <row r="3793" spans="10:12" x14ac:dyDescent="0.3">
      <c r="J3793">
        <v>3770</v>
      </c>
      <c r="K3793" s="10">
        <v>0.2440948448660456</v>
      </c>
      <c r="L3793" s="10">
        <v>0.68688212271294147</v>
      </c>
    </row>
    <row r="3794" spans="10:12" x14ac:dyDescent="0.3">
      <c r="J3794">
        <v>3771</v>
      </c>
      <c r="K3794" s="10">
        <v>0.23110578517079464</v>
      </c>
      <c r="L3794" s="10">
        <v>0.15878789913044458</v>
      </c>
    </row>
    <row r="3795" spans="10:12" x14ac:dyDescent="0.3">
      <c r="J3795">
        <v>3772</v>
      </c>
      <c r="K3795" s="10">
        <v>0.19915652677012263</v>
      </c>
      <c r="L3795" s="10">
        <v>0.14344496747790475</v>
      </c>
    </row>
    <row r="3796" spans="10:12" x14ac:dyDescent="0.3">
      <c r="J3796">
        <v>3773</v>
      </c>
      <c r="K3796" s="10">
        <v>0.19128226815956245</v>
      </c>
      <c r="L3796" s="10">
        <v>0.27562918079038162</v>
      </c>
    </row>
    <row r="3797" spans="10:12" x14ac:dyDescent="0.3">
      <c r="J3797">
        <v>3774</v>
      </c>
      <c r="K3797" s="10">
        <v>0.21086372043032212</v>
      </c>
      <c r="L3797" s="10">
        <v>0.27562275011822379</v>
      </c>
    </row>
    <row r="3798" spans="10:12" x14ac:dyDescent="0.3">
      <c r="J3798">
        <v>3775</v>
      </c>
      <c r="K3798" s="10">
        <v>0.24600488700481279</v>
      </c>
      <c r="L3798" s="10">
        <v>-6.1973962627158395E-2</v>
      </c>
    </row>
    <row r="3799" spans="10:12" x14ac:dyDescent="0.3">
      <c r="J3799">
        <v>3776</v>
      </c>
      <c r="K3799" s="10">
        <v>0.23143681074963512</v>
      </c>
      <c r="L3799" s="10">
        <v>0.12876597263870071</v>
      </c>
    </row>
    <row r="3800" spans="10:12" x14ac:dyDescent="0.3">
      <c r="J3800">
        <v>3777</v>
      </c>
      <c r="K3800" s="10">
        <v>0.21077530564234645</v>
      </c>
      <c r="L3800" s="10">
        <v>0.53040261588124549</v>
      </c>
    </row>
    <row r="3801" spans="10:12" x14ac:dyDescent="0.3">
      <c r="J3801">
        <v>3778</v>
      </c>
      <c r="K3801" s="10">
        <v>0.20171291063868493</v>
      </c>
      <c r="L3801" s="10">
        <v>0.43498338894985172</v>
      </c>
    </row>
    <row r="3802" spans="10:12" x14ac:dyDescent="0.3">
      <c r="J3802">
        <v>3779</v>
      </c>
      <c r="K3802" s="10">
        <v>0.2014812474684938</v>
      </c>
      <c r="L3802" s="10">
        <v>0.2723781878160022</v>
      </c>
    </row>
    <row r="3803" spans="10:12" x14ac:dyDescent="0.3">
      <c r="J3803">
        <v>3780</v>
      </c>
      <c r="K3803" s="10">
        <v>0.21894291474312266</v>
      </c>
      <c r="L3803" s="10">
        <v>0.51977020773065685</v>
      </c>
    </row>
    <row r="3804" spans="10:12" x14ac:dyDescent="0.3">
      <c r="J3804">
        <v>3781</v>
      </c>
      <c r="K3804" s="10">
        <v>0.19248593490599003</v>
      </c>
      <c r="L3804" s="10">
        <v>0.3876336341649419</v>
      </c>
    </row>
    <row r="3805" spans="10:12" x14ac:dyDescent="0.3">
      <c r="J3805">
        <v>3782</v>
      </c>
      <c r="K3805" s="10">
        <v>0.20495196955156383</v>
      </c>
      <c r="L3805" s="10">
        <v>0.12672773122973058</v>
      </c>
    </row>
    <row r="3806" spans="10:12" x14ac:dyDescent="0.3">
      <c r="J3806">
        <v>3783</v>
      </c>
      <c r="K3806" s="10">
        <v>0.25121784096394395</v>
      </c>
      <c r="L3806" s="10">
        <v>-2.641202557714753E-2</v>
      </c>
    </row>
    <row r="3807" spans="10:12" x14ac:dyDescent="0.3">
      <c r="J3807">
        <v>3784</v>
      </c>
      <c r="K3807" s="10">
        <v>0.19041751577812055</v>
      </c>
      <c r="L3807" s="10">
        <v>0.3195224467290525</v>
      </c>
    </row>
    <row r="3808" spans="10:12" x14ac:dyDescent="0.3">
      <c r="J3808">
        <v>3785</v>
      </c>
      <c r="K3808" s="10">
        <v>0.19127507304751881</v>
      </c>
      <c r="L3808" s="10">
        <v>0.22760160268323967</v>
      </c>
    </row>
    <row r="3809" spans="10:12" x14ac:dyDescent="0.3">
      <c r="J3809">
        <v>3786</v>
      </c>
      <c r="K3809" s="10">
        <v>0.22922821618945263</v>
      </c>
      <c r="L3809" s="10">
        <v>-2.657340581693389E-2</v>
      </c>
    </row>
    <row r="3810" spans="10:12" x14ac:dyDescent="0.3">
      <c r="J3810">
        <v>3787</v>
      </c>
      <c r="K3810" s="10">
        <v>0.24556301272898082</v>
      </c>
      <c r="L3810" s="10">
        <v>-8.7445613737730687E-2</v>
      </c>
    </row>
    <row r="3811" spans="10:12" x14ac:dyDescent="0.3">
      <c r="J3811">
        <v>3788</v>
      </c>
      <c r="K3811" s="10">
        <v>0.23025119020075796</v>
      </c>
      <c r="L3811" s="10">
        <v>0.64619901699089977</v>
      </c>
    </row>
    <row r="3812" spans="10:12" x14ac:dyDescent="0.3">
      <c r="J3812">
        <v>3789</v>
      </c>
      <c r="K3812" s="10">
        <v>0.20759251120557795</v>
      </c>
      <c r="L3812" s="10">
        <v>8.7517758266115936E-2</v>
      </c>
    </row>
    <row r="3813" spans="10:12" x14ac:dyDescent="0.3">
      <c r="J3813">
        <v>3790</v>
      </c>
      <c r="K3813" s="10">
        <v>0.20538218077369153</v>
      </c>
      <c r="L3813" s="10">
        <v>0.41567027491273956</v>
      </c>
    </row>
    <row r="3814" spans="10:12" x14ac:dyDescent="0.3">
      <c r="J3814">
        <v>3791</v>
      </c>
      <c r="K3814" s="10">
        <v>0.21126591618634893</v>
      </c>
      <c r="L3814" s="10">
        <v>9.3329801869120405E-2</v>
      </c>
    </row>
    <row r="3815" spans="10:12" x14ac:dyDescent="0.3">
      <c r="J3815">
        <v>3792</v>
      </c>
      <c r="K3815" s="10">
        <v>0.19233241887500821</v>
      </c>
      <c r="L3815" s="10">
        <v>0.37264193405442686</v>
      </c>
    </row>
    <row r="3816" spans="10:12" x14ac:dyDescent="0.3">
      <c r="J3816">
        <v>3793</v>
      </c>
      <c r="K3816" s="10">
        <v>0.20131615909367104</v>
      </c>
      <c r="L3816" s="10">
        <v>0.22672240060523288</v>
      </c>
    </row>
    <row r="3817" spans="10:12" x14ac:dyDescent="0.3">
      <c r="J3817">
        <v>3794</v>
      </c>
      <c r="K3817" s="10">
        <v>0.20578989933846778</v>
      </c>
      <c r="L3817" s="10">
        <v>0.1629942669821135</v>
      </c>
    </row>
    <row r="3818" spans="10:12" x14ac:dyDescent="0.3">
      <c r="J3818">
        <v>3795</v>
      </c>
      <c r="K3818" s="10">
        <v>0.21995291630272124</v>
      </c>
      <c r="L3818" s="10">
        <v>0.48654513207609179</v>
      </c>
    </row>
    <row r="3819" spans="10:12" x14ac:dyDescent="0.3">
      <c r="J3819">
        <v>3796</v>
      </c>
      <c r="K3819" s="10">
        <v>0.2000045088894318</v>
      </c>
      <c r="L3819" s="10">
        <v>0.28050194017605701</v>
      </c>
    </row>
    <row r="3820" spans="10:12" x14ac:dyDescent="0.3">
      <c r="J3820">
        <v>3797</v>
      </c>
      <c r="K3820" s="10">
        <v>0.21085660050013158</v>
      </c>
      <c r="L3820" s="10">
        <v>0.48403824028773312</v>
      </c>
    </row>
    <row r="3821" spans="10:12" x14ac:dyDescent="0.3">
      <c r="J3821">
        <v>3798</v>
      </c>
      <c r="K3821" s="10">
        <v>0.21317282393177331</v>
      </c>
      <c r="L3821" s="10">
        <v>0.55802995347140749</v>
      </c>
    </row>
    <row r="3822" spans="10:12" x14ac:dyDescent="0.3">
      <c r="J3822">
        <v>3799</v>
      </c>
      <c r="K3822" s="10">
        <v>0.2021452885083341</v>
      </c>
      <c r="L3822" s="10">
        <v>0.32489268275270211</v>
      </c>
    </row>
    <row r="3823" spans="10:12" x14ac:dyDescent="0.3">
      <c r="J3823">
        <v>3800</v>
      </c>
      <c r="K3823" s="10">
        <v>0.19634242177337288</v>
      </c>
      <c r="L3823" s="10">
        <v>0.33207839789494087</v>
      </c>
    </row>
    <row r="3824" spans="10:12" x14ac:dyDescent="0.3">
      <c r="J3824">
        <v>3801</v>
      </c>
      <c r="K3824" s="10">
        <v>0.24092531101855227</v>
      </c>
      <c r="L3824" s="10">
        <v>0.31507430406232717</v>
      </c>
    </row>
    <row r="3825" spans="10:12" x14ac:dyDescent="0.3">
      <c r="J3825">
        <v>3802</v>
      </c>
      <c r="K3825" s="10">
        <v>0.22143456597305078</v>
      </c>
      <c r="L3825" s="10">
        <v>2.7587401498143246E-2</v>
      </c>
    </row>
    <row r="3826" spans="10:12" x14ac:dyDescent="0.3">
      <c r="J3826">
        <v>3803</v>
      </c>
      <c r="K3826" s="10">
        <v>0.19858410924364822</v>
      </c>
      <c r="L3826" s="10">
        <v>0.44885850379521441</v>
      </c>
    </row>
    <row r="3827" spans="10:12" x14ac:dyDescent="0.3">
      <c r="J3827">
        <v>3804</v>
      </c>
      <c r="K3827" s="10">
        <v>0.20140178887392743</v>
      </c>
      <c r="L3827" s="10">
        <v>0.45723575679578971</v>
      </c>
    </row>
    <row r="3828" spans="10:12" x14ac:dyDescent="0.3">
      <c r="J3828">
        <v>3805</v>
      </c>
      <c r="K3828" s="10">
        <v>0.22787583241826984</v>
      </c>
      <c r="L3828" s="10">
        <v>-2.1121078544906247E-2</v>
      </c>
    </row>
    <row r="3829" spans="10:12" x14ac:dyDescent="0.3">
      <c r="J3829">
        <v>3806</v>
      </c>
      <c r="K3829" s="10">
        <v>0.20816776423454925</v>
      </c>
      <c r="L3829" s="10">
        <v>0.232817123016237</v>
      </c>
    </row>
    <row r="3830" spans="10:12" x14ac:dyDescent="0.3">
      <c r="J3830">
        <v>3807</v>
      </c>
      <c r="K3830" s="10">
        <v>0.20660431820484806</v>
      </c>
      <c r="L3830" s="10">
        <v>0.33778467919925509</v>
      </c>
    </row>
    <row r="3831" spans="10:12" x14ac:dyDescent="0.3">
      <c r="J3831">
        <v>3808</v>
      </c>
      <c r="K3831" s="10">
        <v>0.28339744874360689</v>
      </c>
      <c r="L3831" s="10">
        <v>-6.4101068414078338E-2</v>
      </c>
    </row>
    <row r="3832" spans="10:12" x14ac:dyDescent="0.3">
      <c r="J3832">
        <v>3809</v>
      </c>
      <c r="K3832" s="10">
        <v>0.21957349785915486</v>
      </c>
      <c r="L3832" s="10">
        <v>0.13269919284715559</v>
      </c>
    </row>
    <row r="3833" spans="10:12" x14ac:dyDescent="0.3">
      <c r="J3833">
        <v>3810</v>
      </c>
      <c r="K3833" s="10">
        <v>0.20421202195872135</v>
      </c>
      <c r="L3833" s="10">
        <v>0.15699903970822374</v>
      </c>
    </row>
    <row r="3834" spans="10:12" x14ac:dyDescent="0.3">
      <c r="J3834">
        <v>3811</v>
      </c>
      <c r="K3834" s="10">
        <v>0.18886985371979617</v>
      </c>
      <c r="L3834" s="10">
        <v>0.31199620197941841</v>
      </c>
    </row>
    <row r="3835" spans="10:12" x14ac:dyDescent="0.3">
      <c r="J3835">
        <v>3812</v>
      </c>
      <c r="K3835" s="10">
        <v>0.22528006976618931</v>
      </c>
      <c r="L3835" s="10">
        <v>0.33237539119422105</v>
      </c>
    </row>
    <row r="3836" spans="10:12" x14ac:dyDescent="0.3">
      <c r="J3836">
        <v>3813</v>
      </c>
      <c r="K3836" s="10">
        <v>0.19739555604475367</v>
      </c>
      <c r="L3836" s="10">
        <v>0.2702940555846704</v>
      </c>
    </row>
    <row r="3837" spans="10:12" x14ac:dyDescent="0.3">
      <c r="J3837">
        <v>3814</v>
      </c>
      <c r="K3837" s="10">
        <v>0.22155853438648096</v>
      </c>
      <c r="L3837" s="10">
        <v>0.5433657032165542</v>
      </c>
    </row>
    <row r="3838" spans="10:12" x14ac:dyDescent="0.3">
      <c r="J3838">
        <v>3815</v>
      </c>
      <c r="K3838" s="10">
        <v>0.21333188406602699</v>
      </c>
      <c r="L3838" s="10">
        <v>0.11297148400340154</v>
      </c>
    </row>
    <row r="3839" spans="10:12" x14ac:dyDescent="0.3">
      <c r="J3839">
        <v>3816</v>
      </c>
      <c r="K3839" s="10">
        <v>0.20503243330382406</v>
      </c>
      <c r="L3839" s="10">
        <v>0.10104806361189571</v>
      </c>
    </row>
    <row r="3840" spans="10:12" x14ac:dyDescent="0.3">
      <c r="J3840">
        <v>3817</v>
      </c>
      <c r="K3840" s="10">
        <v>0.22833861049578422</v>
      </c>
      <c r="L3840" s="10">
        <v>0.63744174922389518</v>
      </c>
    </row>
    <row r="3841" spans="10:12" x14ac:dyDescent="0.3">
      <c r="J3841">
        <v>3818</v>
      </c>
      <c r="K3841" s="10">
        <v>0.19651943523073021</v>
      </c>
      <c r="L3841" s="10">
        <v>0.28873815386367263</v>
      </c>
    </row>
    <row r="3842" spans="10:12" x14ac:dyDescent="0.3">
      <c r="J3842">
        <v>3819</v>
      </c>
      <c r="K3842" s="10">
        <v>0.19002676224289791</v>
      </c>
      <c r="L3842" s="10">
        <v>0.24930335163338366</v>
      </c>
    </row>
    <row r="3843" spans="10:12" x14ac:dyDescent="0.3">
      <c r="J3843">
        <v>3820</v>
      </c>
      <c r="K3843" s="10">
        <v>0.19672764280899804</v>
      </c>
      <c r="L3843" s="10">
        <v>0.19826669786684378</v>
      </c>
    </row>
    <row r="3844" spans="10:12" x14ac:dyDescent="0.3">
      <c r="J3844">
        <v>3821</v>
      </c>
      <c r="K3844" s="10">
        <v>0.20119754413821667</v>
      </c>
      <c r="L3844" s="10">
        <v>0.22149835268403123</v>
      </c>
    </row>
    <row r="3845" spans="10:12" x14ac:dyDescent="0.3">
      <c r="J3845">
        <v>3822</v>
      </c>
      <c r="K3845" s="10">
        <v>0.20658880569929924</v>
      </c>
      <c r="L3845" s="10">
        <v>0.2961607194589152</v>
      </c>
    </row>
    <row r="3846" spans="10:12" x14ac:dyDescent="0.3">
      <c r="J3846">
        <v>3823</v>
      </c>
      <c r="K3846" s="10">
        <v>0.22319258828495098</v>
      </c>
      <c r="L3846" s="10">
        <v>8.2350764850456365E-4</v>
      </c>
    </row>
    <row r="3847" spans="10:12" x14ac:dyDescent="0.3">
      <c r="J3847">
        <v>3824</v>
      </c>
      <c r="K3847" s="10">
        <v>0.22139931958511735</v>
      </c>
      <c r="L3847" s="10">
        <v>0.60233724915330256</v>
      </c>
    </row>
    <row r="3848" spans="10:12" x14ac:dyDescent="0.3">
      <c r="J3848">
        <v>3825</v>
      </c>
      <c r="K3848" s="10">
        <v>0.2127226539934049</v>
      </c>
      <c r="L3848" s="10">
        <v>0.24791519144851454</v>
      </c>
    </row>
    <row r="3849" spans="10:12" x14ac:dyDescent="0.3">
      <c r="J3849">
        <v>3826</v>
      </c>
      <c r="K3849" s="10">
        <v>0.2017877299106749</v>
      </c>
      <c r="L3849" s="10">
        <v>0.16416812527579247</v>
      </c>
    </row>
    <row r="3850" spans="10:12" x14ac:dyDescent="0.3">
      <c r="J3850">
        <v>3827</v>
      </c>
      <c r="K3850" s="10">
        <v>0.24183096033535081</v>
      </c>
      <c r="L3850" s="10">
        <v>-4.7471072375677721E-2</v>
      </c>
    </row>
    <row r="3851" spans="10:12" x14ac:dyDescent="0.3">
      <c r="J3851">
        <v>3828</v>
      </c>
      <c r="K3851" s="10">
        <v>0.21905081145661504</v>
      </c>
      <c r="L3851" s="10">
        <v>0.58496749928223724</v>
      </c>
    </row>
    <row r="3852" spans="10:12" x14ac:dyDescent="0.3">
      <c r="J3852">
        <v>3829</v>
      </c>
      <c r="K3852" s="10">
        <v>0.28138655351005404</v>
      </c>
      <c r="L3852" s="10">
        <v>1.0459133073316623E-2</v>
      </c>
    </row>
    <row r="3853" spans="10:12" x14ac:dyDescent="0.3">
      <c r="J3853">
        <v>3830</v>
      </c>
      <c r="K3853" s="10">
        <v>0.22696196601704971</v>
      </c>
      <c r="L3853" s="10">
        <v>0.13146861554520534</v>
      </c>
    </row>
    <row r="3854" spans="10:12" x14ac:dyDescent="0.3">
      <c r="J3854">
        <v>3831</v>
      </c>
      <c r="K3854" s="10">
        <v>0.18956894691071191</v>
      </c>
      <c r="L3854" s="10">
        <v>0.33092849414312059</v>
      </c>
    </row>
    <row r="3855" spans="10:12" x14ac:dyDescent="0.3">
      <c r="J3855">
        <v>3832</v>
      </c>
      <c r="K3855" s="10">
        <v>0.24559517805474709</v>
      </c>
      <c r="L3855" s="10">
        <v>-8.3336426914317308E-2</v>
      </c>
    </row>
    <row r="3856" spans="10:12" x14ac:dyDescent="0.3">
      <c r="J3856">
        <v>3833</v>
      </c>
      <c r="K3856" s="10">
        <v>0.23093640755787953</v>
      </c>
      <c r="L3856" s="10">
        <v>0.11516709431949486</v>
      </c>
    </row>
    <row r="3857" spans="10:12" x14ac:dyDescent="0.3">
      <c r="J3857">
        <v>3834</v>
      </c>
      <c r="K3857" s="10">
        <v>0.22702186957039625</v>
      </c>
      <c r="L3857" s="10">
        <v>0.26899797487397409</v>
      </c>
    </row>
    <row r="3858" spans="10:12" x14ac:dyDescent="0.3">
      <c r="J3858">
        <v>3835</v>
      </c>
      <c r="K3858" s="10">
        <v>0.23235422211013762</v>
      </c>
      <c r="L3858" s="10">
        <v>0.17706816064467393</v>
      </c>
    </row>
    <row r="3859" spans="10:12" x14ac:dyDescent="0.3">
      <c r="J3859">
        <v>3836</v>
      </c>
      <c r="K3859" s="10">
        <v>0.20980683875829462</v>
      </c>
      <c r="L3859" s="10">
        <v>0.53175350623894402</v>
      </c>
    </row>
    <row r="3860" spans="10:12" x14ac:dyDescent="0.3">
      <c r="J3860">
        <v>3837</v>
      </c>
      <c r="K3860" s="10">
        <v>0.23145510494997487</v>
      </c>
      <c r="L3860" s="10">
        <v>0.33051558187155056</v>
      </c>
    </row>
    <row r="3861" spans="10:12" x14ac:dyDescent="0.3">
      <c r="J3861">
        <v>3838</v>
      </c>
      <c r="K3861" s="10">
        <v>0.19337834733636802</v>
      </c>
      <c r="L3861" s="10">
        <v>0.25425533890569202</v>
      </c>
    </row>
    <row r="3862" spans="10:12" x14ac:dyDescent="0.3">
      <c r="J3862">
        <v>3839</v>
      </c>
      <c r="K3862" s="10">
        <v>0.19932299401050194</v>
      </c>
      <c r="L3862" s="10">
        <v>0.39364918220919481</v>
      </c>
    </row>
    <row r="3863" spans="10:12" x14ac:dyDescent="0.3">
      <c r="J3863">
        <v>3840</v>
      </c>
      <c r="K3863" s="10">
        <v>0.2206958606194489</v>
      </c>
      <c r="L3863" s="10">
        <v>0.24345369469804432</v>
      </c>
    </row>
    <row r="3864" spans="10:12" x14ac:dyDescent="0.3">
      <c r="J3864">
        <v>3841</v>
      </c>
      <c r="K3864" s="10">
        <v>0.19127978232654946</v>
      </c>
      <c r="L3864" s="10">
        <v>0.29723567682925761</v>
      </c>
    </row>
    <row r="3865" spans="10:12" x14ac:dyDescent="0.3">
      <c r="J3865">
        <v>3842</v>
      </c>
      <c r="K3865" s="10">
        <v>0.21611486075943709</v>
      </c>
      <c r="L3865" s="10">
        <v>9.4470862495475344E-2</v>
      </c>
    </row>
    <row r="3866" spans="10:12" x14ac:dyDescent="0.3">
      <c r="J3866">
        <v>3843</v>
      </c>
      <c r="K3866" s="10">
        <v>0.19144000458690347</v>
      </c>
      <c r="L3866" s="10">
        <v>0.37260048951154096</v>
      </c>
    </row>
    <row r="3867" spans="10:12" x14ac:dyDescent="0.3">
      <c r="J3867">
        <v>3844</v>
      </c>
      <c r="K3867" s="10">
        <v>0.19486507696337657</v>
      </c>
      <c r="L3867" s="10">
        <v>0.18806172459373757</v>
      </c>
    </row>
    <row r="3868" spans="10:12" x14ac:dyDescent="0.3">
      <c r="J3868">
        <v>3845</v>
      </c>
      <c r="K3868" s="10">
        <v>0.20612259642355804</v>
      </c>
      <c r="L3868" s="10">
        <v>0.10988634382384596</v>
      </c>
    </row>
    <row r="3869" spans="10:12" x14ac:dyDescent="0.3">
      <c r="J3869">
        <v>3846</v>
      </c>
      <c r="K3869" s="10">
        <v>0.24814613291445878</v>
      </c>
      <c r="L3869" s="10">
        <v>-7.2780543402529554E-2</v>
      </c>
    </row>
    <row r="3870" spans="10:12" x14ac:dyDescent="0.3">
      <c r="J3870">
        <v>3847</v>
      </c>
      <c r="K3870" s="10">
        <v>0.1942175536848805</v>
      </c>
      <c r="L3870" s="10">
        <v>0.22168865051277326</v>
      </c>
    </row>
    <row r="3871" spans="10:12" x14ac:dyDescent="0.3">
      <c r="J3871">
        <v>3848</v>
      </c>
      <c r="K3871" s="10">
        <v>0.19533336287289454</v>
      </c>
      <c r="L3871" s="10">
        <v>0.24302791569887056</v>
      </c>
    </row>
    <row r="3872" spans="10:12" x14ac:dyDescent="0.3">
      <c r="J3872">
        <v>3849</v>
      </c>
      <c r="K3872" s="10">
        <v>0.19525425684087735</v>
      </c>
      <c r="L3872" s="10">
        <v>0.28577684534533271</v>
      </c>
    </row>
    <row r="3873" spans="10:12" x14ac:dyDescent="0.3">
      <c r="J3873">
        <v>3850</v>
      </c>
      <c r="K3873" s="10">
        <v>0.2031692886274846</v>
      </c>
      <c r="L3873" s="10">
        <v>0.23198372999611858</v>
      </c>
    </row>
    <row r="3874" spans="10:12" x14ac:dyDescent="0.3">
      <c r="J3874">
        <v>3851</v>
      </c>
      <c r="K3874" s="10">
        <v>0.19581256885847029</v>
      </c>
      <c r="L3874" s="10">
        <v>0.1768102935365003</v>
      </c>
    </row>
    <row r="3875" spans="10:12" x14ac:dyDescent="0.3">
      <c r="J3875">
        <v>3852</v>
      </c>
      <c r="K3875" s="10">
        <v>0.20025635339158251</v>
      </c>
      <c r="L3875" s="10">
        <v>0.16301827605477534</v>
      </c>
    </row>
    <row r="3876" spans="10:12" x14ac:dyDescent="0.3">
      <c r="J3876">
        <v>3853</v>
      </c>
      <c r="K3876" s="10">
        <v>0.22237687206414608</v>
      </c>
      <c r="L3876" s="10">
        <v>5.2104860449414467E-2</v>
      </c>
    </row>
    <row r="3877" spans="10:12" x14ac:dyDescent="0.3">
      <c r="J3877">
        <v>3854</v>
      </c>
      <c r="K3877" s="10">
        <v>0.26701372619050939</v>
      </c>
      <c r="L3877" s="10">
        <v>-1.6120448333518285E-3</v>
      </c>
    </row>
    <row r="3878" spans="10:12" x14ac:dyDescent="0.3">
      <c r="J3878">
        <v>3855</v>
      </c>
      <c r="K3878" s="10">
        <v>0.20446678546935543</v>
      </c>
      <c r="L3878" s="10">
        <v>0.50763101560665114</v>
      </c>
    </row>
    <row r="3879" spans="10:12" x14ac:dyDescent="0.3">
      <c r="J3879">
        <v>3856</v>
      </c>
      <c r="K3879" s="10">
        <v>0.25080145493788042</v>
      </c>
      <c r="L3879" s="10">
        <v>-5.8553471182485245E-2</v>
      </c>
    </row>
    <row r="3880" spans="10:12" x14ac:dyDescent="0.3">
      <c r="J3880">
        <v>3857</v>
      </c>
      <c r="K3880" s="10">
        <v>0.22867737523106524</v>
      </c>
      <c r="L3880" s="10">
        <v>0.12701964696956403</v>
      </c>
    </row>
    <row r="3881" spans="10:12" x14ac:dyDescent="0.3">
      <c r="J3881">
        <v>3858</v>
      </c>
      <c r="K3881" s="10">
        <v>0.20448045073160787</v>
      </c>
      <c r="L3881" s="10">
        <v>0.12319539878529662</v>
      </c>
    </row>
    <row r="3882" spans="10:12" x14ac:dyDescent="0.3">
      <c r="J3882">
        <v>3859</v>
      </c>
      <c r="K3882" s="10">
        <v>0.23733320375380784</v>
      </c>
      <c r="L3882" s="10">
        <v>0.29498313865272535</v>
      </c>
    </row>
    <row r="3883" spans="10:12" x14ac:dyDescent="0.3">
      <c r="J3883">
        <v>3860</v>
      </c>
      <c r="K3883" s="10">
        <v>0.19308346227949563</v>
      </c>
      <c r="L3883" s="10">
        <v>0.38256099356939899</v>
      </c>
    </row>
    <row r="3884" spans="10:12" x14ac:dyDescent="0.3">
      <c r="J3884">
        <v>3861</v>
      </c>
      <c r="K3884" s="10">
        <v>0.20481347163838937</v>
      </c>
      <c r="L3884" s="10">
        <v>0.12030795214816511</v>
      </c>
    </row>
    <row r="3885" spans="10:12" x14ac:dyDescent="0.3">
      <c r="J3885">
        <v>3862</v>
      </c>
      <c r="K3885" s="10">
        <v>0.28886864725233485</v>
      </c>
      <c r="L3885" s="10">
        <v>1.3571383380512293E-2</v>
      </c>
    </row>
    <row r="3886" spans="10:12" x14ac:dyDescent="0.3">
      <c r="J3886">
        <v>3863</v>
      </c>
      <c r="K3886" s="10">
        <v>0.21625087646178368</v>
      </c>
      <c r="L3886" s="10">
        <v>0.36089100137843794</v>
      </c>
    </row>
    <row r="3887" spans="10:12" x14ac:dyDescent="0.3">
      <c r="J3887">
        <v>3864</v>
      </c>
      <c r="K3887" s="10">
        <v>0.22445392490336319</v>
      </c>
      <c r="L3887" s="10">
        <v>0.46693919683936913</v>
      </c>
    </row>
    <row r="3888" spans="10:12" x14ac:dyDescent="0.3">
      <c r="J3888">
        <v>3865</v>
      </c>
      <c r="K3888" s="10">
        <v>0.27009256723488129</v>
      </c>
      <c r="L3888" s="10">
        <v>0.17359240781821739</v>
      </c>
    </row>
    <row r="3889" spans="10:12" x14ac:dyDescent="0.3">
      <c r="J3889">
        <v>3866</v>
      </c>
      <c r="K3889" s="10">
        <v>0.19107813418024769</v>
      </c>
      <c r="L3889" s="10">
        <v>0.28798735434431694</v>
      </c>
    </row>
    <row r="3890" spans="10:12" x14ac:dyDescent="0.3">
      <c r="J3890">
        <v>3867</v>
      </c>
      <c r="K3890" s="10">
        <v>0.21649341099736472</v>
      </c>
      <c r="L3890" s="10">
        <v>0.42703680208498851</v>
      </c>
    </row>
    <row r="3891" spans="10:12" x14ac:dyDescent="0.3">
      <c r="J3891">
        <v>3868</v>
      </c>
      <c r="K3891" s="10">
        <v>0.26319359758061089</v>
      </c>
      <c r="L3891" s="10">
        <v>0.17832947183217346</v>
      </c>
    </row>
    <row r="3892" spans="10:12" x14ac:dyDescent="0.3">
      <c r="J3892">
        <v>3869</v>
      </c>
      <c r="K3892" s="10">
        <v>0.19756372844778872</v>
      </c>
      <c r="L3892" s="10">
        <v>0.4290686461205272</v>
      </c>
    </row>
    <row r="3893" spans="10:12" x14ac:dyDescent="0.3">
      <c r="J3893">
        <v>3870</v>
      </c>
      <c r="K3893" s="10">
        <v>0.19180552336116619</v>
      </c>
      <c r="L3893" s="10">
        <v>0.3261055142572209</v>
      </c>
    </row>
    <row r="3894" spans="10:12" x14ac:dyDescent="0.3">
      <c r="J3894">
        <v>3871</v>
      </c>
      <c r="K3894" s="10">
        <v>0.2372583189743088</v>
      </c>
      <c r="L3894" s="10">
        <v>1.8509865291151964E-2</v>
      </c>
    </row>
    <row r="3895" spans="10:12" x14ac:dyDescent="0.3">
      <c r="J3895">
        <v>3872</v>
      </c>
      <c r="K3895" s="10">
        <v>0.19865853750434093</v>
      </c>
      <c r="L3895" s="10">
        <v>0.16148634790430866</v>
      </c>
    </row>
    <row r="3896" spans="10:12" x14ac:dyDescent="0.3">
      <c r="J3896">
        <v>3873</v>
      </c>
      <c r="K3896" s="10">
        <v>0.19873792615760219</v>
      </c>
      <c r="L3896" s="10">
        <v>0.20680606172394822</v>
      </c>
    </row>
    <row r="3897" spans="10:12" x14ac:dyDescent="0.3">
      <c r="J3897">
        <v>3874</v>
      </c>
      <c r="K3897" s="10">
        <v>0.19152186267040908</v>
      </c>
      <c r="L3897" s="10">
        <v>0.24453654786188611</v>
      </c>
    </row>
    <row r="3898" spans="10:12" x14ac:dyDescent="0.3">
      <c r="J3898">
        <v>3875</v>
      </c>
      <c r="K3898" s="10">
        <v>0.21759449908481338</v>
      </c>
      <c r="L3898" s="10">
        <v>0.54038403910320787</v>
      </c>
    </row>
    <row r="3899" spans="10:12" x14ac:dyDescent="0.3">
      <c r="J3899">
        <v>3876</v>
      </c>
      <c r="K3899" s="10">
        <v>0.2079842935932982</v>
      </c>
      <c r="L3899" s="10">
        <v>0.40458333923144435</v>
      </c>
    </row>
    <row r="3900" spans="10:12" x14ac:dyDescent="0.3">
      <c r="J3900">
        <v>3877</v>
      </c>
      <c r="K3900" s="10">
        <v>0.2091293293626113</v>
      </c>
      <c r="L3900" s="10">
        <v>0.17481027084960113</v>
      </c>
    </row>
    <row r="3901" spans="10:12" x14ac:dyDescent="0.3">
      <c r="J3901">
        <v>3878</v>
      </c>
      <c r="K3901" s="10">
        <v>0.22368539615319993</v>
      </c>
      <c r="L3901" s="10">
        <v>0.31863485019341631</v>
      </c>
    </row>
    <row r="3902" spans="10:12" x14ac:dyDescent="0.3">
      <c r="J3902">
        <v>3879</v>
      </c>
      <c r="K3902" s="10">
        <v>0.228057368480617</v>
      </c>
      <c r="L3902" s="10">
        <v>0.63440566972466539</v>
      </c>
    </row>
    <row r="3903" spans="10:12" x14ac:dyDescent="0.3">
      <c r="J3903">
        <v>3880</v>
      </c>
      <c r="K3903" s="10">
        <v>0.24118476642667838</v>
      </c>
      <c r="L3903" s="10">
        <v>-7.8822431079038788E-2</v>
      </c>
    </row>
    <row r="3904" spans="10:12" x14ac:dyDescent="0.3">
      <c r="J3904">
        <v>3881</v>
      </c>
      <c r="K3904" s="10">
        <v>0.18874440439549531</v>
      </c>
      <c r="L3904" s="10">
        <v>0.31913269868934308</v>
      </c>
    </row>
    <row r="3905" spans="10:12" x14ac:dyDescent="0.3">
      <c r="J3905">
        <v>3882</v>
      </c>
      <c r="K3905" s="10">
        <v>0.21092664012994794</v>
      </c>
      <c r="L3905" s="10">
        <v>6.9833770652748539E-2</v>
      </c>
    </row>
    <row r="3906" spans="10:12" x14ac:dyDescent="0.3">
      <c r="J3906">
        <v>3883</v>
      </c>
      <c r="K3906" s="10">
        <v>0.20973310861426933</v>
      </c>
      <c r="L3906" s="10">
        <v>0.12275868358882448</v>
      </c>
    </row>
    <row r="3907" spans="10:12" x14ac:dyDescent="0.3">
      <c r="J3907">
        <v>3884</v>
      </c>
      <c r="K3907" s="10">
        <v>0.20900026766956187</v>
      </c>
      <c r="L3907" s="10">
        <v>0.52789777003731353</v>
      </c>
    </row>
    <row r="3908" spans="10:12" x14ac:dyDescent="0.3">
      <c r="J3908">
        <v>3885</v>
      </c>
      <c r="K3908" s="10">
        <v>0.18878219866434826</v>
      </c>
      <c r="L3908" s="10">
        <v>0.29239726898175517</v>
      </c>
    </row>
    <row r="3909" spans="10:12" x14ac:dyDescent="0.3">
      <c r="J3909">
        <v>3886</v>
      </c>
      <c r="K3909" s="10">
        <v>0.20745304495000683</v>
      </c>
      <c r="L3909" s="10">
        <v>0.44290805948427958</v>
      </c>
    </row>
    <row r="3910" spans="10:12" x14ac:dyDescent="0.3">
      <c r="J3910">
        <v>3887</v>
      </c>
      <c r="K3910" s="10">
        <v>0.19180344965832105</v>
      </c>
      <c r="L3910" s="10">
        <v>0.31422792504026015</v>
      </c>
    </row>
    <row r="3911" spans="10:12" x14ac:dyDescent="0.3">
      <c r="J3911">
        <v>3888</v>
      </c>
      <c r="K3911" s="10">
        <v>0.22783417951299517</v>
      </c>
      <c r="L3911" s="10">
        <v>-1.8520103105847507E-2</v>
      </c>
    </row>
    <row r="3912" spans="10:12" x14ac:dyDescent="0.3">
      <c r="J3912">
        <v>3889</v>
      </c>
      <c r="K3912" s="10">
        <v>0.19954631827653752</v>
      </c>
      <c r="L3912" s="10">
        <v>0.22990281888001621</v>
      </c>
    </row>
    <row r="3913" spans="10:12" x14ac:dyDescent="0.3">
      <c r="J3913">
        <v>3890</v>
      </c>
      <c r="K3913" s="10">
        <v>0.19673415615814388</v>
      </c>
      <c r="L3913" s="10">
        <v>0.1949318214223224</v>
      </c>
    </row>
    <row r="3914" spans="10:12" x14ac:dyDescent="0.3">
      <c r="J3914">
        <v>3891</v>
      </c>
      <c r="K3914" s="10">
        <v>0.21888861176768556</v>
      </c>
      <c r="L3914" s="10">
        <v>0.10920075667331006</v>
      </c>
    </row>
    <row r="3915" spans="10:12" x14ac:dyDescent="0.3">
      <c r="J3915">
        <v>3892</v>
      </c>
      <c r="K3915" s="10">
        <v>0.19885167748853638</v>
      </c>
      <c r="L3915" s="10">
        <v>0.24749481693776001</v>
      </c>
    </row>
    <row r="3916" spans="10:12" x14ac:dyDescent="0.3">
      <c r="J3916">
        <v>3893</v>
      </c>
      <c r="K3916" s="10">
        <v>0.23619162343865024</v>
      </c>
      <c r="L3916" s="10">
        <v>-3.7896651854034472E-2</v>
      </c>
    </row>
    <row r="3917" spans="10:12" x14ac:dyDescent="0.3">
      <c r="J3917">
        <v>3894</v>
      </c>
      <c r="K3917" s="10">
        <v>0.20731453665497895</v>
      </c>
      <c r="L3917" s="10">
        <v>0.52135884988982006</v>
      </c>
    </row>
    <row r="3918" spans="10:12" x14ac:dyDescent="0.3">
      <c r="J3918">
        <v>3895</v>
      </c>
      <c r="K3918" s="10">
        <v>0.20856800570196815</v>
      </c>
      <c r="L3918" s="10">
        <v>0.15115650412015041</v>
      </c>
    </row>
    <row r="3919" spans="10:12" x14ac:dyDescent="0.3">
      <c r="J3919">
        <v>3896</v>
      </c>
      <c r="K3919" s="10">
        <v>0.20391129319327661</v>
      </c>
      <c r="L3919" s="10">
        <v>0.47645432940736304</v>
      </c>
    </row>
    <row r="3920" spans="10:12" x14ac:dyDescent="0.3">
      <c r="J3920">
        <v>3897</v>
      </c>
      <c r="K3920" s="10">
        <v>0.19428022341810747</v>
      </c>
      <c r="L3920" s="10">
        <v>0.23896245358302343</v>
      </c>
    </row>
    <row r="3921" spans="10:12" x14ac:dyDescent="0.3">
      <c r="J3921">
        <v>3898</v>
      </c>
      <c r="K3921" s="10">
        <v>0.21898152614225572</v>
      </c>
      <c r="L3921" s="10">
        <v>2.2022009066540706E-2</v>
      </c>
    </row>
    <row r="3922" spans="10:12" x14ac:dyDescent="0.3">
      <c r="J3922">
        <v>3899</v>
      </c>
      <c r="K3922" s="10">
        <v>0.20223854071497627</v>
      </c>
      <c r="L3922" s="10">
        <v>0.14672674965645105</v>
      </c>
    </row>
    <row r="3923" spans="10:12" x14ac:dyDescent="0.3">
      <c r="J3923">
        <v>3900</v>
      </c>
      <c r="K3923" s="10">
        <v>0.20205138391330868</v>
      </c>
      <c r="L3923" s="10">
        <v>0.25154318819282151</v>
      </c>
    </row>
    <row r="3924" spans="10:12" x14ac:dyDescent="0.3">
      <c r="J3924">
        <v>3901</v>
      </c>
      <c r="K3924" s="10">
        <v>0.20878726147651541</v>
      </c>
      <c r="L3924" s="10">
        <v>0.14628402456833295</v>
      </c>
    </row>
    <row r="3925" spans="10:12" x14ac:dyDescent="0.3">
      <c r="J3925">
        <v>3902</v>
      </c>
      <c r="K3925" s="10">
        <v>0.20136323253727961</v>
      </c>
      <c r="L3925" s="10">
        <v>0.12673938205573318</v>
      </c>
    </row>
    <row r="3926" spans="10:12" x14ac:dyDescent="0.3">
      <c r="J3926">
        <v>3903</v>
      </c>
      <c r="K3926" s="10">
        <v>0.21214721708813231</v>
      </c>
      <c r="L3926" s="10">
        <v>0.14008513525764443</v>
      </c>
    </row>
    <row r="3927" spans="10:12" x14ac:dyDescent="0.3">
      <c r="J3927">
        <v>3904</v>
      </c>
      <c r="K3927" s="10">
        <v>0.20017330343708428</v>
      </c>
      <c r="L3927" s="10">
        <v>0.42443339770436556</v>
      </c>
    </row>
    <row r="3928" spans="10:12" x14ac:dyDescent="0.3">
      <c r="J3928">
        <v>3905</v>
      </c>
      <c r="K3928" s="10">
        <v>0.21537536755962708</v>
      </c>
      <c r="L3928" s="10">
        <v>0.12158659003665973</v>
      </c>
    </row>
    <row r="3929" spans="10:12" x14ac:dyDescent="0.3">
      <c r="J3929">
        <v>3906</v>
      </c>
      <c r="K3929" s="10">
        <v>0.19650442497061663</v>
      </c>
      <c r="L3929" s="10">
        <v>0.3780037501078316</v>
      </c>
    </row>
    <row r="3930" spans="10:12" x14ac:dyDescent="0.3">
      <c r="J3930">
        <v>3907</v>
      </c>
      <c r="K3930" s="10">
        <v>0.20215621271764936</v>
      </c>
      <c r="L3930" s="10">
        <v>0.38559676354269706</v>
      </c>
    </row>
    <row r="3931" spans="10:12" x14ac:dyDescent="0.3">
      <c r="J3931">
        <v>3908</v>
      </c>
      <c r="K3931" s="10">
        <v>0.19956504153244295</v>
      </c>
      <c r="L3931" s="10">
        <v>0.16703832167339144</v>
      </c>
    </row>
    <row r="3932" spans="10:12" x14ac:dyDescent="0.3">
      <c r="J3932">
        <v>3909</v>
      </c>
      <c r="K3932" s="10">
        <v>0.20864347624520557</v>
      </c>
      <c r="L3932" s="10">
        <v>0.10305484445470262</v>
      </c>
    </row>
    <row r="3933" spans="10:12" x14ac:dyDescent="0.3">
      <c r="J3933">
        <v>3910</v>
      </c>
      <c r="K3933" s="10">
        <v>0.20596157364463227</v>
      </c>
      <c r="L3933" s="10">
        <v>0.14314115079576872</v>
      </c>
    </row>
    <row r="3934" spans="10:12" x14ac:dyDescent="0.3">
      <c r="J3934">
        <v>3911</v>
      </c>
      <c r="K3934" s="10">
        <v>0.1899031943095652</v>
      </c>
      <c r="L3934" s="10">
        <v>0.35032093662071562</v>
      </c>
    </row>
    <row r="3935" spans="10:12" x14ac:dyDescent="0.3">
      <c r="J3935">
        <v>3912</v>
      </c>
      <c r="K3935" s="10">
        <v>0.28739948044630553</v>
      </c>
      <c r="L3935" s="10">
        <v>7.5400025896416825E-2</v>
      </c>
    </row>
    <row r="3936" spans="10:12" x14ac:dyDescent="0.3">
      <c r="J3936">
        <v>3913</v>
      </c>
      <c r="K3936" s="10">
        <v>0.20747817415282532</v>
      </c>
      <c r="L3936" s="10">
        <v>0.34802544068163582</v>
      </c>
    </row>
    <row r="3937" spans="10:12" x14ac:dyDescent="0.3">
      <c r="J3937">
        <v>3914</v>
      </c>
      <c r="K3937" s="10">
        <v>0.23737506801625455</v>
      </c>
      <c r="L3937" s="10">
        <v>0.20235970439694004</v>
      </c>
    </row>
    <row r="3938" spans="10:12" x14ac:dyDescent="0.3">
      <c r="J3938">
        <v>3915</v>
      </c>
      <c r="K3938" s="10">
        <v>0.25168952494774943</v>
      </c>
      <c r="L3938" s="10">
        <v>-9.2009438666785362E-2</v>
      </c>
    </row>
    <row r="3939" spans="10:12" x14ac:dyDescent="0.3">
      <c r="J3939">
        <v>3916</v>
      </c>
      <c r="K3939" s="10">
        <v>0.29256962921788482</v>
      </c>
      <c r="L3939" s="10">
        <v>-6.3667342838164165E-2</v>
      </c>
    </row>
    <row r="3940" spans="10:12" x14ac:dyDescent="0.3">
      <c r="J3940">
        <v>3917</v>
      </c>
      <c r="K3940" s="10">
        <v>0.19844619312044059</v>
      </c>
      <c r="L3940" s="10">
        <v>0.29099003554880087</v>
      </c>
    </row>
    <row r="3941" spans="10:12" x14ac:dyDescent="0.3">
      <c r="J3941">
        <v>3918</v>
      </c>
      <c r="K3941" s="10">
        <v>0.22054540516056809</v>
      </c>
      <c r="L3941" s="10">
        <v>0.38919040719535003</v>
      </c>
    </row>
    <row r="3942" spans="10:12" x14ac:dyDescent="0.3">
      <c r="J3942">
        <v>3919</v>
      </c>
      <c r="K3942" s="10">
        <v>0.23995612290300433</v>
      </c>
      <c r="L3942" s="10">
        <v>-1.123803670599384E-2</v>
      </c>
    </row>
    <row r="3943" spans="10:12" x14ac:dyDescent="0.3">
      <c r="J3943">
        <v>3920</v>
      </c>
      <c r="K3943" s="10">
        <v>0.23137844522027332</v>
      </c>
      <c r="L3943" s="10">
        <v>-1.2826449787048486E-2</v>
      </c>
    </row>
    <row r="3944" spans="10:12" x14ac:dyDescent="0.3">
      <c r="J3944">
        <v>3921</v>
      </c>
      <c r="K3944" s="10">
        <v>0.26151068046774084</v>
      </c>
      <c r="L3944" s="10">
        <v>5.7033593909346474E-3</v>
      </c>
    </row>
    <row r="3945" spans="10:12" x14ac:dyDescent="0.3">
      <c r="J3945">
        <v>3922</v>
      </c>
      <c r="K3945" s="10">
        <v>0.20820366133437121</v>
      </c>
      <c r="L3945" s="10">
        <v>0.15789309859904191</v>
      </c>
    </row>
    <row r="3946" spans="10:12" x14ac:dyDescent="0.3">
      <c r="J3946">
        <v>3923</v>
      </c>
      <c r="K3946" s="10">
        <v>0.23562033975434554</v>
      </c>
      <c r="L3946" s="10">
        <v>0.12768394549248091</v>
      </c>
    </row>
    <row r="3947" spans="10:12" x14ac:dyDescent="0.3">
      <c r="J3947">
        <v>3924</v>
      </c>
      <c r="K3947" s="10">
        <v>0.24816712431640423</v>
      </c>
      <c r="L3947" s="10">
        <v>0.28343690861494691</v>
      </c>
    </row>
    <row r="3948" spans="10:12" x14ac:dyDescent="0.3">
      <c r="J3948">
        <v>3925</v>
      </c>
      <c r="K3948" s="10">
        <v>0.23627744851183591</v>
      </c>
      <c r="L3948" s="10">
        <v>0.30071804642585098</v>
      </c>
    </row>
    <row r="3949" spans="10:12" x14ac:dyDescent="0.3">
      <c r="J3949">
        <v>3926</v>
      </c>
      <c r="K3949" s="10">
        <v>0.24264587568600149</v>
      </c>
      <c r="L3949" s="10">
        <v>-6.9951456395570988E-2</v>
      </c>
    </row>
    <row r="3950" spans="10:12" x14ac:dyDescent="0.3">
      <c r="J3950">
        <v>3927</v>
      </c>
      <c r="K3950" s="10">
        <v>0.21285172056217944</v>
      </c>
      <c r="L3950" s="10">
        <v>0.31283483208939966</v>
      </c>
    </row>
    <row r="3951" spans="10:12" x14ac:dyDescent="0.3">
      <c r="J3951">
        <v>3928</v>
      </c>
      <c r="K3951" s="10">
        <v>0.20392064163693527</v>
      </c>
      <c r="L3951" s="10">
        <v>0.49387206946776208</v>
      </c>
    </row>
    <row r="3952" spans="10:12" x14ac:dyDescent="0.3">
      <c r="J3952">
        <v>3929</v>
      </c>
      <c r="K3952" s="10">
        <v>0.24266928001982357</v>
      </c>
      <c r="L3952" s="10">
        <v>-1.0760155498261856E-2</v>
      </c>
    </row>
    <row r="3953" spans="10:12" x14ac:dyDescent="0.3">
      <c r="J3953">
        <v>3930</v>
      </c>
      <c r="K3953" s="10">
        <v>0.1995655458038679</v>
      </c>
      <c r="L3953" s="10">
        <v>0.34772187097124135</v>
      </c>
    </row>
    <row r="3954" spans="10:12" x14ac:dyDescent="0.3">
      <c r="J3954">
        <v>3931</v>
      </c>
      <c r="K3954" s="10">
        <v>0.18968773620837898</v>
      </c>
      <c r="L3954" s="10">
        <v>0.34888395217998347</v>
      </c>
    </row>
    <row r="3955" spans="10:12" x14ac:dyDescent="0.3">
      <c r="J3955">
        <v>3932</v>
      </c>
      <c r="K3955" s="10">
        <v>0.20319638995624356</v>
      </c>
      <c r="L3955" s="10">
        <v>0.33665856928552074</v>
      </c>
    </row>
    <row r="3956" spans="10:12" x14ac:dyDescent="0.3">
      <c r="J3956">
        <v>3933</v>
      </c>
      <c r="K3956" s="10">
        <v>0.21321373516112735</v>
      </c>
      <c r="L3956" s="10">
        <v>0.17466447127023677</v>
      </c>
    </row>
    <row r="3957" spans="10:12" x14ac:dyDescent="0.3">
      <c r="J3957">
        <v>3934</v>
      </c>
      <c r="K3957" s="10">
        <v>0.1942599741732382</v>
      </c>
      <c r="L3957" s="10">
        <v>0.2399242351316421</v>
      </c>
    </row>
    <row r="3958" spans="10:12" x14ac:dyDescent="0.3">
      <c r="J3958">
        <v>3935</v>
      </c>
      <c r="K3958" s="10">
        <v>0.20923370264637262</v>
      </c>
      <c r="L3958" s="10">
        <v>0.10045047868409675</v>
      </c>
    </row>
    <row r="3959" spans="10:12" x14ac:dyDescent="0.3">
      <c r="J3959">
        <v>3936</v>
      </c>
      <c r="K3959" s="10">
        <v>0.24136376707474405</v>
      </c>
      <c r="L3959" s="10">
        <v>0.21545543911752399</v>
      </c>
    </row>
    <row r="3960" spans="10:12" x14ac:dyDescent="0.3">
      <c r="J3960">
        <v>3937</v>
      </c>
      <c r="K3960" s="10">
        <v>0.1914338628829701</v>
      </c>
      <c r="L3960" s="10">
        <v>0.29682354672712274</v>
      </c>
    </row>
    <row r="3961" spans="10:12" x14ac:dyDescent="0.3">
      <c r="J3961">
        <v>3938</v>
      </c>
      <c r="K3961" s="10">
        <v>0.20903306604429422</v>
      </c>
      <c r="L3961" s="10">
        <v>0.10877709661744477</v>
      </c>
    </row>
    <row r="3962" spans="10:12" x14ac:dyDescent="0.3">
      <c r="J3962">
        <v>3939</v>
      </c>
      <c r="K3962" s="10">
        <v>0.24952823485345704</v>
      </c>
      <c r="L3962" s="10">
        <v>0.2312774311691152</v>
      </c>
    </row>
    <row r="3963" spans="10:12" x14ac:dyDescent="0.3">
      <c r="J3963">
        <v>3940</v>
      </c>
      <c r="K3963" s="10">
        <v>0.19541112481662598</v>
      </c>
      <c r="L3963" s="10">
        <v>0.21021168013416991</v>
      </c>
    </row>
    <row r="3964" spans="10:12" x14ac:dyDescent="0.3">
      <c r="J3964">
        <v>3941</v>
      </c>
      <c r="K3964" s="10">
        <v>0.19635300906138312</v>
      </c>
      <c r="L3964" s="10">
        <v>0.18775334880335551</v>
      </c>
    </row>
    <row r="3965" spans="10:12" x14ac:dyDescent="0.3">
      <c r="J3965">
        <v>3942</v>
      </c>
      <c r="K3965" s="10">
        <v>0.23401256801927062</v>
      </c>
      <c r="L3965" s="10">
        <v>0.10635124839296102</v>
      </c>
    </row>
    <row r="3966" spans="10:12" x14ac:dyDescent="0.3">
      <c r="J3966">
        <v>3943</v>
      </c>
      <c r="K3966" s="10">
        <v>0.2310107386446042</v>
      </c>
      <c r="L3966" s="10">
        <v>5.4734659908119175E-2</v>
      </c>
    </row>
    <row r="3967" spans="10:12" x14ac:dyDescent="0.3">
      <c r="J3967">
        <v>3944</v>
      </c>
      <c r="K3967" s="10">
        <v>0.2047654637431644</v>
      </c>
      <c r="L3967" s="10">
        <v>0.50758582279088293</v>
      </c>
    </row>
    <row r="3968" spans="10:12" x14ac:dyDescent="0.3">
      <c r="J3968">
        <v>3945</v>
      </c>
      <c r="K3968" s="10">
        <v>0.23966777082500401</v>
      </c>
      <c r="L3968" s="10">
        <v>3.1008658942113382E-2</v>
      </c>
    </row>
    <row r="3969" spans="10:12" x14ac:dyDescent="0.3">
      <c r="J3969">
        <v>3946</v>
      </c>
      <c r="K3969" s="10">
        <v>0.21651255672133876</v>
      </c>
      <c r="L3969" s="10">
        <v>0.21548879386631545</v>
      </c>
    </row>
    <row r="3970" spans="10:12" x14ac:dyDescent="0.3">
      <c r="J3970">
        <v>3947</v>
      </c>
      <c r="K3970" s="10">
        <v>0.1961444936928185</v>
      </c>
      <c r="L3970" s="10">
        <v>0.28659770297761289</v>
      </c>
    </row>
    <row r="3971" spans="10:12" x14ac:dyDescent="0.3">
      <c r="J3971">
        <v>3948</v>
      </c>
      <c r="K3971" s="10">
        <v>0.21785086119601837</v>
      </c>
      <c r="L3971" s="10">
        <v>2.7446634101894539E-2</v>
      </c>
    </row>
    <row r="3972" spans="10:12" x14ac:dyDescent="0.3">
      <c r="J3972">
        <v>3949</v>
      </c>
      <c r="K3972" s="10">
        <v>0.26080859615081003</v>
      </c>
      <c r="L3972" s="10">
        <v>-1.159717081019844E-2</v>
      </c>
    </row>
    <row r="3973" spans="10:12" x14ac:dyDescent="0.3">
      <c r="J3973">
        <v>3950</v>
      </c>
      <c r="K3973" s="10">
        <v>0.28064124915073163</v>
      </c>
      <c r="L3973" s="10">
        <v>1.2857141594182102E-2</v>
      </c>
    </row>
    <row r="3974" spans="10:12" x14ac:dyDescent="0.3">
      <c r="J3974">
        <v>3951</v>
      </c>
      <c r="K3974" s="10">
        <v>0.1976083882497108</v>
      </c>
      <c r="L3974" s="10">
        <v>0.34556780935808895</v>
      </c>
    </row>
    <row r="3975" spans="10:12" x14ac:dyDescent="0.3">
      <c r="J3975">
        <v>3952</v>
      </c>
      <c r="K3975" s="10">
        <v>0.23292861174823948</v>
      </c>
      <c r="L3975" s="10">
        <v>-4.3704874195143295E-2</v>
      </c>
    </row>
    <row r="3976" spans="10:12" x14ac:dyDescent="0.3">
      <c r="J3976">
        <v>3953</v>
      </c>
      <c r="K3976" s="10">
        <v>0.25654750959573197</v>
      </c>
      <c r="L3976" s="10">
        <v>0.12937558317216061</v>
      </c>
    </row>
    <row r="3977" spans="10:12" x14ac:dyDescent="0.3">
      <c r="J3977">
        <v>3954</v>
      </c>
      <c r="K3977" s="10">
        <v>0.20292912557080739</v>
      </c>
      <c r="L3977" s="10">
        <v>0.40501237977155069</v>
      </c>
    </row>
    <row r="3978" spans="10:12" x14ac:dyDescent="0.3">
      <c r="J3978">
        <v>3955</v>
      </c>
      <c r="K3978" s="10">
        <v>0.20894050030228445</v>
      </c>
      <c r="L3978" s="10">
        <v>0.38563811830542538</v>
      </c>
    </row>
    <row r="3979" spans="10:12" x14ac:dyDescent="0.3">
      <c r="J3979">
        <v>3956</v>
      </c>
      <c r="K3979" s="10">
        <v>0.19854028380506422</v>
      </c>
      <c r="L3979" s="10">
        <v>0.40059029867354612</v>
      </c>
    </row>
    <row r="3980" spans="10:12" x14ac:dyDescent="0.3">
      <c r="J3980">
        <v>3957</v>
      </c>
      <c r="K3980" s="10">
        <v>0.24629433121290351</v>
      </c>
      <c r="L3980" s="10">
        <v>0.15097913758850526</v>
      </c>
    </row>
    <row r="3981" spans="10:12" x14ac:dyDescent="0.3">
      <c r="J3981">
        <v>3958</v>
      </c>
      <c r="K3981" s="10">
        <v>0.19571096626360579</v>
      </c>
      <c r="L3981" s="10">
        <v>0.21788352451745419</v>
      </c>
    </row>
    <row r="3982" spans="10:12" x14ac:dyDescent="0.3">
      <c r="J3982">
        <v>3959</v>
      </c>
      <c r="K3982" s="10">
        <v>0.19049818137086746</v>
      </c>
      <c r="L3982" s="10">
        <v>0.3219798480451822</v>
      </c>
    </row>
    <row r="3983" spans="10:12" x14ac:dyDescent="0.3">
      <c r="J3983">
        <v>3960</v>
      </c>
      <c r="K3983" s="10">
        <v>0.22854204619775573</v>
      </c>
      <c r="L3983" s="10">
        <v>0.37370549958541127</v>
      </c>
    </row>
    <row r="3984" spans="10:12" x14ac:dyDescent="0.3">
      <c r="J3984">
        <v>3961</v>
      </c>
      <c r="K3984" s="10">
        <v>0.20250662902025959</v>
      </c>
      <c r="L3984" s="10">
        <v>0.19008083531064346</v>
      </c>
    </row>
    <row r="3985" spans="10:12" x14ac:dyDescent="0.3">
      <c r="J3985">
        <v>3962</v>
      </c>
      <c r="K3985" s="10">
        <v>0.19906276678991491</v>
      </c>
      <c r="L3985" s="10">
        <v>0.4205524193033795</v>
      </c>
    </row>
    <row r="3986" spans="10:12" x14ac:dyDescent="0.3">
      <c r="J3986">
        <v>3963</v>
      </c>
      <c r="K3986" s="10">
        <v>0.28487857675421641</v>
      </c>
      <c r="L3986" s="10">
        <v>8.8138034846208399E-2</v>
      </c>
    </row>
    <row r="3987" spans="10:12" x14ac:dyDescent="0.3">
      <c r="J3987">
        <v>3964</v>
      </c>
      <c r="K3987" s="10">
        <v>0.19268758232158326</v>
      </c>
      <c r="L3987" s="10">
        <v>0.24200591193434445</v>
      </c>
    </row>
    <row r="3988" spans="10:12" x14ac:dyDescent="0.3">
      <c r="J3988">
        <v>3965</v>
      </c>
      <c r="K3988" s="10">
        <v>0.20634223735868726</v>
      </c>
      <c r="L3988" s="10">
        <v>0.47284954635141491</v>
      </c>
    </row>
    <row r="3989" spans="10:12" x14ac:dyDescent="0.3">
      <c r="J3989">
        <v>3966</v>
      </c>
      <c r="K3989" s="10">
        <v>0.21974939038349442</v>
      </c>
      <c r="L3989" s="10">
        <v>0.50109722400023327</v>
      </c>
    </row>
    <row r="3990" spans="10:12" x14ac:dyDescent="0.3">
      <c r="J3990">
        <v>3967</v>
      </c>
      <c r="K3990" s="10">
        <v>0.20618215427019171</v>
      </c>
      <c r="L3990" s="10">
        <v>0.16078321804018686</v>
      </c>
    </row>
    <row r="3991" spans="10:12" x14ac:dyDescent="0.3">
      <c r="J3991">
        <v>3968</v>
      </c>
      <c r="K3991" s="10">
        <v>0.22703951648285803</v>
      </c>
      <c r="L3991" s="10">
        <v>0.45891427489677666</v>
      </c>
    </row>
    <row r="3992" spans="10:12" x14ac:dyDescent="0.3">
      <c r="J3992">
        <v>3969</v>
      </c>
      <c r="K3992" s="10">
        <v>0.27281396899764337</v>
      </c>
      <c r="L3992" s="10">
        <v>0.10719099856467094</v>
      </c>
    </row>
    <row r="3993" spans="10:12" x14ac:dyDescent="0.3">
      <c r="J3993">
        <v>3970</v>
      </c>
      <c r="K3993" s="10">
        <v>0.19656324697981883</v>
      </c>
      <c r="L3993" s="10">
        <v>0.19101765378286459</v>
      </c>
    </row>
    <row r="3994" spans="10:12" x14ac:dyDescent="0.3">
      <c r="J3994">
        <v>3971</v>
      </c>
      <c r="K3994" s="10">
        <v>0.22784981373129221</v>
      </c>
      <c r="L3994" s="10">
        <v>9.5336469322605644E-2</v>
      </c>
    </row>
    <row r="3995" spans="10:12" x14ac:dyDescent="0.3">
      <c r="J3995">
        <v>3972</v>
      </c>
      <c r="K3995" s="10">
        <v>0.21827320151779231</v>
      </c>
      <c r="L3995" s="10">
        <v>0.57480343363765651</v>
      </c>
    </row>
    <row r="3996" spans="10:12" x14ac:dyDescent="0.3">
      <c r="J3996">
        <v>3973</v>
      </c>
      <c r="K3996" s="10">
        <v>0.20290912508839534</v>
      </c>
      <c r="L3996" s="10">
        <v>0.19076453378156011</v>
      </c>
    </row>
    <row r="3997" spans="10:12" x14ac:dyDescent="0.3">
      <c r="J3997">
        <v>3974</v>
      </c>
      <c r="K3997" s="10">
        <v>0.19721411620926468</v>
      </c>
      <c r="L3997" s="10">
        <v>0.30285671508527684</v>
      </c>
    </row>
    <row r="3998" spans="10:12" x14ac:dyDescent="0.3">
      <c r="J3998">
        <v>3975</v>
      </c>
      <c r="K3998" s="10">
        <v>0.22431611938570595</v>
      </c>
      <c r="L3998" s="10">
        <v>7.2172727753968866E-2</v>
      </c>
    </row>
    <row r="3999" spans="10:12" x14ac:dyDescent="0.3">
      <c r="J3999">
        <v>3976</v>
      </c>
      <c r="K3999" s="10">
        <v>0.22858765084557961</v>
      </c>
      <c r="L3999" s="10">
        <v>5.8050936002301837E-2</v>
      </c>
    </row>
    <row r="4000" spans="10:12" x14ac:dyDescent="0.3">
      <c r="J4000">
        <v>3977</v>
      </c>
      <c r="K4000" s="10">
        <v>0.20930926464653998</v>
      </c>
      <c r="L4000" s="10">
        <v>0.29495689301254013</v>
      </c>
    </row>
    <row r="4001" spans="10:12" x14ac:dyDescent="0.3">
      <c r="J4001">
        <v>3978</v>
      </c>
      <c r="K4001" s="10">
        <v>0.20607534388797033</v>
      </c>
      <c r="L4001" s="10">
        <v>0.15142333643782349</v>
      </c>
    </row>
    <row r="4002" spans="10:12" x14ac:dyDescent="0.3">
      <c r="J4002">
        <v>3979</v>
      </c>
      <c r="K4002" s="10">
        <v>0.22124762844154011</v>
      </c>
      <c r="L4002" s="10">
        <v>1.8515352225157267E-2</v>
      </c>
    </row>
    <row r="4003" spans="10:12" x14ac:dyDescent="0.3">
      <c r="J4003">
        <v>3980</v>
      </c>
      <c r="K4003" s="10">
        <v>0.22514161365776214</v>
      </c>
      <c r="L4003" s="10">
        <v>0.34672881890010709</v>
      </c>
    </row>
    <row r="4004" spans="10:12" x14ac:dyDescent="0.3">
      <c r="J4004">
        <v>3981</v>
      </c>
      <c r="K4004" s="10">
        <v>0.22290650552771243</v>
      </c>
      <c r="L4004" s="10">
        <v>3.7242750878129088E-3</v>
      </c>
    </row>
    <row r="4005" spans="10:12" x14ac:dyDescent="0.3">
      <c r="J4005">
        <v>3982</v>
      </c>
      <c r="K4005" s="10">
        <v>0.26030779583507152</v>
      </c>
      <c r="L4005" s="10">
        <v>5.6281829038497669E-2</v>
      </c>
    </row>
    <row r="4006" spans="10:12" x14ac:dyDescent="0.3">
      <c r="J4006">
        <v>3983</v>
      </c>
      <c r="K4006" s="10">
        <v>0.21374828691946574</v>
      </c>
      <c r="L4006" s="10">
        <v>0.20525310012947443</v>
      </c>
    </row>
    <row r="4007" spans="10:12" x14ac:dyDescent="0.3">
      <c r="J4007">
        <v>3984</v>
      </c>
      <c r="K4007" s="10">
        <v>0.1923999581899058</v>
      </c>
      <c r="L4007" s="10">
        <v>0.23696548788707728</v>
      </c>
    </row>
    <row r="4008" spans="10:12" x14ac:dyDescent="0.3">
      <c r="J4008">
        <v>3985</v>
      </c>
      <c r="K4008" s="10">
        <v>0.20873350533462884</v>
      </c>
      <c r="L4008" s="10">
        <v>0.35664431104288813</v>
      </c>
    </row>
    <row r="4009" spans="10:12" x14ac:dyDescent="0.3">
      <c r="J4009">
        <v>3986</v>
      </c>
      <c r="K4009" s="10">
        <v>0.2559953682978382</v>
      </c>
      <c r="L4009" s="10">
        <v>0.19984104848954368</v>
      </c>
    </row>
    <row r="4010" spans="10:12" x14ac:dyDescent="0.3">
      <c r="J4010">
        <v>3987</v>
      </c>
      <c r="K4010" s="10">
        <v>0.25799503039195371</v>
      </c>
      <c r="L4010" s="10">
        <v>-9.2372831311771236E-2</v>
      </c>
    </row>
    <row r="4011" spans="10:12" x14ac:dyDescent="0.3">
      <c r="J4011">
        <v>3988</v>
      </c>
      <c r="K4011" s="10">
        <v>0.20303832833569369</v>
      </c>
      <c r="L4011" s="10">
        <v>0.22285841066110695</v>
      </c>
    </row>
    <row r="4012" spans="10:12" x14ac:dyDescent="0.3">
      <c r="J4012">
        <v>3989</v>
      </c>
      <c r="K4012" s="10">
        <v>0.2175545098768947</v>
      </c>
      <c r="L4012" s="10">
        <v>0.57441217236078401</v>
      </c>
    </row>
    <row r="4013" spans="10:12" x14ac:dyDescent="0.3">
      <c r="J4013">
        <v>3990</v>
      </c>
      <c r="K4013" s="10">
        <v>0.24013162730295529</v>
      </c>
      <c r="L4013" s="10">
        <v>0.15025782018361908</v>
      </c>
    </row>
    <row r="4014" spans="10:12" x14ac:dyDescent="0.3">
      <c r="J4014">
        <v>3991</v>
      </c>
      <c r="K4014" s="10">
        <v>0.28991825941941918</v>
      </c>
      <c r="L4014" s="10">
        <v>0.10519287642644377</v>
      </c>
    </row>
    <row r="4015" spans="10:12" x14ac:dyDescent="0.3">
      <c r="J4015">
        <v>3992</v>
      </c>
      <c r="K4015" s="10">
        <v>0.19734740081364607</v>
      </c>
      <c r="L4015" s="10">
        <v>0.25437650636842341</v>
      </c>
    </row>
    <row r="4016" spans="10:12" x14ac:dyDescent="0.3">
      <c r="J4016">
        <v>3993</v>
      </c>
      <c r="K4016" s="10">
        <v>0.22617881489310454</v>
      </c>
      <c r="L4016" s="10">
        <v>0.28340267421265253</v>
      </c>
    </row>
    <row r="4017" spans="10:12" x14ac:dyDescent="0.3">
      <c r="J4017">
        <v>3994</v>
      </c>
      <c r="K4017" s="10">
        <v>0.20043594178234272</v>
      </c>
      <c r="L4017" s="10">
        <v>0.17034607924365461</v>
      </c>
    </row>
    <row r="4018" spans="10:12" x14ac:dyDescent="0.3">
      <c r="J4018">
        <v>3995</v>
      </c>
      <c r="K4018" s="10">
        <v>0.20374263042469221</v>
      </c>
      <c r="L4018" s="10">
        <v>0.23723481706783861</v>
      </c>
    </row>
    <row r="4019" spans="10:12" x14ac:dyDescent="0.3">
      <c r="J4019">
        <v>3996</v>
      </c>
      <c r="K4019" s="10">
        <v>0.20384596045816941</v>
      </c>
      <c r="L4019" s="10">
        <v>0.1562959832156656</v>
      </c>
    </row>
    <row r="4020" spans="10:12" x14ac:dyDescent="0.3">
      <c r="J4020">
        <v>3997</v>
      </c>
      <c r="K4020" s="10">
        <v>0.24982593111652049</v>
      </c>
      <c r="L4020" s="10">
        <v>-7.3104634010722536E-2</v>
      </c>
    </row>
    <row r="4021" spans="10:12" x14ac:dyDescent="0.3">
      <c r="J4021">
        <v>3998</v>
      </c>
      <c r="K4021" s="10">
        <v>0.28569825901631452</v>
      </c>
      <c r="L4021" s="10">
        <v>0.11421877425872132</v>
      </c>
    </row>
    <row r="4022" spans="10:12" x14ac:dyDescent="0.3">
      <c r="J4022">
        <v>3999</v>
      </c>
      <c r="K4022" s="10">
        <v>0.22338751237044352</v>
      </c>
      <c r="L4022" s="10">
        <v>0.28426335669003755</v>
      </c>
    </row>
    <row r="4023" spans="10:12" x14ac:dyDescent="0.3">
      <c r="J4023">
        <v>4000</v>
      </c>
      <c r="K4023" s="10">
        <v>0.2092845772524588</v>
      </c>
      <c r="L4023" s="10">
        <v>9.491129633405393E-2</v>
      </c>
    </row>
    <row r="4024" spans="10:12" x14ac:dyDescent="0.3">
      <c r="J4024">
        <v>4001</v>
      </c>
      <c r="K4024" s="10">
        <v>0.19785521072282414</v>
      </c>
      <c r="L4024" s="10">
        <v>0.22289948869192489</v>
      </c>
    </row>
    <row r="4025" spans="10:12" x14ac:dyDescent="0.3">
      <c r="J4025">
        <v>4002</v>
      </c>
      <c r="K4025" s="10">
        <v>0.21487431730017928</v>
      </c>
      <c r="L4025" s="10">
        <v>4.8789342272928173E-2</v>
      </c>
    </row>
    <row r="4026" spans="10:12" x14ac:dyDescent="0.3">
      <c r="J4026">
        <v>4003</v>
      </c>
      <c r="K4026" s="10">
        <v>0.19084433398446329</v>
      </c>
      <c r="L4026" s="10">
        <v>0.32471319073844684</v>
      </c>
    </row>
    <row r="4027" spans="10:12" x14ac:dyDescent="0.3">
      <c r="J4027">
        <v>4004</v>
      </c>
      <c r="K4027" s="10">
        <v>0.2495902638877858</v>
      </c>
      <c r="L4027" s="10">
        <v>-1.8345582941043222E-2</v>
      </c>
    </row>
    <row r="4028" spans="10:12" x14ac:dyDescent="0.3">
      <c r="J4028">
        <v>4005</v>
      </c>
      <c r="K4028" s="10">
        <v>0.22737991893088588</v>
      </c>
      <c r="L4028" s="10">
        <v>0.36077869818661035</v>
      </c>
    </row>
    <row r="4029" spans="10:12" x14ac:dyDescent="0.3">
      <c r="J4029">
        <v>4006</v>
      </c>
      <c r="K4029" s="10">
        <v>0.21934790147004854</v>
      </c>
      <c r="L4029" s="10">
        <v>0.5515583489213991</v>
      </c>
    </row>
    <row r="4030" spans="10:12" x14ac:dyDescent="0.3">
      <c r="J4030">
        <v>4007</v>
      </c>
      <c r="K4030" s="10">
        <v>0.23013161620290856</v>
      </c>
      <c r="L4030" s="10">
        <v>0.38428288859437326</v>
      </c>
    </row>
    <row r="4031" spans="10:12" x14ac:dyDescent="0.3">
      <c r="J4031">
        <v>4008</v>
      </c>
      <c r="K4031" s="10">
        <v>0.19594587057396914</v>
      </c>
      <c r="L4031" s="10">
        <v>0.17225617883583791</v>
      </c>
    </row>
    <row r="4032" spans="10:12" x14ac:dyDescent="0.3">
      <c r="J4032">
        <v>4009</v>
      </c>
      <c r="K4032" s="10">
        <v>0.2054666966602845</v>
      </c>
      <c r="L4032" s="10">
        <v>0.28889259645558296</v>
      </c>
    </row>
    <row r="4033" spans="10:12" x14ac:dyDescent="0.3">
      <c r="J4033">
        <v>4010</v>
      </c>
      <c r="K4033" s="10">
        <v>0.22593519161165904</v>
      </c>
      <c r="L4033" s="10">
        <v>-3.4895376065144784E-3</v>
      </c>
    </row>
    <row r="4034" spans="10:12" x14ac:dyDescent="0.3">
      <c r="J4034">
        <v>4011</v>
      </c>
      <c r="K4034" s="10">
        <v>0.24384379503428771</v>
      </c>
      <c r="L4034" s="10">
        <v>0.25016493501482573</v>
      </c>
    </row>
    <row r="4035" spans="10:12" x14ac:dyDescent="0.3">
      <c r="J4035">
        <v>4012</v>
      </c>
      <c r="K4035" s="10">
        <v>0.21807819325998179</v>
      </c>
      <c r="L4035" s="10">
        <v>8.942321299965221E-2</v>
      </c>
    </row>
    <row r="4036" spans="10:12" x14ac:dyDescent="0.3">
      <c r="J4036">
        <v>4013</v>
      </c>
      <c r="K4036" s="10">
        <v>0.19387206149784209</v>
      </c>
      <c r="L4036" s="10">
        <v>0.22036893611028194</v>
      </c>
    </row>
    <row r="4037" spans="10:12" x14ac:dyDescent="0.3">
      <c r="J4037">
        <v>4014</v>
      </c>
      <c r="K4037" s="10">
        <v>0.2071275293207826</v>
      </c>
      <c r="L4037" s="10">
        <v>0.13166254494903534</v>
      </c>
    </row>
    <row r="4038" spans="10:12" x14ac:dyDescent="0.3">
      <c r="J4038">
        <v>4015</v>
      </c>
      <c r="K4038" s="10">
        <v>0.22245498153930721</v>
      </c>
      <c r="L4038" s="10">
        <v>0.477996048279835</v>
      </c>
    </row>
    <row r="4039" spans="10:12" x14ac:dyDescent="0.3">
      <c r="J4039">
        <v>4016</v>
      </c>
      <c r="K4039" s="10">
        <v>0.19955351506481281</v>
      </c>
      <c r="L4039" s="10">
        <v>0.22264463541795279</v>
      </c>
    </row>
    <row r="4040" spans="10:12" x14ac:dyDescent="0.3">
      <c r="J4040">
        <v>4017</v>
      </c>
      <c r="K4040" s="10">
        <v>0.23562854531720701</v>
      </c>
      <c r="L4040" s="10">
        <v>-8.3245001288571666E-3</v>
      </c>
    </row>
    <row r="4041" spans="10:12" x14ac:dyDescent="0.3">
      <c r="J4041">
        <v>4018</v>
      </c>
      <c r="K4041" s="10">
        <v>0.21863135173499099</v>
      </c>
      <c r="L4041" s="10">
        <v>0.41346848451074786</v>
      </c>
    </row>
    <row r="4042" spans="10:12" x14ac:dyDescent="0.3">
      <c r="J4042">
        <v>4019</v>
      </c>
      <c r="K4042" s="10">
        <v>0.20327555763405519</v>
      </c>
      <c r="L4042" s="10">
        <v>0.12462153699654446</v>
      </c>
    </row>
    <row r="4043" spans="10:12" x14ac:dyDescent="0.3">
      <c r="J4043">
        <v>4020</v>
      </c>
      <c r="K4043" s="10">
        <v>0.20343584525809724</v>
      </c>
      <c r="L4043" s="10">
        <v>0.1561105123359699</v>
      </c>
    </row>
    <row r="4044" spans="10:12" x14ac:dyDescent="0.3">
      <c r="J4044">
        <v>4021</v>
      </c>
      <c r="K4044" s="10">
        <v>0.19509363404139873</v>
      </c>
      <c r="L4044" s="10">
        <v>0.36077751474146758</v>
      </c>
    </row>
    <row r="4045" spans="10:12" x14ac:dyDescent="0.3">
      <c r="J4045">
        <v>4022</v>
      </c>
      <c r="K4045" s="10">
        <v>0.21145150596888818</v>
      </c>
      <c r="L4045" s="10">
        <v>0.31018646440613779</v>
      </c>
    </row>
    <row r="4046" spans="10:12" x14ac:dyDescent="0.3">
      <c r="J4046">
        <v>4023</v>
      </c>
      <c r="K4046" s="10">
        <v>0.21897719801941315</v>
      </c>
      <c r="L4046" s="10">
        <v>7.3356325277110293E-2</v>
      </c>
    </row>
    <row r="4047" spans="10:12" x14ac:dyDescent="0.3">
      <c r="J4047">
        <v>4024</v>
      </c>
      <c r="K4047" s="10">
        <v>0.2132194013212827</v>
      </c>
      <c r="L4047" s="10">
        <v>0.30438620613613598</v>
      </c>
    </row>
    <row r="4048" spans="10:12" x14ac:dyDescent="0.3">
      <c r="J4048">
        <v>4025</v>
      </c>
      <c r="K4048" s="10">
        <v>0.22182749078589886</v>
      </c>
      <c r="L4048" s="10">
        <v>0.59814611886178914</v>
      </c>
    </row>
    <row r="4049" spans="10:12" x14ac:dyDescent="0.3">
      <c r="J4049">
        <v>4026</v>
      </c>
      <c r="K4049" s="10">
        <v>0.2296162036595927</v>
      </c>
      <c r="L4049" s="10">
        <v>0.24675073822804514</v>
      </c>
    </row>
    <row r="4050" spans="10:12" x14ac:dyDescent="0.3">
      <c r="J4050">
        <v>4027</v>
      </c>
      <c r="K4050" s="10">
        <v>0.2006421047986405</v>
      </c>
      <c r="L4050" s="10">
        <v>0.29894301578410976</v>
      </c>
    </row>
    <row r="4051" spans="10:12" x14ac:dyDescent="0.3">
      <c r="J4051">
        <v>4028</v>
      </c>
      <c r="K4051" s="10">
        <v>0.24853933686498192</v>
      </c>
      <c r="L4051" s="10">
        <v>0.13255906398771944</v>
      </c>
    </row>
    <row r="4052" spans="10:12" x14ac:dyDescent="0.3">
      <c r="J4052">
        <v>4029</v>
      </c>
      <c r="K4052" s="10">
        <v>0.20319134229650271</v>
      </c>
      <c r="L4052" s="10">
        <v>0.50017177186173467</v>
      </c>
    </row>
    <row r="4053" spans="10:12" x14ac:dyDescent="0.3">
      <c r="J4053">
        <v>4030</v>
      </c>
      <c r="K4053" s="10">
        <v>0.24932118067325404</v>
      </c>
      <c r="L4053" s="10">
        <v>-5.7384559730723567E-2</v>
      </c>
    </row>
    <row r="4054" spans="10:12" x14ac:dyDescent="0.3">
      <c r="J4054">
        <v>4031</v>
      </c>
      <c r="K4054" s="10">
        <v>0.22027265671762911</v>
      </c>
      <c r="L4054" s="10">
        <v>0.30400335637841253</v>
      </c>
    </row>
    <row r="4055" spans="10:12" x14ac:dyDescent="0.3">
      <c r="J4055">
        <v>4032</v>
      </c>
      <c r="K4055" s="10">
        <v>0.20276096038902452</v>
      </c>
      <c r="L4055" s="10">
        <v>0.13548615346657594</v>
      </c>
    </row>
    <row r="4056" spans="10:12" x14ac:dyDescent="0.3">
      <c r="J4056">
        <v>4033</v>
      </c>
      <c r="K4056" s="10">
        <v>0.22824799323423842</v>
      </c>
      <c r="L4056" s="10">
        <v>0.6373007802286107</v>
      </c>
    </row>
    <row r="4057" spans="10:12" x14ac:dyDescent="0.3">
      <c r="J4057">
        <v>4034</v>
      </c>
      <c r="K4057" s="10">
        <v>0.22523165866662131</v>
      </c>
      <c r="L4057" s="10">
        <v>5.0980687962904128E-2</v>
      </c>
    </row>
    <row r="4058" spans="10:12" x14ac:dyDescent="0.3">
      <c r="J4058">
        <v>4035</v>
      </c>
      <c r="K4058" s="10">
        <v>0.18873801679948532</v>
      </c>
      <c r="L4058" s="10">
        <v>0.295853163332367</v>
      </c>
    </row>
    <row r="4059" spans="10:12" x14ac:dyDescent="0.3">
      <c r="J4059">
        <v>4036</v>
      </c>
      <c r="K4059" s="10">
        <v>0.2083973493560371</v>
      </c>
      <c r="L4059" s="10">
        <v>0.19709675858530279</v>
      </c>
    </row>
    <row r="4060" spans="10:12" x14ac:dyDescent="0.3">
      <c r="J4060">
        <v>4037</v>
      </c>
      <c r="K4060" s="10">
        <v>0.19270322100356696</v>
      </c>
      <c r="L4060" s="10">
        <v>0.22631305045770178</v>
      </c>
    </row>
    <row r="4061" spans="10:12" x14ac:dyDescent="0.3">
      <c r="J4061">
        <v>4038</v>
      </c>
      <c r="K4061" s="10">
        <v>0.23805786814769106</v>
      </c>
      <c r="L4061" s="10">
        <v>-1.7308561928223817E-2</v>
      </c>
    </row>
    <row r="4062" spans="10:12" x14ac:dyDescent="0.3">
      <c r="J4062">
        <v>4039</v>
      </c>
      <c r="K4062" s="10">
        <v>0.29315423027140491</v>
      </c>
      <c r="L4062" s="10">
        <v>5.5024859215818817E-2</v>
      </c>
    </row>
    <row r="4063" spans="10:12" x14ac:dyDescent="0.3">
      <c r="J4063">
        <v>4040</v>
      </c>
      <c r="K4063" s="10">
        <v>0.2539123396174448</v>
      </c>
      <c r="L4063" s="10">
        <v>4.1211290711645698E-2</v>
      </c>
    </row>
    <row r="4064" spans="10:12" x14ac:dyDescent="0.3">
      <c r="J4064">
        <v>4041</v>
      </c>
      <c r="K4064" s="10">
        <v>0.23284310933622121</v>
      </c>
      <c r="L4064" s="10">
        <v>0.21876852281565634</v>
      </c>
    </row>
    <row r="4065" spans="10:12" x14ac:dyDescent="0.3">
      <c r="J4065">
        <v>4042</v>
      </c>
      <c r="K4065" s="10">
        <v>0.23634506085502743</v>
      </c>
      <c r="L4065" s="10">
        <v>-3.1264914870919591E-2</v>
      </c>
    </row>
    <row r="4066" spans="10:12" x14ac:dyDescent="0.3">
      <c r="J4066">
        <v>4043</v>
      </c>
      <c r="K4066" s="10">
        <v>0.21551247592223391</v>
      </c>
      <c r="L4066" s="10">
        <v>0.57430302594857563</v>
      </c>
    </row>
    <row r="4067" spans="10:12" x14ac:dyDescent="0.3">
      <c r="J4067">
        <v>4044</v>
      </c>
      <c r="K4067" s="10">
        <v>0.26076417522745693</v>
      </c>
      <c r="L4067" s="10">
        <v>8.5678920650380574E-2</v>
      </c>
    </row>
    <row r="4068" spans="10:12" x14ac:dyDescent="0.3">
      <c r="J4068">
        <v>4045</v>
      </c>
      <c r="K4068" s="10">
        <v>0.22864677654255508</v>
      </c>
      <c r="L4068" s="10">
        <v>6.6805586292582431E-2</v>
      </c>
    </row>
    <row r="4069" spans="10:12" x14ac:dyDescent="0.3">
      <c r="J4069">
        <v>4046</v>
      </c>
      <c r="K4069" s="10">
        <v>0.1900120411665279</v>
      </c>
      <c r="L4069" s="10">
        <v>0.27936595056225616</v>
      </c>
    </row>
    <row r="4070" spans="10:12" x14ac:dyDescent="0.3">
      <c r="J4070">
        <v>4047</v>
      </c>
      <c r="K4070" s="10">
        <v>0.23092120047324044</v>
      </c>
      <c r="L4070" s="10">
        <v>4.4983913241598214E-2</v>
      </c>
    </row>
    <row r="4071" spans="10:12" x14ac:dyDescent="0.3">
      <c r="J4071">
        <v>4048</v>
      </c>
      <c r="K4071" s="10">
        <v>0.19794317327808242</v>
      </c>
      <c r="L4071" s="10">
        <v>0.42419501664157072</v>
      </c>
    </row>
    <row r="4072" spans="10:12" x14ac:dyDescent="0.3">
      <c r="J4072">
        <v>4049</v>
      </c>
      <c r="K4072" s="10">
        <v>0.27273913894919133</v>
      </c>
      <c r="L4072" s="10">
        <v>-3.6695092090285118E-2</v>
      </c>
    </row>
    <row r="4073" spans="10:12" x14ac:dyDescent="0.3">
      <c r="J4073">
        <v>4050</v>
      </c>
      <c r="K4073" s="10">
        <v>0.19043163758062984</v>
      </c>
      <c r="L4073" s="10">
        <v>0.36263634269883738</v>
      </c>
    </row>
    <row r="4074" spans="10:12" x14ac:dyDescent="0.3">
      <c r="J4074">
        <v>4051</v>
      </c>
      <c r="K4074" s="10">
        <v>0.1997592109883225</v>
      </c>
      <c r="L4074" s="10">
        <v>0.25832043065423677</v>
      </c>
    </row>
    <row r="4075" spans="10:12" x14ac:dyDescent="0.3">
      <c r="J4075">
        <v>4052</v>
      </c>
      <c r="K4075" s="10">
        <v>0.19235961543676924</v>
      </c>
      <c r="L4075" s="10">
        <v>0.29887389721592811</v>
      </c>
    </row>
    <row r="4076" spans="10:12" x14ac:dyDescent="0.3">
      <c r="J4076">
        <v>4053</v>
      </c>
      <c r="K4076" s="10">
        <v>0.21095805713592899</v>
      </c>
      <c r="L4076" s="10">
        <v>0.5149179694225583</v>
      </c>
    </row>
    <row r="4077" spans="10:12" x14ac:dyDescent="0.3">
      <c r="J4077">
        <v>4054</v>
      </c>
      <c r="K4077" s="10">
        <v>0.22235742941370004</v>
      </c>
      <c r="L4077" s="10">
        <v>2.4025156399364249E-2</v>
      </c>
    </row>
    <row r="4078" spans="10:12" x14ac:dyDescent="0.3">
      <c r="J4078">
        <v>4055</v>
      </c>
      <c r="K4078" s="10">
        <v>0.21796125168321262</v>
      </c>
      <c r="L4078" s="10">
        <v>0.13105355824145004</v>
      </c>
    </row>
    <row r="4079" spans="10:12" x14ac:dyDescent="0.3">
      <c r="J4079">
        <v>4056</v>
      </c>
      <c r="K4079" s="10">
        <v>0.23263689431510606</v>
      </c>
      <c r="L4079" s="10">
        <v>-1.8054881353944265E-2</v>
      </c>
    </row>
    <row r="4080" spans="10:12" x14ac:dyDescent="0.3">
      <c r="J4080">
        <v>4057</v>
      </c>
      <c r="K4080" s="10">
        <v>0.22424491085260012</v>
      </c>
      <c r="L4080" s="10">
        <v>-3.8239834581317925E-3</v>
      </c>
    </row>
    <row r="4081" spans="10:12" x14ac:dyDescent="0.3">
      <c r="J4081">
        <v>4058</v>
      </c>
      <c r="K4081" s="10">
        <v>0.2255155712424663</v>
      </c>
      <c r="L4081" s="10">
        <v>0.33795307318600815</v>
      </c>
    </row>
    <row r="4082" spans="10:12" x14ac:dyDescent="0.3">
      <c r="J4082">
        <v>4059</v>
      </c>
      <c r="K4082" s="10">
        <v>0.21167123076701924</v>
      </c>
      <c r="L4082" s="10">
        <v>0.13499389402585826</v>
      </c>
    </row>
    <row r="4083" spans="10:12" x14ac:dyDescent="0.3">
      <c r="J4083">
        <v>4060</v>
      </c>
      <c r="K4083" s="10">
        <v>0.22724642712015472</v>
      </c>
      <c r="L4083" s="10">
        <v>0.54410770678368381</v>
      </c>
    </row>
    <row r="4084" spans="10:12" x14ac:dyDescent="0.3">
      <c r="J4084">
        <v>4061</v>
      </c>
      <c r="K4084" s="10">
        <v>0.20192310561666546</v>
      </c>
      <c r="L4084" s="10">
        <v>0.22340675372904167</v>
      </c>
    </row>
    <row r="4085" spans="10:12" x14ac:dyDescent="0.3">
      <c r="J4085">
        <v>4062</v>
      </c>
      <c r="K4085" s="10">
        <v>0.19880019988258577</v>
      </c>
      <c r="L4085" s="10">
        <v>0.15749337101656247</v>
      </c>
    </row>
    <row r="4086" spans="10:12" x14ac:dyDescent="0.3">
      <c r="J4086">
        <v>4063</v>
      </c>
      <c r="K4086" s="10">
        <v>0.25081321477129315</v>
      </c>
      <c r="L4086" s="10">
        <v>-3.5964236116268894E-3</v>
      </c>
    </row>
    <row r="4087" spans="10:12" x14ac:dyDescent="0.3">
      <c r="J4087">
        <v>4064</v>
      </c>
      <c r="K4087" s="10">
        <v>0.21290806119496458</v>
      </c>
      <c r="L4087" s="10">
        <v>0.53778393658554224</v>
      </c>
    </row>
    <row r="4088" spans="10:12" x14ac:dyDescent="0.3">
      <c r="J4088">
        <v>4065</v>
      </c>
      <c r="K4088" s="10">
        <v>0.21112917000491399</v>
      </c>
      <c r="L4088" s="10">
        <v>0.14758658489466761</v>
      </c>
    </row>
    <row r="4089" spans="10:12" x14ac:dyDescent="0.3">
      <c r="J4089">
        <v>4066</v>
      </c>
      <c r="K4089" s="10">
        <v>0.22324546651393062</v>
      </c>
      <c r="L4089" s="10">
        <v>0.56242285290484484</v>
      </c>
    </row>
    <row r="4090" spans="10:12" x14ac:dyDescent="0.3">
      <c r="J4090">
        <v>4067</v>
      </c>
      <c r="K4090" s="10">
        <v>0.20683201406134014</v>
      </c>
      <c r="L4090" s="10">
        <v>0.18434656503941924</v>
      </c>
    </row>
    <row r="4091" spans="10:12" x14ac:dyDescent="0.3">
      <c r="J4091">
        <v>4068</v>
      </c>
      <c r="K4091" s="10">
        <v>0.195243261365693</v>
      </c>
      <c r="L4091" s="10">
        <v>0.17827301768799553</v>
      </c>
    </row>
    <row r="4092" spans="10:12" x14ac:dyDescent="0.3">
      <c r="J4092">
        <v>4069</v>
      </c>
      <c r="K4092" s="10">
        <v>0.19511598870238717</v>
      </c>
      <c r="L4092" s="10">
        <v>0.28591040555541142</v>
      </c>
    </row>
    <row r="4093" spans="10:12" x14ac:dyDescent="0.3">
      <c r="J4093">
        <v>4070</v>
      </c>
      <c r="K4093" s="10">
        <v>0.19742845056900146</v>
      </c>
      <c r="L4093" s="10">
        <v>0.16100225745512683</v>
      </c>
    </row>
    <row r="4094" spans="10:12" x14ac:dyDescent="0.3">
      <c r="J4094">
        <v>4071</v>
      </c>
      <c r="K4094" s="10">
        <v>0.1932631686225981</v>
      </c>
      <c r="L4094" s="10">
        <v>0.28677990527213809</v>
      </c>
    </row>
    <row r="4095" spans="10:12" x14ac:dyDescent="0.3">
      <c r="J4095">
        <v>4072</v>
      </c>
      <c r="K4095" s="10">
        <v>0.22615945434305262</v>
      </c>
      <c r="L4095" s="10">
        <v>9.4157313678632004E-2</v>
      </c>
    </row>
    <row r="4096" spans="10:12" x14ac:dyDescent="0.3">
      <c r="J4096">
        <v>4073</v>
      </c>
      <c r="K4096" s="10">
        <v>0.21587920404753719</v>
      </c>
      <c r="L4096" s="10">
        <v>3.9194411634199115E-2</v>
      </c>
    </row>
    <row r="4097" spans="10:12" x14ac:dyDescent="0.3">
      <c r="J4097">
        <v>4074</v>
      </c>
      <c r="K4097" s="10">
        <v>0.19038166164288453</v>
      </c>
      <c r="L4097" s="10">
        <v>0.24386048770890811</v>
      </c>
    </row>
    <row r="4098" spans="10:12" x14ac:dyDescent="0.3">
      <c r="J4098">
        <v>4075</v>
      </c>
      <c r="K4098" s="10">
        <v>0.25482127748089339</v>
      </c>
      <c r="L4098" s="10">
        <v>-7.9511104474122171E-2</v>
      </c>
    </row>
    <row r="4099" spans="10:12" x14ac:dyDescent="0.3">
      <c r="J4099">
        <v>4076</v>
      </c>
      <c r="K4099" s="10">
        <v>0.21889441580794852</v>
      </c>
      <c r="L4099" s="10">
        <v>0.57519766548325646</v>
      </c>
    </row>
    <row r="4100" spans="10:12" x14ac:dyDescent="0.3">
      <c r="J4100">
        <v>4077</v>
      </c>
      <c r="K4100" s="10">
        <v>0.20348143934399601</v>
      </c>
      <c r="L4100" s="10">
        <v>0.23051831274050963</v>
      </c>
    </row>
    <row r="4101" spans="10:12" x14ac:dyDescent="0.3">
      <c r="J4101">
        <v>4078</v>
      </c>
      <c r="K4101" s="10">
        <v>0.23311491726892128</v>
      </c>
      <c r="L4101" s="10">
        <v>0.64036780579244557</v>
      </c>
    </row>
    <row r="4102" spans="10:12" x14ac:dyDescent="0.3">
      <c r="J4102">
        <v>4079</v>
      </c>
      <c r="K4102" s="10">
        <v>0.19221870774949962</v>
      </c>
      <c r="L4102" s="10">
        <v>0.21344172262029962</v>
      </c>
    </row>
    <row r="4103" spans="10:12" x14ac:dyDescent="0.3">
      <c r="J4103">
        <v>4080</v>
      </c>
      <c r="K4103" s="10">
        <v>0.29401344447871586</v>
      </c>
      <c r="L4103" s="10">
        <v>-1.9262312773235354E-2</v>
      </c>
    </row>
    <row r="4104" spans="10:12" x14ac:dyDescent="0.3">
      <c r="J4104">
        <v>4081</v>
      </c>
      <c r="K4104" s="10">
        <v>0.22789289332737495</v>
      </c>
      <c r="L4104" s="10">
        <v>0.34283287531297835</v>
      </c>
    </row>
    <row r="4105" spans="10:12" x14ac:dyDescent="0.3">
      <c r="J4105">
        <v>4082</v>
      </c>
      <c r="K4105" s="10">
        <v>0.20681886594318533</v>
      </c>
      <c r="L4105" s="10">
        <v>0.2397389687983047</v>
      </c>
    </row>
    <row r="4106" spans="10:12" x14ac:dyDescent="0.3">
      <c r="J4106">
        <v>4083</v>
      </c>
      <c r="K4106" s="10">
        <v>0.24850080691741658</v>
      </c>
      <c r="L4106" s="10">
        <v>0.2404878031125578</v>
      </c>
    </row>
    <row r="4107" spans="10:12" x14ac:dyDescent="0.3">
      <c r="J4107">
        <v>4084</v>
      </c>
      <c r="K4107" s="10">
        <v>0.18992604621461079</v>
      </c>
      <c r="L4107" s="10">
        <v>0.27744282589504199</v>
      </c>
    </row>
    <row r="4108" spans="10:12" x14ac:dyDescent="0.3">
      <c r="J4108">
        <v>4085</v>
      </c>
      <c r="K4108" s="10">
        <v>0.19572484592120556</v>
      </c>
      <c r="L4108" s="10">
        <v>0.28914511738276355</v>
      </c>
    </row>
    <row r="4109" spans="10:12" x14ac:dyDescent="0.3">
      <c r="J4109">
        <v>4086</v>
      </c>
      <c r="K4109" s="10">
        <v>0.19754391431396587</v>
      </c>
      <c r="L4109" s="10">
        <v>0.37561971389089116</v>
      </c>
    </row>
    <row r="4110" spans="10:12" x14ac:dyDescent="0.3">
      <c r="J4110">
        <v>4087</v>
      </c>
      <c r="K4110" s="10">
        <v>0.22485569614995293</v>
      </c>
      <c r="L4110" s="10">
        <v>0.39626083659105571</v>
      </c>
    </row>
    <row r="4111" spans="10:12" x14ac:dyDescent="0.3">
      <c r="J4111">
        <v>4088</v>
      </c>
      <c r="K4111" s="10">
        <v>0.19646822242405454</v>
      </c>
      <c r="L4111" s="10">
        <v>0.23825046865958835</v>
      </c>
    </row>
    <row r="4112" spans="10:12" x14ac:dyDescent="0.3">
      <c r="J4112">
        <v>4089</v>
      </c>
      <c r="K4112" s="10">
        <v>0.21105848627977578</v>
      </c>
      <c r="L4112" s="10">
        <v>0.13497041583758346</v>
      </c>
    </row>
    <row r="4113" spans="10:12" x14ac:dyDescent="0.3">
      <c r="J4113">
        <v>4090</v>
      </c>
      <c r="K4113" s="10">
        <v>0.2310404212619801</v>
      </c>
      <c r="L4113" s="10">
        <v>0.37492522206622636</v>
      </c>
    </row>
    <row r="4114" spans="10:12" x14ac:dyDescent="0.3">
      <c r="J4114">
        <v>4091</v>
      </c>
      <c r="K4114" s="10">
        <v>0.25954885612884798</v>
      </c>
      <c r="L4114" s="10">
        <v>0.76511577726001334</v>
      </c>
    </row>
    <row r="4115" spans="10:12" x14ac:dyDescent="0.3">
      <c r="J4115">
        <v>4092</v>
      </c>
      <c r="K4115" s="10">
        <v>0.27533968439209694</v>
      </c>
      <c r="L4115" s="10">
        <v>-3.0105606543966452E-2</v>
      </c>
    </row>
    <row r="4116" spans="10:12" x14ac:dyDescent="0.3">
      <c r="J4116">
        <v>4093</v>
      </c>
      <c r="K4116" s="10">
        <v>0.25898546020645336</v>
      </c>
      <c r="L4116" s="10">
        <v>0.12184811287968256</v>
      </c>
    </row>
    <row r="4117" spans="10:12" x14ac:dyDescent="0.3">
      <c r="J4117">
        <v>4094</v>
      </c>
      <c r="K4117" s="10">
        <v>0.22932313902603335</v>
      </c>
      <c r="L4117" s="10">
        <v>0.60177026820096335</v>
      </c>
    </row>
    <row r="4118" spans="10:12" x14ac:dyDescent="0.3">
      <c r="J4118">
        <v>4095</v>
      </c>
      <c r="K4118" s="10">
        <v>0.22790340381884105</v>
      </c>
      <c r="L4118" s="10">
        <v>0.45999083430758536</v>
      </c>
    </row>
    <row r="4119" spans="10:12" x14ac:dyDescent="0.3">
      <c r="J4119">
        <v>4096</v>
      </c>
      <c r="K4119" s="10">
        <v>0.22302230814758575</v>
      </c>
      <c r="L4119" s="10">
        <v>1.9903707557397537E-3</v>
      </c>
    </row>
    <row r="4120" spans="10:12" x14ac:dyDescent="0.3">
      <c r="J4120">
        <v>4097</v>
      </c>
      <c r="K4120" s="10">
        <v>0.19463594325760322</v>
      </c>
      <c r="L4120" s="10">
        <v>0.22654014482212828</v>
      </c>
    </row>
    <row r="4121" spans="10:12" x14ac:dyDescent="0.3">
      <c r="J4121">
        <v>4098</v>
      </c>
      <c r="K4121" s="10">
        <v>0.24599686622731107</v>
      </c>
      <c r="L4121" s="10">
        <v>-9.4135733782818282E-2</v>
      </c>
    </row>
    <row r="4122" spans="10:12" x14ac:dyDescent="0.3">
      <c r="J4122">
        <v>4099</v>
      </c>
      <c r="K4122" s="10">
        <v>0.22265081565451025</v>
      </c>
      <c r="L4122" s="10">
        <v>0.60032875945678355</v>
      </c>
    </row>
    <row r="4123" spans="10:12" x14ac:dyDescent="0.3">
      <c r="J4123">
        <v>4100</v>
      </c>
      <c r="K4123" s="10">
        <v>0.19642604929434229</v>
      </c>
      <c r="L4123" s="10">
        <v>0.41593100120478421</v>
      </c>
    </row>
    <row r="4124" spans="10:12" x14ac:dyDescent="0.3">
      <c r="J4124">
        <v>4101</v>
      </c>
      <c r="K4124" s="10">
        <v>0.2061975503953653</v>
      </c>
      <c r="L4124" s="10">
        <v>0.1370543827479867</v>
      </c>
    </row>
    <row r="4125" spans="10:12" x14ac:dyDescent="0.3">
      <c r="J4125">
        <v>4102</v>
      </c>
      <c r="K4125" s="10">
        <v>0.23782469775344278</v>
      </c>
      <c r="L4125" s="10">
        <v>0.107799340993249</v>
      </c>
    </row>
    <row r="4126" spans="10:12" x14ac:dyDescent="0.3">
      <c r="J4126">
        <v>4103</v>
      </c>
      <c r="K4126" s="10">
        <v>0.23213561956967763</v>
      </c>
      <c r="L4126" s="10">
        <v>0.17293753275407933</v>
      </c>
    </row>
    <row r="4127" spans="10:12" x14ac:dyDescent="0.3">
      <c r="J4127">
        <v>4104</v>
      </c>
      <c r="K4127" s="10">
        <v>0.18937149664387526</v>
      </c>
      <c r="L4127" s="10">
        <v>0.314393959452136</v>
      </c>
    </row>
    <row r="4128" spans="10:12" x14ac:dyDescent="0.3">
      <c r="J4128">
        <v>4105</v>
      </c>
      <c r="K4128" s="10">
        <v>0.19135869805270442</v>
      </c>
      <c r="L4128" s="10">
        <v>0.24181848415469709</v>
      </c>
    </row>
    <row r="4129" spans="10:12" x14ac:dyDescent="0.3">
      <c r="J4129">
        <v>4106</v>
      </c>
      <c r="K4129" s="10">
        <v>0.21985688502444331</v>
      </c>
      <c r="L4129" s="10">
        <v>0.20262445654094965</v>
      </c>
    </row>
    <row r="4130" spans="10:12" x14ac:dyDescent="0.3">
      <c r="J4130">
        <v>4107</v>
      </c>
      <c r="K4130" s="10">
        <v>0.25228391704024566</v>
      </c>
      <c r="L4130" s="10">
        <v>5.7757685477038107E-2</v>
      </c>
    </row>
    <row r="4131" spans="10:12" x14ac:dyDescent="0.3">
      <c r="J4131">
        <v>4108</v>
      </c>
      <c r="K4131" s="10">
        <v>0.19922529818480639</v>
      </c>
      <c r="L4131" s="10">
        <v>0.18049873961636836</v>
      </c>
    </row>
    <row r="4132" spans="10:12" x14ac:dyDescent="0.3">
      <c r="J4132">
        <v>4109</v>
      </c>
      <c r="K4132" s="10">
        <v>0.22594048963431165</v>
      </c>
      <c r="L4132" s="10">
        <v>0.62426605823647896</v>
      </c>
    </row>
    <row r="4133" spans="10:12" x14ac:dyDescent="0.3">
      <c r="J4133">
        <v>4110</v>
      </c>
      <c r="K4133" s="10">
        <v>0.20842332449479709</v>
      </c>
      <c r="L4133" s="10">
        <v>0.47350427410307583</v>
      </c>
    </row>
    <row r="4134" spans="10:12" x14ac:dyDescent="0.3">
      <c r="J4134">
        <v>4111</v>
      </c>
      <c r="K4134" s="10">
        <v>0.19774927344821611</v>
      </c>
      <c r="L4134" s="10">
        <v>0.16315977739657203</v>
      </c>
    </row>
    <row r="4135" spans="10:12" x14ac:dyDescent="0.3">
      <c r="J4135">
        <v>4112</v>
      </c>
      <c r="K4135" s="10">
        <v>0.24951589345679392</v>
      </c>
      <c r="L4135" s="10">
        <v>0.1288344782139291</v>
      </c>
    </row>
    <row r="4136" spans="10:12" x14ac:dyDescent="0.3">
      <c r="J4136">
        <v>4113</v>
      </c>
      <c r="K4136" s="10">
        <v>0.2949653674186114</v>
      </c>
      <c r="L4136" s="10">
        <v>-1.1570042041435547E-2</v>
      </c>
    </row>
    <row r="4137" spans="10:12" x14ac:dyDescent="0.3">
      <c r="J4137">
        <v>4114</v>
      </c>
      <c r="K4137" s="10">
        <v>0.19712911475986214</v>
      </c>
      <c r="L4137" s="10">
        <v>0.32401994308744714</v>
      </c>
    </row>
    <row r="4138" spans="10:12" x14ac:dyDescent="0.3">
      <c r="J4138">
        <v>4115</v>
      </c>
      <c r="K4138" s="10">
        <v>0.19994427594434175</v>
      </c>
      <c r="L4138" s="10">
        <v>0.3113941692900733</v>
      </c>
    </row>
    <row r="4139" spans="10:12" x14ac:dyDescent="0.3">
      <c r="J4139">
        <v>4116</v>
      </c>
      <c r="K4139" s="10">
        <v>0.21609508720641665</v>
      </c>
      <c r="L4139" s="10">
        <v>0.57656352008185441</v>
      </c>
    </row>
    <row r="4140" spans="10:12" x14ac:dyDescent="0.3">
      <c r="J4140">
        <v>4117</v>
      </c>
      <c r="K4140" s="10">
        <v>0.19590071211817575</v>
      </c>
      <c r="L4140" s="10">
        <v>0.22909650788756575</v>
      </c>
    </row>
    <row r="4141" spans="10:12" x14ac:dyDescent="0.3">
      <c r="J4141">
        <v>4118</v>
      </c>
      <c r="K4141" s="10">
        <v>0.24776958779890057</v>
      </c>
      <c r="L4141" s="10">
        <v>6.333491156647747E-4</v>
      </c>
    </row>
    <row r="4142" spans="10:12" x14ac:dyDescent="0.3">
      <c r="J4142">
        <v>4119</v>
      </c>
      <c r="K4142" s="10">
        <v>0.19480131190894773</v>
      </c>
      <c r="L4142" s="10">
        <v>0.20647281369800263</v>
      </c>
    </row>
    <row r="4143" spans="10:12" x14ac:dyDescent="0.3">
      <c r="J4143">
        <v>4120</v>
      </c>
      <c r="K4143" s="10">
        <v>0.20580318420762272</v>
      </c>
      <c r="L4143" s="10">
        <v>0.17050890121576079</v>
      </c>
    </row>
    <row r="4144" spans="10:12" x14ac:dyDescent="0.3">
      <c r="J4144">
        <v>4121</v>
      </c>
      <c r="K4144" s="10">
        <v>0.23988540857016005</v>
      </c>
      <c r="L4144" s="10">
        <v>-2.3841580720214077E-2</v>
      </c>
    </row>
    <row r="4145" spans="10:12" x14ac:dyDescent="0.3">
      <c r="J4145">
        <v>4122</v>
      </c>
      <c r="K4145" s="10">
        <v>0.2357097573848479</v>
      </c>
      <c r="L4145" s="10">
        <v>0.17444776293517317</v>
      </c>
    </row>
    <row r="4146" spans="10:12" x14ac:dyDescent="0.3">
      <c r="J4146">
        <v>4123</v>
      </c>
      <c r="K4146" s="10">
        <v>0.19549221080321522</v>
      </c>
      <c r="L4146" s="10">
        <v>0.40425118543727573</v>
      </c>
    </row>
    <row r="4147" spans="10:12" x14ac:dyDescent="0.3">
      <c r="J4147">
        <v>4124</v>
      </c>
      <c r="K4147" s="10">
        <v>0.19282300873912334</v>
      </c>
      <c r="L4147" s="10">
        <v>0.33755741973041153</v>
      </c>
    </row>
    <row r="4148" spans="10:12" x14ac:dyDescent="0.3">
      <c r="J4148">
        <v>4125</v>
      </c>
      <c r="K4148" s="10">
        <v>0.21558319587682739</v>
      </c>
      <c r="L4148" s="10">
        <v>0.16080039125959658</v>
      </c>
    </row>
    <row r="4149" spans="10:12" x14ac:dyDescent="0.3">
      <c r="J4149">
        <v>4126</v>
      </c>
      <c r="K4149" s="10">
        <v>0.22415739176426827</v>
      </c>
      <c r="L4149" s="10">
        <v>0.34186262678754048</v>
      </c>
    </row>
    <row r="4150" spans="10:12" x14ac:dyDescent="0.3">
      <c r="J4150">
        <v>4127</v>
      </c>
      <c r="K4150" s="10">
        <v>0.22271524056913156</v>
      </c>
      <c r="L4150" s="10">
        <v>0.60538318307928485</v>
      </c>
    </row>
    <row r="4151" spans="10:12" x14ac:dyDescent="0.3">
      <c r="J4151">
        <v>4128</v>
      </c>
      <c r="K4151" s="10">
        <v>0.20589522183342221</v>
      </c>
      <c r="L4151" s="10">
        <v>0.12531864961846081</v>
      </c>
    </row>
    <row r="4152" spans="10:12" x14ac:dyDescent="0.3">
      <c r="J4152">
        <v>4129</v>
      </c>
      <c r="K4152" s="10">
        <v>0.20711241830030264</v>
      </c>
      <c r="L4152" s="10">
        <v>0.15419010920895643</v>
      </c>
    </row>
    <row r="4153" spans="10:12" x14ac:dyDescent="0.3">
      <c r="J4153">
        <v>4130</v>
      </c>
      <c r="K4153" s="10">
        <v>0.22647217893944449</v>
      </c>
      <c r="L4153" s="10">
        <v>0.26439507755181207</v>
      </c>
    </row>
    <row r="4154" spans="10:12" x14ac:dyDescent="0.3">
      <c r="J4154">
        <v>4131</v>
      </c>
      <c r="K4154" s="10">
        <v>0.20775738539385352</v>
      </c>
      <c r="L4154" s="10">
        <v>0.12584929164892719</v>
      </c>
    </row>
    <row r="4155" spans="10:12" x14ac:dyDescent="0.3">
      <c r="J4155">
        <v>4132</v>
      </c>
      <c r="K4155" s="10">
        <v>0.18945598283587944</v>
      </c>
      <c r="L4155" s="10">
        <v>0.33765775394439351</v>
      </c>
    </row>
    <row r="4156" spans="10:12" x14ac:dyDescent="0.3">
      <c r="J4156">
        <v>4133</v>
      </c>
      <c r="K4156" s="10">
        <v>0.23626261717426003</v>
      </c>
      <c r="L4156" s="10">
        <v>0.21833879791167346</v>
      </c>
    </row>
    <row r="4157" spans="10:12" x14ac:dyDescent="0.3">
      <c r="J4157">
        <v>4134</v>
      </c>
      <c r="K4157" s="10">
        <v>0.19250692077511011</v>
      </c>
      <c r="L4157" s="10">
        <v>0.30409887319754486</v>
      </c>
    </row>
    <row r="4158" spans="10:12" x14ac:dyDescent="0.3">
      <c r="J4158">
        <v>4135</v>
      </c>
      <c r="K4158" s="10">
        <v>0.20821239503218539</v>
      </c>
      <c r="L4158" s="10">
        <v>0.31367847040295121</v>
      </c>
    </row>
    <row r="4159" spans="10:12" x14ac:dyDescent="0.3">
      <c r="J4159">
        <v>4136</v>
      </c>
      <c r="K4159" s="10">
        <v>0.19055614585069486</v>
      </c>
      <c r="L4159" s="10">
        <v>0.30492424250325689</v>
      </c>
    </row>
    <row r="4160" spans="10:12" x14ac:dyDescent="0.3">
      <c r="J4160">
        <v>4137</v>
      </c>
      <c r="K4160" s="10">
        <v>0.20491595520255249</v>
      </c>
      <c r="L4160" s="10">
        <v>0.3315693841058493</v>
      </c>
    </row>
    <row r="4161" spans="10:12" x14ac:dyDescent="0.3">
      <c r="J4161">
        <v>4138</v>
      </c>
      <c r="K4161" s="10">
        <v>0.19449108149221436</v>
      </c>
      <c r="L4161" s="10">
        <v>0.19551051602190633</v>
      </c>
    </row>
    <row r="4162" spans="10:12" x14ac:dyDescent="0.3">
      <c r="J4162">
        <v>4139</v>
      </c>
      <c r="K4162" s="10">
        <v>0.22269777192024723</v>
      </c>
      <c r="L4162" s="10">
        <v>7.5052567854541535E-2</v>
      </c>
    </row>
    <row r="4163" spans="10:12" x14ac:dyDescent="0.3">
      <c r="J4163">
        <v>4140</v>
      </c>
      <c r="K4163" s="10">
        <v>0.20362067257072394</v>
      </c>
      <c r="L4163" s="10">
        <v>0.22024407341414387</v>
      </c>
    </row>
    <row r="4164" spans="10:12" x14ac:dyDescent="0.3">
      <c r="J4164">
        <v>4141</v>
      </c>
      <c r="K4164" s="10">
        <v>0.19395924512799892</v>
      </c>
      <c r="L4164" s="10">
        <v>0.4021034782070686</v>
      </c>
    </row>
    <row r="4165" spans="10:12" x14ac:dyDescent="0.3">
      <c r="J4165">
        <v>4142</v>
      </c>
      <c r="K4165" s="10">
        <v>0.23401152365515826</v>
      </c>
      <c r="L4165" s="10">
        <v>7.2136225894794612E-3</v>
      </c>
    </row>
    <row r="4166" spans="10:12" x14ac:dyDescent="0.3">
      <c r="J4166">
        <v>4143</v>
      </c>
      <c r="K4166" s="10">
        <v>0.221536759478941</v>
      </c>
      <c r="L4166" s="10">
        <v>0.36200923081085123</v>
      </c>
    </row>
    <row r="4167" spans="10:12" x14ac:dyDescent="0.3">
      <c r="J4167">
        <v>4144</v>
      </c>
      <c r="K4167" s="10">
        <v>0.2030724815322717</v>
      </c>
      <c r="L4167" s="10">
        <v>0.49380835291684966</v>
      </c>
    </row>
    <row r="4168" spans="10:12" x14ac:dyDescent="0.3">
      <c r="J4168">
        <v>4145</v>
      </c>
      <c r="K4168" s="10">
        <v>0.22301396006440152</v>
      </c>
      <c r="L4168" s="10">
        <v>0.27465534100808492</v>
      </c>
    </row>
    <row r="4169" spans="10:12" x14ac:dyDescent="0.3">
      <c r="J4169">
        <v>4146</v>
      </c>
      <c r="K4169" s="10">
        <v>0.19004055381730917</v>
      </c>
      <c r="L4169" s="10">
        <v>0.2753565268845955</v>
      </c>
    </row>
    <row r="4170" spans="10:12" x14ac:dyDescent="0.3">
      <c r="J4170">
        <v>4147</v>
      </c>
      <c r="K4170" s="10">
        <v>0.2139967445431602</v>
      </c>
      <c r="L4170" s="10">
        <v>0.42685307316763549</v>
      </c>
    </row>
    <row r="4171" spans="10:12" x14ac:dyDescent="0.3">
      <c r="J4171">
        <v>4148</v>
      </c>
      <c r="K4171" s="10">
        <v>0.19378161529430385</v>
      </c>
      <c r="L4171" s="10">
        <v>0.21212081851560877</v>
      </c>
    </row>
    <row r="4172" spans="10:12" x14ac:dyDescent="0.3">
      <c r="J4172">
        <v>4149</v>
      </c>
      <c r="K4172" s="10">
        <v>0.19264738366666984</v>
      </c>
      <c r="L4172" s="10">
        <v>0.34642827557575323</v>
      </c>
    </row>
    <row r="4173" spans="10:12" x14ac:dyDescent="0.3">
      <c r="J4173">
        <v>4150</v>
      </c>
      <c r="K4173" s="10">
        <v>0.22678894776109157</v>
      </c>
      <c r="L4173" s="10">
        <v>3.2034096551213281E-2</v>
      </c>
    </row>
    <row r="4174" spans="10:12" x14ac:dyDescent="0.3">
      <c r="J4174">
        <v>4151</v>
      </c>
      <c r="K4174" s="10">
        <v>0.20894862496683331</v>
      </c>
      <c r="L4174" s="10">
        <v>0.23326675768892996</v>
      </c>
    </row>
    <row r="4175" spans="10:12" x14ac:dyDescent="0.3">
      <c r="J4175">
        <v>4152</v>
      </c>
      <c r="K4175" s="10">
        <v>0.19560877561569179</v>
      </c>
      <c r="L4175" s="10">
        <v>0.368303237744107</v>
      </c>
    </row>
    <row r="4176" spans="10:12" x14ac:dyDescent="0.3">
      <c r="J4176">
        <v>4153</v>
      </c>
      <c r="K4176" s="10">
        <v>0.22147505658513308</v>
      </c>
      <c r="L4176" s="10">
        <v>9.1738151274119772E-2</v>
      </c>
    </row>
    <row r="4177" spans="10:12" x14ac:dyDescent="0.3">
      <c r="J4177">
        <v>4154</v>
      </c>
      <c r="K4177" s="10">
        <v>0.24503825715976993</v>
      </c>
      <c r="L4177" s="10">
        <v>3.1190401894930227E-2</v>
      </c>
    </row>
    <row r="4178" spans="10:12" x14ac:dyDescent="0.3">
      <c r="J4178">
        <v>4155</v>
      </c>
      <c r="K4178" s="10">
        <v>0.22088852089218811</v>
      </c>
      <c r="L4178" s="10">
        <v>8.834265344807761E-2</v>
      </c>
    </row>
    <row r="4179" spans="10:12" x14ac:dyDescent="0.3">
      <c r="J4179">
        <v>4156</v>
      </c>
      <c r="K4179" s="10">
        <v>0.22978176530517874</v>
      </c>
      <c r="L4179" s="10">
        <v>0.64312341837077769</v>
      </c>
    </row>
    <row r="4180" spans="10:12" x14ac:dyDescent="0.3">
      <c r="J4180">
        <v>4157</v>
      </c>
      <c r="K4180" s="10">
        <v>0.24034251600743134</v>
      </c>
      <c r="L4180" s="10">
        <v>0.68448621222816364</v>
      </c>
    </row>
    <row r="4181" spans="10:12" x14ac:dyDescent="0.3">
      <c r="J4181">
        <v>4158</v>
      </c>
      <c r="K4181" s="10">
        <v>0.28004087580553633</v>
      </c>
      <c r="L4181" s="10">
        <v>-9.5515760114086801E-2</v>
      </c>
    </row>
    <row r="4182" spans="10:12" x14ac:dyDescent="0.3">
      <c r="J4182">
        <v>4159</v>
      </c>
      <c r="K4182" s="10">
        <v>0.20587596019258939</v>
      </c>
      <c r="L4182" s="10">
        <v>0.19101546577995512</v>
      </c>
    </row>
    <row r="4183" spans="10:12" x14ac:dyDescent="0.3">
      <c r="J4183">
        <v>4160</v>
      </c>
      <c r="K4183" s="10">
        <v>0.20315625967539769</v>
      </c>
      <c r="L4183" s="10">
        <v>0.25526867962369926</v>
      </c>
    </row>
    <row r="4184" spans="10:12" x14ac:dyDescent="0.3">
      <c r="J4184">
        <v>4161</v>
      </c>
      <c r="K4184" s="10">
        <v>0.19603005776927268</v>
      </c>
      <c r="L4184" s="10">
        <v>0.1866981796631689</v>
      </c>
    </row>
    <row r="4185" spans="10:12" x14ac:dyDescent="0.3">
      <c r="J4185">
        <v>4162</v>
      </c>
      <c r="K4185" s="10">
        <v>0.20150782617180013</v>
      </c>
      <c r="L4185" s="10">
        <v>0.48253462697544158</v>
      </c>
    </row>
    <row r="4186" spans="10:12" x14ac:dyDescent="0.3">
      <c r="J4186">
        <v>4163</v>
      </c>
      <c r="K4186" s="10">
        <v>0.2041741715862288</v>
      </c>
      <c r="L4186" s="10">
        <v>0.33497222515131619</v>
      </c>
    </row>
    <row r="4187" spans="10:12" x14ac:dyDescent="0.3">
      <c r="J4187">
        <v>4164</v>
      </c>
      <c r="K4187" s="10">
        <v>0.21904352780251099</v>
      </c>
      <c r="L4187" s="10">
        <v>0.47012945163033454</v>
      </c>
    </row>
    <row r="4188" spans="10:12" x14ac:dyDescent="0.3">
      <c r="J4188">
        <v>4165</v>
      </c>
      <c r="K4188" s="10">
        <v>0.24177230532606958</v>
      </c>
      <c r="L4188" s="10">
        <v>0.22487855015856784</v>
      </c>
    </row>
    <row r="4189" spans="10:12" x14ac:dyDescent="0.3">
      <c r="J4189">
        <v>4166</v>
      </c>
      <c r="K4189" s="10">
        <v>0.19674834183090928</v>
      </c>
      <c r="L4189" s="10">
        <v>0.29656783986623736</v>
      </c>
    </row>
    <row r="4190" spans="10:12" x14ac:dyDescent="0.3">
      <c r="J4190">
        <v>4167</v>
      </c>
      <c r="K4190" s="10">
        <v>0.21883609196339227</v>
      </c>
      <c r="L4190" s="10">
        <v>8.7214180986737694E-2</v>
      </c>
    </row>
    <row r="4191" spans="10:12" x14ac:dyDescent="0.3">
      <c r="J4191">
        <v>4168</v>
      </c>
      <c r="K4191" s="10">
        <v>0.20172993810334869</v>
      </c>
      <c r="L4191" s="10">
        <v>0.20068054940739027</v>
      </c>
    </row>
    <row r="4192" spans="10:12" x14ac:dyDescent="0.3">
      <c r="J4192">
        <v>4169</v>
      </c>
      <c r="K4192" s="10">
        <v>0.20732421438803175</v>
      </c>
      <c r="L4192" s="10">
        <v>9.8652896149453329E-2</v>
      </c>
    </row>
    <row r="4193" spans="10:12" x14ac:dyDescent="0.3">
      <c r="J4193">
        <v>4170</v>
      </c>
      <c r="K4193" s="10">
        <v>0.22966112151146037</v>
      </c>
      <c r="L4193" s="10">
        <v>2.060889350015143E-2</v>
      </c>
    </row>
    <row r="4194" spans="10:12" x14ac:dyDescent="0.3">
      <c r="J4194">
        <v>4171</v>
      </c>
      <c r="K4194" s="10">
        <v>0.19756231386375278</v>
      </c>
      <c r="L4194" s="10">
        <v>0.32557507872183072</v>
      </c>
    </row>
    <row r="4195" spans="10:12" x14ac:dyDescent="0.3">
      <c r="J4195">
        <v>4172</v>
      </c>
      <c r="K4195" s="10">
        <v>0.18896698534529344</v>
      </c>
      <c r="L4195" s="10">
        <v>0.32740910602342282</v>
      </c>
    </row>
    <row r="4196" spans="10:12" x14ac:dyDescent="0.3">
      <c r="J4196">
        <v>4173</v>
      </c>
      <c r="K4196" s="10">
        <v>0.2291070846047048</v>
      </c>
      <c r="L4196" s="10">
        <v>2.9107002228423287E-2</v>
      </c>
    </row>
    <row r="4197" spans="10:12" x14ac:dyDescent="0.3">
      <c r="J4197">
        <v>4174</v>
      </c>
      <c r="K4197" s="10">
        <v>0.19933638210204935</v>
      </c>
      <c r="L4197" s="10">
        <v>0.20020512716780273</v>
      </c>
    </row>
    <row r="4198" spans="10:12" x14ac:dyDescent="0.3">
      <c r="J4198">
        <v>4175</v>
      </c>
      <c r="K4198" s="10">
        <v>0.20001663000837311</v>
      </c>
      <c r="L4198" s="10">
        <v>0.13917507911196864</v>
      </c>
    </row>
    <row r="4199" spans="10:12" x14ac:dyDescent="0.3">
      <c r="J4199">
        <v>4176</v>
      </c>
      <c r="K4199" s="10">
        <v>0.19572056200796778</v>
      </c>
      <c r="L4199" s="10">
        <v>0.33762565274862488</v>
      </c>
    </row>
    <row r="4200" spans="10:12" x14ac:dyDescent="0.3">
      <c r="J4200">
        <v>4177</v>
      </c>
      <c r="K4200" s="10">
        <v>0.19208423529499058</v>
      </c>
      <c r="L4200" s="10">
        <v>0.21671690083699327</v>
      </c>
    </row>
    <row r="4201" spans="10:12" x14ac:dyDescent="0.3">
      <c r="J4201">
        <v>4178</v>
      </c>
      <c r="K4201" s="10">
        <v>0.18944548200286829</v>
      </c>
      <c r="L4201" s="10">
        <v>0.3276959524277846</v>
      </c>
    </row>
    <row r="4202" spans="10:12" x14ac:dyDescent="0.3">
      <c r="J4202">
        <v>4179</v>
      </c>
      <c r="K4202" s="10">
        <v>0.20841960802197856</v>
      </c>
      <c r="L4202" s="10">
        <v>0.12123410803432028</v>
      </c>
    </row>
    <row r="4203" spans="10:12" x14ac:dyDescent="0.3">
      <c r="J4203">
        <v>4180</v>
      </c>
      <c r="K4203" s="10">
        <v>0.25177622264969723</v>
      </c>
      <c r="L4203" s="10">
        <v>-6.6654142344093836E-2</v>
      </c>
    </row>
    <row r="4204" spans="10:12" x14ac:dyDescent="0.3">
      <c r="J4204">
        <v>4181</v>
      </c>
      <c r="K4204" s="10">
        <v>0.20592250766989031</v>
      </c>
      <c r="L4204" s="10">
        <v>0.16986736528188773</v>
      </c>
    </row>
    <row r="4205" spans="10:12" x14ac:dyDescent="0.3">
      <c r="J4205">
        <v>4182</v>
      </c>
      <c r="K4205" s="10">
        <v>0.21787392049801779</v>
      </c>
      <c r="L4205" s="10">
        <v>0.10621892391389533</v>
      </c>
    </row>
    <row r="4206" spans="10:12" x14ac:dyDescent="0.3">
      <c r="J4206">
        <v>4183</v>
      </c>
      <c r="K4206" s="10">
        <v>0.23325209482969961</v>
      </c>
      <c r="L4206" s="10">
        <v>8.0608756420422617E-2</v>
      </c>
    </row>
    <row r="4207" spans="10:12" x14ac:dyDescent="0.3">
      <c r="J4207">
        <v>4184</v>
      </c>
      <c r="K4207" s="10">
        <v>0.2021056828003398</v>
      </c>
      <c r="L4207" s="10">
        <v>0.34061273613782245</v>
      </c>
    </row>
    <row r="4208" spans="10:12" x14ac:dyDescent="0.3">
      <c r="J4208">
        <v>4185</v>
      </c>
      <c r="K4208" s="10">
        <v>0.19876036954981663</v>
      </c>
      <c r="L4208" s="10">
        <v>0.45738282596872964</v>
      </c>
    </row>
    <row r="4209" spans="10:12" x14ac:dyDescent="0.3">
      <c r="J4209">
        <v>4186</v>
      </c>
      <c r="K4209" s="10">
        <v>0.20192859416051423</v>
      </c>
      <c r="L4209" s="10">
        <v>0.49197051549787513</v>
      </c>
    </row>
    <row r="4210" spans="10:12" x14ac:dyDescent="0.3">
      <c r="J4210">
        <v>4187</v>
      </c>
      <c r="K4210" s="10">
        <v>0.19703955105034465</v>
      </c>
      <c r="L4210" s="10">
        <v>0.38460590825908941</v>
      </c>
    </row>
    <row r="4211" spans="10:12" x14ac:dyDescent="0.3">
      <c r="J4211">
        <v>4188</v>
      </c>
      <c r="K4211" s="10">
        <v>0.19647098710226671</v>
      </c>
      <c r="L4211" s="10">
        <v>0.23809463991238231</v>
      </c>
    </row>
    <row r="4212" spans="10:12" x14ac:dyDescent="0.3">
      <c r="J4212">
        <v>4189</v>
      </c>
      <c r="K4212" s="10">
        <v>0.19350691746671228</v>
      </c>
      <c r="L4212" s="10">
        <v>0.30621344375859572</v>
      </c>
    </row>
    <row r="4213" spans="10:12" x14ac:dyDescent="0.3">
      <c r="J4213">
        <v>4190</v>
      </c>
      <c r="K4213" s="10">
        <v>0.19216512162626745</v>
      </c>
      <c r="L4213" s="10">
        <v>0.38124124694343936</v>
      </c>
    </row>
    <row r="4214" spans="10:12" x14ac:dyDescent="0.3">
      <c r="J4214">
        <v>4191</v>
      </c>
      <c r="K4214" s="10">
        <v>0.24192771679747438</v>
      </c>
      <c r="L4214" s="10">
        <v>-7.7313571254916322E-2</v>
      </c>
    </row>
    <row r="4215" spans="10:12" x14ac:dyDescent="0.3">
      <c r="J4215">
        <v>4192</v>
      </c>
      <c r="K4215" s="10">
        <v>0.30365661637615016</v>
      </c>
      <c r="L4215" s="10">
        <v>-7.1467869719846297E-2</v>
      </c>
    </row>
    <row r="4216" spans="10:12" x14ac:dyDescent="0.3">
      <c r="J4216">
        <v>4193</v>
      </c>
      <c r="K4216" s="10">
        <v>0.21283293686520383</v>
      </c>
      <c r="L4216" s="10">
        <v>0.13574218853410033</v>
      </c>
    </row>
    <row r="4217" spans="10:12" x14ac:dyDescent="0.3">
      <c r="J4217">
        <v>4194</v>
      </c>
      <c r="K4217" s="10">
        <v>0.20557823058665617</v>
      </c>
      <c r="L4217" s="10">
        <v>0.13941394960261053</v>
      </c>
    </row>
    <row r="4218" spans="10:12" x14ac:dyDescent="0.3">
      <c r="J4218">
        <v>4195</v>
      </c>
      <c r="K4218" s="10">
        <v>0.22329623296686515</v>
      </c>
      <c r="L4218" s="10">
        <v>0.5983299612326598</v>
      </c>
    </row>
    <row r="4219" spans="10:12" x14ac:dyDescent="0.3">
      <c r="J4219">
        <v>4196</v>
      </c>
      <c r="K4219" s="10">
        <v>0.22500889547345679</v>
      </c>
      <c r="L4219" s="10">
        <v>-1.7285492380770262E-3</v>
      </c>
    </row>
    <row r="4220" spans="10:12" x14ac:dyDescent="0.3">
      <c r="J4220">
        <v>4197</v>
      </c>
      <c r="K4220" s="10">
        <v>0.2183401552956214</v>
      </c>
      <c r="L4220" s="10">
        <v>0.42114399661672808</v>
      </c>
    </row>
    <row r="4221" spans="10:12" x14ac:dyDescent="0.3">
      <c r="J4221">
        <v>4198</v>
      </c>
      <c r="K4221" s="10">
        <v>0.23381593747462648</v>
      </c>
      <c r="L4221" s="10">
        <v>0.30604451312010794</v>
      </c>
    </row>
    <row r="4222" spans="10:12" x14ac:dyDescent="0.3">
      <c r="J4222">
        <v>4199</v>
      </c>
      <c r="K4222" s="10">
        <v>0.22333525884183497</v>
      </c>
      <c r="L4222" s="10">
        <v>0.49175669337977268</v>
      </c>
    </row>
    <row r="4223" spans="10:12" x14ac:dyDescent="0.3">
      <c r="J4223">
        <v>4200</v>
      </c>
      <c r="K4223" s="10">
        <v>0.20902315915761335</v>
      </c>
      <c r="L4223" s="10">
        <v>0.17947547381612108</v>
      </c>
    </row>
    <row r="4224" spans="10:12" x14ac:dyDescent="0.3">
      <c r="J4224">
        <v>4201</v>
      </c>
      <c r="K4224" s="10">
        <v>0.19521607996911244</v>
      </c>
      <c r="L4224" s="10">
        <v>0.18834344015120685</v>
      </c>
    </row>
    <row r="4225" spans="10:12" x14ac:dyDescent="0.3">
      <c r="J4225">
        <v>4202</v>
      </c>
      <c r="K4225" s="10">
        <v>0.2480636432464684</v>
      </c>
      <c r="L4225" s="10">
        <v>-7.1773968117180842E-2</v>
      </c>
    </row>
    <row r="4226" spans="10:12" x14ac:dyDescent="0.3">
      <c r="J4226">
        <v>4203</v>
      </c>
      <c r="K4226" s="10">
        <v>0.23612545907068894</v>
      </c>
      <c r="L4226" s="10">
        <v>-1.4929934135621659E-2</v>
      </c>
    </row>
    <row r="4227" spans="10:12" x14ac:dyDescent="0.3">
      <c r="J4227">
        <v>4204</v>
      </c>
      <c r="K4227" s="10">
        <v>0.22485588858189623</v>
      </c>
      <c r="L4227" s="10">
        <v>0.21789797508240502</v>
      </c>
    </row>
    <row r="4228" spans="10:12" x14ac:dyDescent="0.3">
      <c r="J4228">
        <v>4205</v>
      </c>
      <c r="K4228" s="10">
        <v>0.29608323287920485</v>
      </c>
      <c r="L4228" s="10">
        <v>-9.1592710928973961E-2</v>
      </c>
    </row>
    <row r="4229" spans="10:12" x14ac:dyDescent="0.3">
      <c r="J4229">
        <v>4206</v>
      </c>
      <c r="K4229" s="10">
        <v>0.20111865093035691</v>
      </c>
      <c r="L4229" s="10">
        <v>0.13168058589853701</v>
      </c>
    </row>
    <row r="4230" spans="10:12" x14ac:dyDescent="0.3">
      <c r="J4230">
        <v>4207</v>
      </c>
      <c r="K4230" s="10">
        <v>0.22298787048501773</v>
      </c>
      <c r="L4230" s="10">
        <v>1.1835216138551222E-2</v>
      </c>
    </row>
    <row r="4231" spans="10:12" x14ac:dyDescent="0.3">
      <c r="J4231">
        <v>4208</v>
      </c>
      <c r="K4231" s="10">
        <v>0.21314176150526934</v>
      </c>
      <c r="L4231" s="10">
        <v>0.37096346765078925</v>
      </c>
    </row>
    <row r="4232" spans="10:12" x14ac:dyDescent="0.3">
      <c r="J4232">
        <v>4209</v>
      </c>
      <c r="K4232" s="10">
        <v>0.19124186388300637</v>
      </c>
      <c r="L4232" s="10">
        <v>0.257597890943492</v>
      </c>
    </row>
    <row r="4233" spans="10:12" x14ac:dyDescent="0.3">
      <c r="J4233">
        <v>4210</v>
      </c>
      <c r="K4233" s="10">
        <v>0.23666001408707521</v>
      </c>
      <c r="L4233" s="10">
        <v>-5.8774339872845749E-2</v>
      </c>
    </row>
    <row r="4234" spans="10:12" x14ac:dyDescent="0.3">
      <c r="J4234">
        <v>4211</v>
      </c>
      <c r="K4234" s="10">
        <v>0.20745240287653502</v>
      </c>
      <c r="L4234" s="10">
        <v>0.40127865890162173</v>
      </c>
    </row>
    <row r="4235" spans="10:12" x14ac:dyDescent="0.3">
      <c r="J4235">
        <v>4212</v>
      </c>
      <c r="K4235" s="10">
        <v>0.21816544669199212</v>
      </c>
      <c r="L4235" s="10">
        <v>6.3671913146468209E-2</v>
      </c>
    </row>
    <row r="4236" spans="10:12" x14ac:dyDescent="0.3">
      <c r="J4236">
        <v>4213</v>
      </c>
      <c r="K4236" s="10">
        <v>0.20694632606340777</v>
      </c>
      <c r="L4236" s="10">
        <v>0.4114525200305576</v>
      </c>
    </row>
    <row r="4237" spans="10:12" x14ac:dyDescent="0.3">
      <c r="J4237">
        <v>4214</v>
      </c>
      <c r="K4237" s="10">
        <v>0.21670360839398967</v>
      </c>
      <c r="L4237" s="10">
        <v>9.5885424441076311E-2</v>
      </c>
    </row>
    <row r="4238" spans="10:12" x14ac:dyDescent="0.3">
      <c r="J4238">
        <v>4215</v>
      </c>
      <c r="K4238" s="10">
        <v>0.19316426579070972</v>
      </c>
      <c r="L4238" s="10">
        <v>0.34539849640507281</v>
      </c>
    </row>
    <row r="4239" spans="10:12" x14ac:dyDescent="0.3">
      <c r="J4239">
        <v>4216</v>
      </c>
      <c r="K4239" s="10">
        <v>0.22189872324467191</v>
      </c>
      <c r="L4239" s="10">
        <v>7.153053313111446E-3</v>
      </c>
    </row>
    <row r="4240" spans="10:12" x14ac:dyDescent="0.3">
      <c r="J4240">
        <v>4217</v>
      </c>
      <c r="K4240" s="10">
        <v>0.2234973706239303</v>
      </c>
      <c r="L4240" s="10">
        <v>2.2725505534498938E-2</v>
      </c>
    </row>
    <row r="4241" spans="10:12" x14ac:dyDescent="0.3">
      <c r="J4241">
        <v>4218</v>
      </c>
      <c r="K4241" s="10">
        <v>0.21444396058803922</v>
      </c>
      <c r="L4241" s="10">
        <v>4.6811561604797471E-2</v>
      </c>
    </row>
    <row r="4242" spans="10:12" x14ac:dyDescent="0.3">
      <c r="J4242">
        <v>4219</v>
      </c>
      <c r="K4242" s="10">
        <v>0.19835458342127882</v>
      </c>
      <c r="L4242" s="10">
        <v>0.45910249887818666</v>
      </c>
    </row>
    <row r="4243" spans="10:12" x14ac:dyDescent="0.3">
      <c r="J4243">
        <v>4220</v>
      </c>
      <c r="K4243" s="10">
        <v>0.25682521295008326</v>
      </c>
      <c r="L4243" s="10">
        <v>-5.5629735951347008E-2</v>
      </c>
    </row>
    <row r="4244" spans="10:12" x14ac:dyDescent="0.3">
      <c r="J4244">
        <v>4221</v>
      </c>
      <c r="K4244" s="10">
        <v>0.23346970622153271</v>
      </c>
      <c r="L4244" s="10">
        <v>0.6417793120119607</v>
      </c>
    </row>
    <row r="4245" spans="10:12" x14ac:dyDescent="0.3">
      <c r="J4245">
        <v>4222</v>
      </c>
      <c r="K4245" s="10">
        <v>0.19694748031015508</v>
      </c>
      <c r="L4245" s="10">
        <v>0.33449758967037058</v>
      </c>
    </row>
    <row r="4246" spans="10:12" x14ac:dyDescent="0.3">
      <c r="J4246">
        <v>4223</v>
      </c>
      <c r="K4246" s="10">
        <v>0.25620746498277991</v>
      </c>
      <c r="L4246" s="10">
        <v>3.6868214368871173E-2</v>
      </c>
    </row>
    <row r="4247" spans="10:12" x14ac:dyDescent="0.3">
      <c r="J4247">
        <v>4224</v>
      </c>
      <c r="K4247" s="10">
        <v>0.21885045077242979</v>
      </c>
      <c r="L4247" s="10">
        <v>0.42798842693621642</v>
      </c>
    </row>
    <row r="4248" spans="10:12" x14ac:dyDescent="0.3">
      <c r="J4248">
        <v>4225</v>
      </c>
      <c r="K4248" s="10">
        <v>0.20500275685692779</v>
      </c>
      <c r="L4248" s="10">
        <v>0.1597525513311028</v>
      </c>
    </row>
    <row r="4249" spans="10:12" x14ac:dyDescent="0.3">
      <c r="J4249">
        <v>4226</v>
      </c>
      <c r="K4249" s="10">
        <v>0.19994402983136678</v>
      </c>
      <c r="L4249" s="10">
        <v>0.35137315882953879</v>
      </c>
    </row>
    <row r="4250" spans="10:12" x14ac:dyDescent="0.3">
      <c r="J4250">
        <v>4227</v>
      </c>
      <c r="K4250" s="10">
        <v>0.2190249974127598</v>
      </c>
      <c r="L4250" s="10">
        <v>0.13605206585842539</v>
      </c>
    </row>
    <row r="4251" spans="10:12" x14ac:dyDescent="0.3">
      <c r="J4251">
        <v>4228</v>
      </c>
      <c r="K4251" s="10">
        <v>0.25306010597618833</v>
      </c>
      <c r="L4251" s="10">
        <v>-3.2001598685642917E-2</v>
      </c>
    </row>
    <row r="4252" spans="10:12" x14ac:dyDescent="0.3">
      <c r="J4252">
        <v>4229</v>
      </c>
      <c r="K4252" s="10">
        <v>0.19007390695725129</v>
      </c>
      <c r="L4252" s="10">
        <v>0.27191709075051312</v>
      </c>
    </row>
    <row r="4253" spans="10:12" x14ac:dyDescent="0.3">
      <c r="J4253">
        <v>4230</v>
      </c>
      <c r="K4253" s="10">
        <v>0.21192477240479868</v>
      </c>
      <c r="L4253" s="10">
        <v>0.17741142105085025</v>
      </c>
    </row>
    <row r="4254" spans="10:12" x14ac:dyDescent="0.3">
      <c r="J4254">
        <v>4231</v>
      </c>
      <c r="K4254" s="10">
        <v>0.20168011894056542</v>
      </c>
      <c r="L4254" s="10">
        <v>0.46162311130146499</v>
      </c>
    </row>
    <row r="4255" spans="10:12" x14ac:dyDescent="0.3">
      <c r="J4255">
        <v>4232</v>
      </c>
      <c r="K4255" s="10">
        <v>0.24718587215797502</v>
      </c>
      <c r="L4255" s="10">
        <v>0.7175611919952285</v>
      </c>
    </row>
    <row r="4256" spans="10:12" x14ac:dyDescent="0.3">
      <c r="J4256">
        <v>4233</v>
      </c>
      <c r="K4256" s="10">
        <v>0.20764018283329094</v>
      </c>
      <c r="L4256" s="10">
        <v>0.41865088441714382</v>
      </c>
    </row>
    <row r="4257" spans="10:12" x14ac:dyDescent="0.3">
      <c r="J4257">
        <v>4234</v>
      </c>
      <c r="K4257" s="10">
        <v>0.22823391128352605</v>
      </c>
      <c r="L4257" s="10">
        <v>-1.0831708132662002E-2</v>
      </c>
    </row>
    <row r="4258" spans="10:12" x14ac:dyDescent="0.3">
      <c r="J4258">
        <v>4235</v>
      </c>
      <c r="K4258" s="10">
        <v>0.22691173888065033</v>
      </c>
      <c r="L4258" s="10">
        <v>0.4795476733178875</v>
      </c>
    </row>
    <row r="4259" spans="10:12" x14ac:dyDescent="0.3">
      <c r="J4259">
        <v>4236</v>
      </c>
      <c r="K4259" s="10">
        <v>0.26227443834499053</v>
      </c>
      <c r="L4259" s="10">
        <v>0.19924833618328963</v>
      </c>
    </row>
    <row r="4260" spans="10:12" x14ac:dyDescent="0.3">
      <c r="J4260">
        <v>4237</v>
      </c>
      <c r="K4260" s="10">
        <v>0.20519790831516049</v>
      </c>
      <c r="L4260" s="10">
        <v>0.14697117041841851</v>
      </c>
    </row>
    <row r="4261" spans="10:12" x14ac:dyDescent="0.3">
      <c r="J4261">
        <v>4238</v>
      </c>
      <c r="K4261" s="10">
        <v>0.22640646989143348</v>
      </c>
      <c r="L4261" s="10">
        <v>0.59819670207284215</v>
      </c>
    </row>
    <row r="4262" spans="10:12" x14ac:dyDescent="0.3">
      <c r="J4262">
        <v>4239</v>
      </c>
      <c r="K4262" s="10">
        <v>0.22468382446113447</v>
      </c>
      <c r="L4262" s="10">
        <v>0.47670248231158707</v>
      </c>
    </row>
    <row r="4263" spans="10:12" x14ac:dyDescent="0.3">
      <c r="J4263">
        <v>4240</v>
      </c>
      <c r="K4263" s="10">
        <v>0.2558045055304129</v>
      </c>
      <c r="L4263" s="10">
        <v>-8.1571256841750359E-2</v>
      </c>
    </row>
    <row r="4264" spans="10:12" x14ac:dyDescent="0.3">
      <c r="J4264">
        <v>4241</v>
      </c>
      <c r="K4264" s="10">
        <v>0.29483045162144589</v>
      </c>
      <c r="L4264" s="10">
        <v>2.3946877126626513E-2</v>
      </c>
    </row>
    <row r="4265" spans="10:12" x14ac:dyDescent="0.3">
      <c r="J4265">
        <v>4242</v>
      </c>
      <c r="K4265" s="10">
        <v>0.24044306703504797</v>
      </c>
      <c r="L4265" s="10">
        <v>-4.817405126205529E-2</v>
      </c>
    </row>
    <row r="4266" spans="10:12" x14ac:dyDescent="0.3">
      <c r="J4266">
        <v>4243</v>
      </c>
      <c r="K4266" s="10">
        <v>0.23248359427312884</v>
      </c>
      <c r="L4266" s="10">
        <v>0.65485655218036143</v>
      </c>
    </row>
    <row r="4267" spans="10:12" x14ac:dyDescent="0.3">
      <c r="J4267">
        <v>4244</v>
      </c>
      <c r="K4267" s="10">
        <v>0.20203360904443687</v>
      </c>
      <c r="L4267" s="10">
        <v>0.43577035299194394</v>
      </c>
    </row>
    <row r="4268" spans="10:12" x14ac:dyDescent="0.3">
      <c r="J4268">
        <v>4245</v>
      </c>
      <c r="K4268" s="10">
        <v>0.24003176582173352</v>
      </c>
      <c r="L4268" s="10">
        <v>0.6793137519439747</v>
      </c>
    </row>
    <row r="4269" spans="10:12" x14ac:dyDescent="0.3">
      <c r="J4269">
        <v>4246</v>
      </c>
      <c r="K4269" s="10">
        <v>0.2859888773444389</v>
      </c>
      <c r="L4269" s="10">
        <v>0.12774048250860284</v>
      </c>
    </row>
    <row r="4270" spans="10:12" x14ac:dyDescent="0.3">
      <c r="J4270">
        <v>4247</v>
      </c>
      <c r="K4270" s="10">
        <v>0.19138933951011955</v>
      </c>
      <c r="L4270" s="10">
        <v>0.22946226243108855</v>
      </c>
    </row>
    <row r="4271" spans="10:12" x14ac:dyDescent="0.3">
      <c r="J4271">
        <v>4248</v>
      </c>
      <c r="K4271" s="10">
        <v>0.23525629667203601</v>
      </c>
      <c r="L4271" s="10">
        <v>7.0634043475716723E-2</v>
      </c>
    </row>
    <row r="4272" spans="10:12" x14ac:dyDescent="0.3">
      <c r="J4272">
        <v>4249</v>
      </c>
      <c r="K4272" s="10">
        <v>0.19889982660445985</v>
      </c>
      <c r="L4272" s="10">
        <v>0.39412165865151644</v>
      </c>
    </row>
    <row r="4273" spans="10:12" x14ac:dyDescent="0.3">
      <c r="J4273">
        <v>4250</v>
      </c>
      <c r="K4273" s="10">
        <v>0.26863161067289687</v>
      </c>
      <c r="L4273" s="10">
        <v>0.79863433181242249</v>
      </c>
    </row>
    <row r="4274" spans="10:12" x14ac:dyDescent="0.3">
      <c r="J4274">
        <v>4251</v>
      </c>
      <c r="K4274" s="10">
        <v>0.19961750170907863</v>
      </c>
      <c r="L4274" s="10">
        <v>0.36615165532253857</v>
      </c>
    </row>
    <row r="4275" spans="10:12" x14ac:dyDescent="0.3">
      <c r="J4275">
        <v>4252</v>
      </c>
      <c r="K4275" s="10">
        <v>0.24701040529266668</v>
      </c>
      <c r="L4275" s="10">
        <v>0.71317901622143909</v>
      </c>
    </row>
    <row r="4276" spans="10:12" x14ac:dyDescent="0.3">
      <c r="J4276">
        <v>4253</v>
      </c>
      <c r="K4276" s="10">
        <v>0.25184420037735511</v>
      </c>
      <c r="L4276" s="10">
        <v>0.14963565506745569</v>
      </c>
    </row>
    <row r="4277" spans="10:12" x14ac:dyDescent="0.3">
      <c r="J4277">
        <v>4254</v>
      </c>
      <c r="K4277" s="10">
        <v>0.19025367131546458</v>
      </c>
      <c r="L4277" s="10">
        <v>0.29743155999200116</v>
      </c>
    </row>
    <row r="4278" spans="10:12" x14ac:dyDescent="0.3">
      <c r="J4278">
        <v>4255</v>
      </c>
      <c r="K4278" s="10">
        <v>0.20207550205464789</v>
      </c>
      <c r="L4278" s="10">
        <v>0.47431371726283317</v>
      </c>
    </row>
    <row r="4279" spans="10:12" x14ac:dyDescent="0.3">
      <c r="J4279">
        <v>4256</v>
      </c>
      <c r="K4279" s="10">
        <v>0.21893501245263008</v>
      </c>
      <c r="L4279" s="10">
        <v>0.54667437537114227</v>
      </c>
    </row>
    <row r="4280" spans="10:12" x14ac:dyDescent="0.3">
      <c r="J4280">
        <v>4257</v>
      </c>
      <c r="K4280" s="10">
        <v>0.23374859167314702</v>
      </c>
      <c r="L4280" s="10">
        <v>1.378890022296117E-2</v>
      </c>
    </row>
    <row r="4281" spans="10:12" x14ac:dyDescent="0.3">
      <c r="J4281">
        <v>4258</v>
      </c>
      <c r="K4281" s="10">
        <v>0.23752100357198677</v>
      </c>
      <c r="L4281" s="10">
        <v>1.0047615592054832E-2</v>
      </c>
    </row>
    <row r="4282" spans="10:12" x14ac:dyDescent="0.3">
      <c r="J4282">
        <v>4259</v>
      </c>
      <c r="K4282" s="10">
        <v>0.23677769137453852</v>
      </c>
      <c r="L4282" s="10">
        <v>-5.6981470705912078E-2</v>
      </c>
    </row>
    <row r="4283" spans="10:12" x14ac:dyDescent="0.3">
      <c r="J4283">
        <v>4260</v>
      </c>
      <c r="K4283" s="10">
        <v>0.18975193403359653</v>
      </c>
      <c r="L4283" s="10">
        <v>0.25878244061223865</v>
      </c>
    </row>
    <row r="4284" spans="10:12" x14ac:dyDescent="0.3">
      <c r="J4284">
        <v>4261</v>
      </c>
      <c r="K4284" s="10">
        <v>0.22436729895779975</v>
      </c>
      <c r="L4284" s="10">
        <v>-3.6340033903865879E-3</v>
      </c>
    </row>
    <row r="4285" spans="10:12" x14ac:dyDescent="0.3">
      <c r="J4285">
        <v>4262</v>
      </c>
      <c r="K4285" s="10">
        <v>0.20418247690744279</v>
      </c>
      <c r="L4285" s="10">
        <v>0.13846304641149593</v>
      </c>
    </row>
    <row r="4286" spans="10:12" x14ac:dyDescent="0.3">
      <c r="J4286">
        <v>4263</v>
      </c>
      <c r="K4286" s="10">
        <v>0.20340712715975212</v>
      </c>
      <c r="L4286" s="10">
        <v>0.34011489393954086</v>
      </c>
    </row>
    <row r="4287" spans="10:12" x14ac:dyDescent="0.3">
      <c r="J4287">
        <v>4264</v>
      </c>
      <c r="K4287" s="10">
        <v>0.18936826007797083</v>
      </c>
      <c r="L4287" s="10">
        <v>0.26629444854870504</v>
      </c>
    </row>
    <row r="4288" spans="10:12" x14ac:dyDescent="0.3">
      <c r="J4288">
        <v>4265</v>
      </c>
      <c r="K4288" s="10">
        <v>0.19861079858495309</v>
      </c>
      <c r="L4288" s="10">
        <v>0.23826944940358169</v>
      </c>
    </row>
    <row r="4289" spans="10:12" x14ac:dyDescent="0.3">
      <c r="J4289">
        <v>4266</v>
      </c>
      <c r="K4289" s="10">
        <v>0.23585953194492179</v>
      </c>
      <c r="L4289" s="10">
        <v>5.2303420069156129E-2</v>
      </c>
    </row>
    <row r="4290" spans="10:12" x14ac:dyDescent="0.3">
      <c r="J4290">
        <v>4267</v>
      </c>
      <c r="K4290" s="10">
        <v>0.2486811791368593</v>
      </c>
      <c r="L4290" s="10">
        <v>9.5633252448454331E-4</v>
      </c>
    </row>
    <row r="4291" spans="10:12" x14ac:dyDescent="0.3">
      <c r="J4291">
        <v>4268</v>
      </c>
      <c r="K4291" s="10">
        <v>0.24944043136193858</v>
      </c>
      <c r="L4291" s="10">
        <v>-9.385506670214265E-2</v>
      </c>
    </row>
    <row r="4292" spans="10:12" x14ac:dyDescent="0.3">
      <c r="J4292">
        <v>4269</v>
      </c>
      <c r="K4292" s="10">
        <v>0.23417822000254127</v>
      </c>
      <c r="L4292" s="10">
        <v>0.10445913032056686</v>
      </c>
    </row>
    <row r="4293" spans="10:12" x14ac:dyDescent="0.3">
      <c r="J4293">
        <v>4270</v>
      </c>
      <c r="K4293" s="10">
        <v>0.23051467203134643</v>
      </c>
      <c r="L4293" s="10">
        <v>-2.135683389239882E-2</v>
      </c>
    </row>
    <row r="4294" spans="10:12" x14ac:dyDescent="0.3">
      <c r="J4294">
        <v>4271</v>
      </c>
      <c r="K4294" s="10">
        <v>0.21096082244254705</v>
      </c>
      <c r="L4294" s="10">
        <v>0.20056134894812022</v>
      </c>
    </row>
    <row r="4295" spans="10:12" x14ac:dyDescent="0.3">
      <c r="J4295">
        <v>4272</v>
      </c>
      <c r="K4295" s="10">
        <v>0.28316900972490022</v>
      </c>
      <c r="L4295" s="10">
        <v>-2.8131106338145976E-2</v>
      </c>
    </row>
    <row r="4296" spans="10:12" x14ac:dyDescent="0.3">
      <c r="J4296">
        <v>4273</v>
      </c>
      <c r="K4296" s="10">
        <v>0.1941883654121577</v>
      </c>
      <c r="L4296" s="10">
        <v>0.25058960716585665</v>
      </c>
    </row>
    <row r="4297" spans="10:12" x14ac:dyDescent="0.3">
      <c r="J4297">
        <v>4274</v>
      </c>
      <c r="K4297" s="10">
        <v>0.18911083023356628</v>
      </c>
      <c r="L4297" s="10">
        <v>0.32365587447705296</v>
      </c>
    </row>
    <row r="4298" spans="10:12" x14ac:dyDescent="0.3">
      <c r="J4298">
        <v>4275</v>
      </c>
      <c r="K4298" s="10">
        <v>0.22241000642692596</v>
      </c>
      <c r="L4298" s="10">
        <v>0.11037361869343706</v>
      </c>
    </row>
    <row r="4299" spans="10:12" x14ac:dyDescent="0.3">
      <c r="J4299">
        <v>4276</v>
      </c>
      <c r="K4299" s="10">
        <v>0.22054641067956246</v>
      </c>
      <c r="L4299" s="10">
        <v>0.58377480226822942</v>
      </c>
    </row>
    <row r="4300" spans="10:12" x14ac:dyDescent="0.3">
      <c r="J4300">
        <v>4277</v>
      </c>
      <c r="K4300" s="10">
        <v>0.21638878873037665</v>
      </c>
      <c r="L4300" s="10">
        <v>0.52668526825343631</v>
      </c>
    </row>
    <row r="4301" spans="10:12" x14ac:dyDescent="0.3">
      <c r="J4301">
        <v>4278</v>
      </c>
      <c r="K4301" s="10">
        <v>0.22410978483825947</v>
      </c>
      <c r="L4301" s="10">
        <v>0.53346410349663065</v>
      </c>
    </row>
    <row r="4302" spans="10:12" x14ac:dyDescent="0.3">
      <c r="J4302">
        <v>4279</v>
      </c>
      <c r="K4302" s="10">
        <v>0.19396446004143936</v>
      </c>
      <c r="L4302" s="10">
        <v>0.40918486128085224</v>
      </c>
    </row>
    <row r="4303" spans="10:12" x14ac:dyDescent="0.3">
      <c r="J4303">
        <v>4280</v>
      </c>
      <c r="K4303" s="10">
        <v>0.19444216212710105</v>
      </c>
      <c r="L4303" s="10">
        <v>0.26625402095544326</v>
      </c>
    </row>
    <row r="4304" spans="10:12" x14ac:dyDescent="0.3">
      <c r="J4304">
        <v>4281</v>
      </c>
      <c r="K4304" s="10">
        <v>0.2016620297252136</v>
      </c>
      <c r="L4304" s="10">
        <v>0.46661359936821445</v>
      </c>
    </row>
    <row r="4305" spans="10:12" x14ac:dyDescent="0.3">
      <c r="J4305">
        <v>4282</v>
      </c>
      <c r="K4305" s="10">
        <v>0.20301208200380205</v>
      </c>
      <c r="L4305" s="10">
        <v>0.49150129727978131</v>
      </c>
    </row>
    <row r="4306" spans="10:12" x14ac:dyDescent="0.3">
      <c r="J4306">
        <v>4283</v>
      </c>
      <c r="K4306" s="10">
        <v>0.22253816357748921</v>
      </c>
      <c r="L4306" s="10">
        <v>0.32690861397734294</v>
      </c>
    </row>
    <row r="4307" spans="10:12" x14ac:dyDescent="0.3">
      <c r="J4307">
        <v>4284</v>
      </c>
      <c r="K4307" s="10">
        <v>0.20548611925971097</v>
      </c>
      <c r="L4307" s="10">
        <v>0.4055967465154372</v>
      </c>
    </row>
    <row r="4308" spans="10:12" x14ac:dyDescent="0.3">
      <c r="J4308">
        <v>4285</v>
      </c>
      <c r="K4308" s="10">
        <v>0.29215639414200117</v>
      </c>
      <c r="L4308" s="10">
        <v>-8.7732618655159453E-2</v>
      </c>
    </row>
    <row r="4309" spans="10:12" x14ac:dyDescent="0.3">
      <c r="J4309">
        <v>4286</v>
      </c>
      <c r="K4309" s="10">
        <v>0.25580389922445806</v>
      </c>
      <c r="L4309" s="10">
        <v>0.74992625993288609</v>
      </c>
    </row>
    <row r="4310" spans="10:12" x14ac:dyDescent="0.3">
      <c r="J4310">
        <v>4287</v>
      </c>
      <c r="K4310" s="10">
        <v>0.24107342716262725</v>
      </c>
      <c r="L4310" s="10">
        <v>-3.7740834489152983E-3</v>
      </c>
    </row>
    <row r="4311" spans="10:12" x14ac:dyDescent="0.3">
      <c r="J4311">
        <v>4288</v>
      </c>
      <c r="K4311" s="10">
        <v>0.21330288809955295</v>
      </c>
      <c r="L4311" s="10">
        <v>5.1932619553331852E-2</v>
      </c>
    </row>
    <row r="4312" spans="10:12" x14ac:dyDescent="0.3">
      <c r="J4312">
        <v>4289</v>
      </c>
      <c r="K4312" s="10">
        <v>0.31850816249000846</v>
      </c>
      <c r="L4312" s="10">
        <v>-6.9675527089249095E-2</v>
      </c>
    </row>
    <row r="4313" spans="10:12" x14ac:dyDescent="0.3">
      <c r="J4313">
        <v>4290</v>
      </c>
      <c r="K4313" s="10">
        <v>0.21292559052267129</v>
      </c>
      <c r="L4313" s="10">
        <v>0.38801556343926191</v>
      </c>
    </row>
    <row r="4314" spans="10:12" x14ac:dyDescent="0.3">
      <c r="J4314">
        <v>4291</v>
      </c>
      <c r="K4314" s="10">
        <v>0.20866078625739931</v>
      </c>
      <c r="L4314" s="10">
        <v>0.40996657978762518</v>
      </c>
    </row>
    <row r="4315" spans="10:12" x14ac:dyDescent="0.3">
      <c r="J4315">
        <v>4292</v>
      </c>
      <c r="K4315" s="10">
        <v>0.19403588154150225</v>
      </c>
      <c r="L4315" s="10">
        <v>0.27700703411663447</v>
      </c>
    </row>
    <row r="4316" spans="10:12" x14ac:dyDescent="0.3">
      <c r="J4316">
        <v>4293</v>
      </c>
      <c r="K4316" s="10">
        <v>0.227681094435387</v>
      </c>
      <c r="L4316" s="10">
        <v>0.1202391445610973</v>
      </c>
    </row>
    <row r="4317" spans="10:12" x14ac:dyDescent="0.3">
      <c r="J4317">
        <v>4294</v>
      </c>
      <c r="K4317" s="10">
        <v>0.20258969654049774</v>
      </c>
      <c r="L4317" s="10">
        <v>0.14442326808881945</v>
      </c>
    </row>
    <row r="4318" spans="10:12" x14ac:dyDescent="0.3">
      <c r="J4318">
        <v>4295</v>
      </c>
      <c r="K4318" s="10">
        <v>0.20663570949728385</v>
      </c>
      <c r="L4318" s="10">
        <v>0.38371205442325351</v>
      </c>
    </row>
    <row r="4319" spans="10:12" x14ac:dyDescent="0.3">
      <c r="J4319">
        <v>4296</v>
      </c>
      <c r="K4319" s="10">
        <v>0.19893043781356468</v>
      </c>
      <c r="L4319" s="10">
        <v>0.1977639128960797</v>
      </c>
    </row>
    <row r="4320" spans="10:12" x14ac:dyDescent="0.3">
      <c r="J4320">
        <v>4297</v>
      </c>
      <c r="K4320" s="10">
        <v>0.19354308021371247</v>
      </c>
      <c r="L4320" s="10">
        <v>0.24422268319510332</v>
      </c>
    </row>
    <row r="4321" spans="10:12" x14ac:dyDescent="0.3">
      <c r="J4321">
        <v>4298</v>
      </c>
      <c r="K4321" s="10">
        <v>0.19474746517899336</v>
      </c>
      <c r="L4321" s="10">
        <v>0.26955095966072234</v>
      </c>
    </row>
    <row r="4322" spans="10:12" x14ac:dyDescent="0.3">
      <c r="J4322">
        <v>4299</v>
      </c>
      <c r="K4322" s="10">
        <v>0.20885650451624274</v>
      </c>
      <c r="L4322" s="10">
        <v>9.1427644364157748E-2</v>
      </c>
    </row>
    <row r="4323" spans="10:12" x14ac:dyDescent="0.3">
      <c r="J4323">
        <v>4300</v>
      </c>
      <c r="K4323" s="10">
        <v>0.22011977039119243</v>
      </c>
      <c r="L4323" s="10">
        <v>3.813495646198882E-2</v>
      </c>
    </row>
    <row r="4324" spans="10:12" x14ac:dyDescent="0.3">
      <c r="J4324">
        <v>4301</v>
      </c>
      <c r="K4324" s="10">
        <v>0.20207487427928419</v>
      </c>
      <c r="L4324" s="10">
        <v>0.28556948481583982</v>
      </c>
    </row>
    <row r="4325" spans="10:12" x14ac:dyDescent="0.3">
      <c r="J4325">
        <v>4302</v>
      </c>
      <c r="K4325" s="10">
        <v>0.24918791483471195</v>
      </c>
      <c r="L4325" s="10">
        <v>-1.2798947982110731E-2</v>
      </c>
    </row>
    <row r="4326" spans="10:12" x14ac:dyDescent="0.3">
      <c r="J4326">
        <v>4303</v>
      </c>
      <c r="K4326" s="10">
        <v>0.2027088787848135</v>
      </c>
      <c r="L4326" s="10">
        <v>0.23904076462121449</v>
      </c>
    </row>
    <row r="4327" spans="10:12" x14ac:dyDescent="0.3">
      <c r="J4327">
        <v>4304</v>
      </c>
      <c r="K4327" s="10">
        <v>0.21772606634450078</v>
      </c>
      <c r="L4327" s="10">
        <v>7.6198376384103816E-2</v>
      </c>
    </row>
    <row r="4328" spans="10:12" x14ac:dyDescent="0.3">
      <c r="J4328">
        <v>4305</v>
      </c>
      <c r="K4328" s="10">
        <v>0.19256545082887652</v>
      </c>
      <c r="L4328" s="10">
        <v>0.20840673332256648</v>
      </c>
    </row>
    <row r="4329" spans="10:12" x14ac:dyDescent="0.3">
      <c r="J4329">
        <v>4306</v>
      </c>
      <c r="K4329" s="10">
        <v>0.19030456578259031</v>
      </c>
      <c r="L4329" s="10">
        <v>0.31140293404016733</v>
      </c>
    </row>
    <row r="4330" spans="10:12" x14ac:dyDescent="0.3">
      <c r="J4330">
        <v>4307</v>
      </c>
      <c r="K4330" s="10">
        <v>0.19833622255128017</v>
      </c>
      <c r="L4330" s="10">
        <v>0.17425024727292357</v>
      </c>
    </row>
    <row r="4331" spans="10:12" x14ac:dyDescent="0.3">
      <c r="J4331">
        <v>4308</v>
      </c>
      <c r="K4331" s="10">
        <v>0.20081381871189843</v>
      </c>
      <c r="L4331" s="10">
        <v>0.16330320150956873</v>
      </c>
    </row>
    <row r="4332" spans="10:12" x14ac:dyDescent="0.3">
      <c r="J4332">
        <v>4309</v>
      </c>
      <c r="K4332" s="10">
        <v>0.19353751561418023</v>
      </c>
      <c r="L4332" s="10">
        <v>0.36313825026394098</v>
      </c>
    </row>
    <row r="4333" spans="10:12" x14ac:dyDescent="0.3">
      <c r="J4333">
        <v>4310</v>
      </c>
      <c r="K4333" s="10">
        <v>0.22632396799458596</v>
      </c>
      <c r="L4333" s="10">
        <v>0.16054320557090521</v>
      </c>
    </row>
    <row r="4334" spans="10:12" x14ac:dyDescent="0.3">
      <c r="J4334">
        <v>4311</v>
      </c>
      <c r="K4334" s="10">
        <v>0.24139206871639582</v>
      </c>
      <c r="L4334" s="10">
        <v>-6.7664267698307176E-2</v>
      </c>
    </row>
    <row r="4335" spans="10:12" x14ac:dyDescent="0.3">
      <c r="J4335">
        <v>4312</v>
      </c>
      <c r="K4335" s="10">
        <v>0.2015258786175862</v>
      </c>
      <c r="L4335" s="10">
        <v>0.48670367209660931</v>
      </c>
    </row>
    <row r="4336" spans="10:12" x14ac:dyDescent="0.3">
      <c r="J4336">
        <v>4313</v>
      </c>
      <c r="K4336" s="10">
        <v>0.21198140848139974</v>
      </c>
      <c r="L4336" s="10">
        <v>0.31776153777391586</v>
      </c>
    </row>
    <row r="4337" spans="10:12" x14ac:dyDescent="0.3">
      <c r="J4337">
        <v>4314</v>
      </c>
      <c r="K4337" s="10">
        <v>0.20364848089459869</v>
      </c>
      <c r="L4337" s="10">
        <v>0.17410369087677893</v>
      </c>
    </row>
    <row r="4338" spans="10:12" x14ac:dyDescent="0.3">
      <c r="J4338">
        <v>4315</v>
      </c>
      <c r="K4338" s="10">
        <v>0.23049797322368665</v>
      </c>
      <c r="L4338" s="10">
        <v>0.26966667270895261</v>
      </c>
    </row>
    <row r="4339" spans="10:12" x14ac:dyDescent="0.3">
      <c r="J4339">
        <v>4316</v>
      </c>
      <c r="K4339" s="10">
        <v>0.22958538906790815</v>
      </c>
      <c r="L4339" s="10">
        <v>9.3632743998301043E-3</v>
      </c>
    </row>
    <row r="4340" spans="10:12" x14ac:dyDescent="0.3">
      <c r="J4340">
        <v>4317</v>
      </c>
      <c r="K4340" s="10">
        <v>0.19530790816652202</v>
      </c>
      <c r="L4340" s="10">
        <v>0.28330180615360312</v>
      </c>
    </row>
    <row r="4341" spans="10:12" x14ac:dyDescent="0.3">
      <c r="J4341">
        <v>4318</v>
      </c>
      <c r="K4341" s="10">
        <v>0.20213926069339982</v>
      </c>
      <c r="L4341" s="10">
        <v>0.16750033278318241</v>
      </c>
    </row>
    <row r="4342" spans="10:12" x14ac:dyDescent="0.3">
      <c r="J4342">
        <v>4319</v>
      </c>
      <c r="K4342" s="10">
        <v>0.2544369611352808</v>
      </c>
      <c r="L4342" s="10">
        <v>-8.3274803698725017E-2</v>
      </c>
    </row>
    <row r="4343" spans="10:12" x14ac:dyDescent="0.3">
      <c r="J4343">
        <v>4320</v>
      </c>
      <c r="K4343" s="10">
        <v>0.19765217896292292</v>
      </c>
      <c r="L4343" s="10">
        <v>0.20091857689592577</v>
      </c>
    </row>
    <row r="4344" spans="10:12" x14ac:dyDescent="0.3">
      <c r="J4344">
        <v>4321</v>
      </c>
      <c r="K4344" s="10">
        <v>0.20604508037733346</v>
      </c>
      <c r="L4344" s="10">
        <v>0.51776820165081849</v>
      </c>
    </row>
    <row r="4345" spans="10:12" x14ac:dyDescent="0.3">
      <c r="J4345">
        <v>4322</v>
      </c>
      <c r="K4345" s="10">
        <v>0.19872309137274513</v>
      </c>
      <c r="L4345" s="10">
        <v>0.16141718328895785</v>
      </c>
    </row>
    <row r="4346" spans="10:12" x14ac:dyDescent="0.3">
      <c r="J4346">
        <v>4323</v>
      </c>
      <c r="K4346" s="10">
        <v>0.23072264949257335</v>
      </c>
      <c r="L4346" s="10">
        <v>0.28567897728459918</v>
      </c>
    </row>
    <row r="4347" spans="10:12" x14ac:dyDescent="0.3">
      <c r="J4347">
        <v>4324</v>
      </c>
      <c r="K4347" s="10">
        <v>0.21151539795856703</v>
      </c>
      <c r="L4347" s="10">
        <v>0.10622987290453323</v>
      </c>
    </row>
    <row r="4348" spans="10:12" x14ac:dyDescent="0.3">
      <c r="J4348">
        <v>4325</v>
      </c>
      <c r="K4348" s="10">
        <v>0.19097770914362808</v>
      </c>
      <c r="L4348" s="10">
        <v>0.35843692140010819</v>
      </c>
    </row>
    <row r="4349" spans="10:12" x14ac:dyDescent="0.3">
      <c r="J4349">
        <v>4326</v>
      </c>
      <c r="K4349" s="10">
        <v>0.19874549957023038</v>
      </c>
      <c r="L4349" s="10">
        <v>0.34647909032945678</v>
      </c>
    </row>
    <row r="4350" spans="10:12" x14ac:dyDescent="0.3">
      <c r="J4350">
        <v>4327</v>
      </c>
      <c r="K4350" s="10">
        <v>0.21035907608108034</v>
      </c>
      <c r="L4350" s="10">
        <v>0.51507146933289905</v>
      </c>
    </row>
    <row r="4351" spans="10:12" x14ac:dyDescent="0.3">
      <c r="J4351">
        <v>4328</v>
      </c>
      <c r="K4351" s="10">
        <v>0.19687796880350147</v>
      </c>
      <c r="L4351" s="10">
        <v>0.33437240305833904</v>
      </c>
    </row>
    <row r="4352" spans="10:12" x14ac:dyDescent="0.3">
      <c r="J4352">
        <v>4329</v>
      </c>
      <c r="K4352" s="10">
        <v>0.20920200939836625</v>
      </c>
      <c r="L4352" s="10">
        <v>0.31275130434630793</v>
      </c>
    </row>
    <row r="4353" spans="10:12" x14ac:dyDescent="0.3">
      <c r="J4353">
        <v>4330</v>
      </c>
      <c r="K4353" s="10">
        <v>0.20516309655993559</v>
      </c>
      <c r="L4353" s="10">
        <v>0.19700793957152299</v>
      </c>
    </row>
    <row r="4354" spans="10:12" x14ac:dyDescent="0.3">
      <c r="J4354">
        <v>4331</v>
      </c>
      <c r="K4354" s="10">
        <v>0.22461759725839978</v>
      </c>
      <c r="L4354" s="10">
        <v>1.240291924109628E-2</v>
      </c>
    </row>
    <row r="4355" spans="10:12" x14ac:dyDescent="0.3">
      <c r="J4355">
        <v>4332</v>
      </c>
      <c r="K4355" s="10">
        <v>0.21053272246852664</v>
      </c>
      <c r="L4355" s="10">
        <v>8.1906091617959809E-2</v>
      </c>
    </row>
    <row r="4356" spans="10:12" x14ac:dyDescent="0.3">
      <c r="J4356">
        <v>4333</v>
      </c>
      <c r="K4356" s="10">
        <v>0.19304841420100285</v>
      </c>
      <c r="L4356" s="10">
        <v>0.21041000418407113</v>
      </c>
    </row>
    <row r="4357" spans="10:12" x14ac:dyDescent="0.3">
      <c r="J4357">
        <v>4334</v>
      </c>
      <c r="K4357" s="10">
        <v>0.20306535145614324</v>
      </c>
      <c r="L4357" s="10">
        <v>0.29656364585953654</v>
      </c>
    </row>
    <row r="4358" spans="10:12" x14ac:dyDescent="0.3">
      <c r="J4358">
        <v>4335</v>
      </c>
      <c r="K4358" s="10">
        <v>0.18959521471037255</v>
      </c>
      <c r="L4358" s="10">
        <v>0.33014106533081922</v>
      </c>
    </row>
    <row r="4359" spans="10:12" x14ac:dyDescent="0.3">
      <c r="J4359">
        <v>4336</v>
      </c>
      <c r="K4359" s="10">
        <v>0.26452587126590116</v>
      </c>
      <c r="L4359" s="10">
        <v>0.77929966314014443</v>
      </c>
    </row>
    <row r="4360" spans="10:12" x14ac:dyDescent="0.3">
      <c r="J4360">
        <v>4337</v>
      </c>
      <c r="K4360" s="10">
        <v>0.20505675605967977</v>
      </c>
      <c r="L4360" s="10">
        <v>0.50183879867428505</v>
      </c>
    </row>
    <row r="4361" spans="10:12" x14ac:dyDescent="0.3">
      <c r="J4361">
        <v>4338</v>
      </c>
      <c r="K4361" s="10">
        <v>0.20478727552176243</v>
      </c>
      <c r="L4361" s="10">
        <v>0.50748284197004767</v>
      </c>
    </row>
    <row r="4362" spans="10:12" x14ac:dyDescent="0.3">
      <c r="J4362">
        <v>4339</v>
      </c>
      <c r="K4362" s="10">
        <v>0.18919487187528289</v>
      </c>
      <c r="L4362" s="10">
        <v>0.32911095404364676</v>
      </c>
    </row>
    <row r="4363" spans="10:12" x14ac:dyDescent="0.3">
      <c r="J4363">
        <v>4340</v>
      </c>
      <c r="K4363" s="10">
        <v>0.25269074553254595</v>
      </c>
      <c r="L4363" s="10">
        <v>-2.355516511703052E-2</v>
      </c>
    </row>
    <row r="4364" spans="10:12" x14ac:dyDescent="0.3">
      <c r="J4364">
        <v>4341</v>
      </c>
      <c r="K4364" s="10">
        <v>0.19165461620473423</v>
      </c>
      <c r="L4364" s="10">
        <v>0.2360884647463086</v>
      </c>
    </row>
    <row r="4365" spans="10:12" x14ac:dyDescent="0.3">
      <c r="J4365">
        <v>4342</v>
      </c>
      <c r="K4365" s="10">
        <v>0.20102403720021572</v>
      </c>
      <c r="L4365" s="10">
        <v>0.14008831489456555</v>
      </c>
    </row>
    <row r="4366" spans="10:12" x14ac:dyDescent="0.3">
      <c r="J4366">
        <v>4343</v>
      </c>
      <c r="K4366" s="10">
        <v>0.1941823895165507</v>
      </c>
      <c r="L4366" s="10">
        <v>0.33854308069695804</v>
      </c>
    </row>
    <row r="4367" spans="10:12" x14ac:dyDescent="0.3">
      <c r="J4367">
        <v>4344</v>
      </c>
      <c r="K4367" s="10">
        <v>0.22821427103868427</v>
      </c>
      <c r="L4367" s="10">
        <v>0.63504611889854323</v>
      </c>
    </row>
    <row r="4368" spans="10:12" x14ac:dyDescent="0.3">
      <c r="J4368">
        <v>4345</v>
      </c>
      <c r="K4368" s="10">
        <v>0.19198199722538153</v>
      </c>
      <c r="L4368" s="10">
        <v>0.37475278270561468</v>
      </c>
    </row>
    <row r="4369" spans="10:12" x14ac:dyDescent="0.3">
      <c r="J4369">
        <v>4346</v>
      </c>
      <c r="K4369" s="10">
        <v>0.19164374464361947</v>
      </c>
      <c r="L4369" s="10">
        <v>0.23718151797425899</v>
      </c>
    </row>
    <row r="4370" spans="10:12" x14ac:dyDescent="0.3">
      <c r="J4370">
        <v>4347</v>
      </c>
      <c r="K4370" s="10">
        <v>0.19301662206360809</v>
      </c>
      <c r="L4370" s="10">
        <v>0.24605462157690894</v>
      </c>
    </row>
    <row r="4371" spans="10:12" x14ac:dyDescent="0.3">
      <c r="J4371">
        <v>4348</v>
      </c>
      <c r="K4371" s="10">
        <v>0.21340598346041387</v>
      </c>
      <c r="L4371" s="10">
        <v>0.13574291821843532</v>
      </c>
    </row>
    <row r="4372" spans="10:12" x14ac:dyDescent="0.3">
      <c r="J4372">
        <v>4349</v>
      </c>
      <c r="K4372" s="10">
        <v>0.21574067911261979</v>
      </c>
      <c r="L4372" s="10">
        <v>0.33688458871505589</v>
      </c>
    </row>
    <row r="4373" spans="10:12" x14ac:dyDescent="0.3">
      <c r="J4373">
        <v>4350</v>
      </c>
      <c r="K4373" s="10">
        <v>0.20133872404733208</v>
      </c>
      <c r="L4373" s="10">
        <v>0.48776584571460208</v>
      </c>
    </row>
    <row r="4374" spans="10:12" x14ac:dyDescent="0.3">
      <c r="J4374">
        <v>4351</v>
      </c>
      <c r="K4374" s="10">
        <v>0.22430019522380534</v>
      </c>
      <c r="L4374" s="10">
        <v>0.58838978545339993</v>
      </c>
    </row>
    <row r="4375" spans="10:12" x14ac:dyDescent="0.3">
      <c r="J4375">
        <v>4352</v>
      </c>
      <c r="K4375" s="10">
        <v>0.20619905340081249</v>
      </c>
      <c r="L4375" s="10">
        <v>0.18862555540073253</v>
      </c>
    </row>
    <row r="4376" spans="10:12" x14ac:dyDescent="0.3">
      <c r="J4376">
        <v>4353</v>
      </c>
      <c r="K4376" s="10">
        <v>0.32501724081502587</v>
      </c>
      <c r="L4376" s="10">
        <v>-8.0854741044644907E-2</v>
      </c>
    </row>
    <row r="4377" spans="10:12" x14ac:dyDescent="0.3">
      <c r="J4377">
        <v>4354</v>
      </c>
      <c r="K4377" s="10">
        <v>0.19505129408368341</v>
      </c>
      <c r="L4377" s="10">
        <v>0.28310326624171867</v>
      </c>
    </row>
    <row r="4378" spans="10:12" x14ac:dyDescent="0.3">
      <c r="J4378">
        <v>4355</v>
      </c>
      <c r="K4378" s="10">
        <v>0.19681796936537715</v>
      </c>
      <c r="L4378" s="10">
        <v>0.43443211472237009</v>
      </c>
    </row>
    <row r="4379" spans="10:12" x14ac:dyDescent="0.3">
      <c r="J4379">
        <v>4356</v>
      </c>
      <c r="K4379" s="10">
        <v>0.23211735887710236</v>
      </c>
      <c r="L4379" s="10">
        <v>0.14442368381060303</v>
      </c>
    </row>
    <row r="4380" spans="10:12" x14ac:dyDescent="0.3">
      <c r="J4380">
        <v>4357</v>
      </c>
      <c r="K4380" s="10">
        <v>0.19592028267506342</v>
      </c>
      <c r="L4380" s="10">
        <v>0.19116094939386366</v>
      </c>
    </row>
    <row r="4381" spans="10:12" x14ac:dyDescent="0.3">
      <c r="J4381">
        <v>4358</v>
      </c>
      <c r="K4381" s="10">
        <v>0.20599148315902929</v>
      </c>
      <c r="L4381" s="10">
        <v>0.48927103195154176</v>
      </c>
    </row>
    <row r="4382" spans="10:12" x14ac:dyDescent="0.3">
      <c r="J4382">
        <v>4359</v>
      </c>
      <c r="K4382" s="10">
        <v>0.21540189158068168</v>
      </c>
      <c r="L4382" s="10">
        <v>0.17280724105907805</v>
      </c>
    </row>
    <row r="4383" spans="10:12" x14ac:dyDescent="0.3">
      <c r="J4383">
        <v>4360</v>
      </c>
      <c r="K4383" s="10">
        <v>0.19734625085158997</v>
      </c>
      <c r="L4383" s="10">
        <v>0.30473337510767079</v>
      </c>
    </row>
    <row r="4384" spans="10:12" x14ac:dyDescent="0.3">
      <c r="J4384">
        <v>4361</v>
      </c>
      <c r="K4384" s="10">
        <v>0.20221139965406906</v>
      </c>
      <c r="L4384" s="10">
        <v>0.25590242197899432</v>
      </c>
    </row>
    <row r="4385" spans="10:12" x14ac:dyDescent="0.3">
      <c r="J4385">
        <v>4362</v>
      </c>
      <c r="K4385" s="10">
        <v>0.19867418117207389</v>
      </c>
      <c r="L4385" s="10">
        <v>0.24724358900749072</v>
      </c>
    </row>
    <row r="4386" spans="10:12" x14ac:dyDescent="0.3">
      <c r="J4386">
        <v>4363</v>
      </c>
      <c r="K4386" s="10">
        <v>0.19443476963385517</v>
      </c>
      <c r="L4386" s="10">
        <v>0.29450883472148043</v>
      </c>
    </row>
    <row r="4387" spans="10:12" x14ac:dyDescent="0.3">
      <c r="J4387">
        <v>4364</v>
      </c>
      <c r="K4387" s="10">
        <v>0.2092036530465177</v>
      </c>
      <c r="L4387" s="10">
        <v>0.25556356132592695</v>
      </c>
    </row>
    <row r="4388" spans="10:12" x14ac:dyDescent="0.3">
      <c r="J4388">
        <v>4365</v>
      </c>
      <c r="K4388" s="10">
        <v>0.22484681935724218</v>
      </c>
      <c r="L4388" s="10">
        <v>0.55424889728512061</v>
      </c>
    </row>
    <row r="4389" spans="10:12" x14ac:dyDescent="0.3">
      <c r="J4389">
        <v>4366</v>
      </c>
      <c r="K4389" s="10">
        <v>0.18943354940182996</v>
      </c>
      <c r="L4389" s="10">
        <v>0.3502928591734652</v>
      </c>
    </row>
    <row r="4390" spans="10:12" x14ac:dyDescent="0.3">
      <c r="J4390">
        <v>4367</v>
      </c>
      <c r="K4390" s="10">
        <v>0.26572208934168157</v>
      </c>
      <c r="L4390" s="10">
        <v>-1.2299029969468571E-2</v>
      </c>
    </row>
    <row r="4391" spans="10:12" x14ac:dyDescent="0.3">
      <c r="J4391">
        <v>4368</v>
      </c>
      <c r="K4391" s="10">
        <v>0.23027490986555427</v>
      </c>
      <c r="L4391" s="10">
        <v>0.39467140628897457</v>
      </c>
    </row>
    <row r="4392" spans="10:12" x14ac:dyDescent="0.3">
      <c r="J4392">
        <v>4369</v>
      </c>
      <c r="K4392" s="10">
        <v>0.24133631726957486</v>
      </c>
      <c r="L4392" s="10">
        <v>1.4559501837858195E-2</v>
      </c>
    </row>
    <row r="4393" spans="10:12" x14ac:dyDescent="0.3">
      <c r="J4393">
        <v>4370</v>
      </c>
      <c r="K4393" s="10">
        <v>0.19729699107870399</v>
      </c>
      <c r="L4393" s="10">
        <v>0.16385148411994971</v>
      </c>
    </row>
    <row r="4394" spans="10:12" x14ac:dyDescent="0.3">
      <c r="J4394">
        <v>4371</v>
      </c>
      <c r="K4394" s="10">
        <v>0.19034558235616555</v>
      </c>
      <c r="L4394" s="10">
        <v>0.2579706837186746</v>
      </c>
    </row>
    <row r="4395" spans="10:12" x14ac:dyDescent="0.3">
      <c r="J4395">
        <v>4372</v>
      </c>
      <c r="K4395" s="10">
        <v>0.22287067139922706</v>
      </c>
      <c r="L4395" s="10">
        <v>3.6975921952993193E-2</v>
      </c>
    </row>
    <row r="4396" spans="10:12" x14ac:dyDescent="0.3">
      <c r="J4396">
        <v>4373</v>
      </c>
      <c r="K4396" s="10">
        <v>0.23075840365018421</v>
      </c>
      <c r="L4396" s="10">
        <v>0.64379380584778978</v>
      </c>
    </row>
    <row r="4397" spans="10:12" x14ac:dyDescent="0.3">
      <c r="J4397">
        <v>4374</v>
      </c>
      <c r="K4397" s="10">
        <v>0.19888089933772654</v>
      </c>
      <c r="L4397" s="10">
        <v>0.46825672602057766</v>
      </c>
    </row>
    <row r="4398" spans="10:12" x14ac:dyDescent="0.3">
      <c r="J4398">
        <v>4375</v>
      </c>
      <c r="K4398" s="10">
        <v>0.20348225249783275</v>
      </c>
      <c r="L4398" s="10">
        <v>0.23966231521237591</v>
      </c>
    </row>
    <row r="4399" spans="10:12" x14ac:dyDescent="0.3">
      <c r="J4399">
        <v>4376</v>
      </c>
      <c r="K4399" s="10">
        <v>0.1932053128354296</v>
      </c>
      <c r="L4399" s="10">
        <v>0.26833934235648305</v>
      </c>
    </row>
    <row r="4400" spans="10:12" x14ac:dyDescent="0.3">
      <c r="J4400">
        <v>4377</v>
      </c>
      <c r="K4400" s="10">
        <v>0.20433616308003816</v>
      </c>
      <c r="L4400" s="10">
        <v>0.27533208090962902</v>
      </c>
    </row>
    <row r="4401" spans="10:12" x14ac:dyDescent="0.3">
      <c r="J4401">
        <v>4378</v>
      </c>
      <c r="K4401" s="10">
        <v>0.23387185414944986</v>
      </c>
      <c r="L4401" s="10">
        <v>7.3820342915586409E-2</v>
      </c>
    </row>
    <row r="4402" spans="10:12" x14ac:dyDescent="0.3">
      <c r="J4402">
        <v>4379</v>
      </c>
      <c r="K4402" s="10">
        <v>0.20627020694648299</v>
      </c>
      <c r="L4402" s="10">
        <v>0.37964311635919257</v>
      </c>
    </row>
    <row r="4403" spans="10:12" x14ac:dyDescent="0.3">
      <c r="J4403">
        <v>4380</v>
      </c>
      <c r="K4403" s="10">
        <v>0.19091409505369983</v>
      </c>
      <c r="L4403" s="10">
        <v>0.2359987044857387</v>
      </c>
    </row>
    <row r="4404" spans="10:12" x14ac:dyDescent="0.3">
      <c r="J4404">
        <v>4381</v>
      </c>
      <c r="K4404" s="10">
        <v>0.20647591500150431</v>
      </c>
      <c r="L4404" s="10">
        <v>0.29813674111712524</v>
      </c>
    </row>
    <row r="4405" spans="10:12" x14ac:dyDescent="0.3">
      <c r="J4405">
        <v>4382</v>
      </c>
      <c r="K4405" s="10">
        <v>0.20046546743292162</v>
      </c>
      <c r="L4405" s="10">
        <v>0.45909849838215727</v>
      </c>
    </row>
    <row r="4406" spans="10:12" x14ac:dyDescent="0.3">
      <c r="J4406">
        <v>4383</v>
      </c>
      <c r="K4406" s="10">
        <v>0.23898460940029873</v>
      </c>
      <c r="L4406" s="10">
        <v>0.24040306681313381</v>
      </c>
    </row>
    <row r="4407" spans="10:12" x14ac:dyDescent="0.3">
      <c r="J4407">
        <v>4384</v>
      </c>
      <c r="K4407" s="10">
        <v>0.20412990504057371</v>
      </c>
      <c r="L4407" s="10">
        <v>0.29443784495990921</v>
      </c>
    </row>
    <row r="4408" spans="10:12" x14ac:dyDescent="0.3">
      <c r="J4408">
        <v>4385</v>
      </c>
      <c r="K4408" s="10">
        <v>0.1900337615846511</v>
      </c>
      <c r="L4408" s="10">
        <v>0.29122546999217352</v>
      </c>
    </row>
    <row r="4409" spans="10:12" x14ac:dyDescent="0.3">
      <c r="J4409">
        <v>4386</v>
      </c>
      <c r="K4409" s="10">
        <v>0.20126934020491952</v>
      </c>
      <c r="L4409" s="10">
        <v>0.37918203748592699</v>
      </c>
    </row>
    <row r="4410" spans="10:12" x14ac:dyDescent="0.3">
      <c r="J4410">
        <v>4387</v>
      </c>
      <c r="K4410" s="10">
        <v>0.2190501092056136</v>
      </c>
      <c r="L4410" s="10">
        <v>5.7352712225143071E-2</v>
      </c>
    </row>
    <row r="4411" spans="10:12" x14ac:dyDescent="0.3">
      <c r="J4411">
        <v>4388</v>
      </c>
      <c r="K4411" s="10">
        <v>0.19013369722242343</v>
      </c>
      <c r="L4411" s="10">
        <v>0.30849417826454634</v>
      </c>
    </row>
    <row r="4412" spans="10:12" x14ac:dyDescent="0.3">
      <c r="J4412">
        <v>4389</v>
      </c>
      <c r="K4412" s="10">
        <v>0.20508959441251731</v>
      </c>
      <c r="L4412" s="10">
        <v>0.50382315370869757</v>
      </c>
    </row>
    <row r="4413" spans="10:12" x14ac:dyDescent="0.3">
      <c r="J4413">
        <v>4390</v>
      </c>
      <c r="K4413" s="10">
        <v>0.19556388913864045</v>
      </c>
      <c r="L4413" s="10">
        <v>0.39373445618749064</v>
      </c>
    </row>
    <row r="4414" spans="10:12" x14ac:dyDescent="0.3">
      <c r="J4414">
        <v>4391</v>
      </c>
      <c r="K4414" s="10">
        <v>0.20118546206565485</v>
      </c>
      <c r="L4414" s="10">
        <v>0.2915412678911028</v>
      </c>
    </row>
    <row r="4415" spans="10:12" x14ac:dyDescent="0.3">
      <c r="J4415">
        <v>4392</v>
      </c>
      <c r="K4415" s="10">
        <v>0.19566328709485667</v>
      </c>
      <c r="L4415" s="10">
        <v>0.18584216109808993</v>
      </c>
    </row>
    <row r="4416" spans="10:12" x14ac:dyDescent="0.3">
      <c r="J4416">
        <v>4393</v>
      </c>
      <c r="K4416" s="10">
        <v>0.21510204995353099</v>
      </c>
      <c r="L4416" s="10">
        <v>0.41029766281041097</v>
      </c>
    </row>
    <row r="4417" spans="10:12" x14ac:dyDescent="0.3">
      <c r="J4417">
        <v>4394</v>
      </c>
      <c r="K4417" s="10">
        <v>0.20785852122444134</v>
      </c>
      <c r="L4417" s="10">
        <v>0.30664110509193343</v>
      </c>
    </row>
    <row r="4418" spans="10:12" x14ac:dyDescent="0.3">
      <c r="J4418">
        <v>4395</v>
      </c>
      <c r="K4418" s="10">
        <v>0.20399970269872464</v>
      </c>
      <c r="L4418" s="10">
        <v>0.40025659988630963</v>
      </c>
    </row>
    <row r="4419" spans="10:12" x14ac:dyDescent="0.3">
      <c r="J4419">
        <v>4396</v>
      </c>
      <c r="K4419" s="10">
        <v>0.20068484082227661</v>
      </c>
      <c r="L4419" s="10">
        <v>0.14196120240123428</v>
      </c>
    </row>
    <row r="4420" spans="10:12" x14ac:dyDescent="0.3">
      <c r="J4420">
        <v>4397</v>
      </c>
      <c r="K4420" s="10">
        <v>0.19163001802368579</v>
      </c>
      <c r="L4420" s="10">
        <v>0.2288507833869417</v>
      </c>
    </row>
    <row r="4421" spans="10:12" x14ac:dyDescent="0.3">
      <c r="J4421">
        <v>4398</v>
      </c>
      <c r="K4421" s="10">
        <v>0.20182789885095906</v>
      </c>
      <c r="L4421" s="10">
        <v>0.24286665534458052</v>
      </c>
    </row>
    <row r="4422" spans="10:12" x14ac:dyDescent="0.3">
      <c r="J4422">
        <v>4399</v>
      </c>
      <c r="K4422" s="10">
        <v>0.19877024907040008</v>
      </c>
      <c r="L4422" s="10">
        <v>0.36717964696751682</v>
      </c>
    </row>
    <row r="4423" spans="10:12" x14ac:dyDescent="0.3">
      <c r="J4423">
        <v>4400</v>
      </c>
      <c r="K4423" s="10">
        <v>0.19719064683416346</v>
      </c>
      <c r="L4423" s="10">
        <v>0.16994806696462922</v>
      </c>
    </row>
    <row r="4424" spans="10:12" x14ac:dyDescent="0.3">
      <c r="J4424">
        <v>4401</v>
      </c>
      <c r="K4424" s="10">
        <v>0.22745950033266027</v>
      </c>
      <c r="L4424" s="10">
        <v>-1.8562064507429386E-2</v>
      </c>
    </row>
    <row r="4425" spans="10:12" x14ac:dyDescent="0.3">
      <c r="J4425">
        <v>4402</v>
      </c>
      <c r="K4425" s="10">
        <v>0.18877334998525563</v>
      </c>
      <c r="L4425" s="10">
        <v>0.31253420166967372</v>
      </c>
    </row>
    <row r="4426" spans="10:12" x14ac:dyDescent="0.3">
      <c r="J4426">
        <v>4403</v>
      </c>
      <c r="K4426" s="10">
        <v>0.21295696254854229</v>
      </c>
      <c r="L4426" s="10">
        <v>0.22921211596639135</v>
      </c>
    </row>
    <row r="4427" spans="10:12" x14ac:dyDescent="0.3">
      <c r="J4427">
        <v>4404</v>
      </c>
      <c r="K4427" s="10">
        <v>0.2535943873090129</v>
      </c>
      <c r="L4427" s="10">
        <v>-4.4382152295446661E-2</v>
      </c>
    </row>
    <row r="4428" spans="10:12" x14ac:dyDescent="0.3">
      <c r="J4428">
        <v>4405</v>
      </c>
      <c r="K4428" s="10">
        <v>0.18960130456036683</v>
      </c>
      <c r="L4428" s="10">
        <v>0.31712598790467361</v>
      </c>
    </row>
    <row r="4429" spans="10:12" x14ac:dyDescent="0.3">
      <c r="J4429">
        <v>4406</v>
      </c>
      <c r="K4429" s="10">
        <v>0.25134599769398713</v>
      </c>
      <c r="L4429" s="10">
        <v>-6.0706525010882383E-2</v>
      </c>
    </row>
    <row r="4430" spans="10:12" x14ac:dyDescent="0.3">
      <c r="J4430">
        <v>4407</v>
      </c>
      <c r="K4430" s="10">
        <v>0.21219068594237017</v>
      </c>
      <c r="L4430" s="10">
        <v>0.23607958380198241</v>
      </c>
    </row>
    <row r="4431" spans="10:12" x14ac:dyDescent="0.3">
      <c r="J4431">
        <v>4408</v>
      </c>
      <c r="K4431" s="10">
        <v>0.24398025940914825</v>
      </c>
      <c r="L4431" s="10">
        <v>-4.1490816112526203E-2</v>
      </c>
    </row>
    <row r="4432" spans="10:12" x14ac:dyDescent="0.3">
      <c r="J4432">
        <v>4409</v>
      </c>
      <c r="K4432" s="10">
        <v>0.21855213985378838</v>
      </c>
      <c r="L4432" s="10">
        <v>0.35386027019897481</v>
      </c>
    </row>
    <row r="4433" spans="10:12" x14ac:dyDescent="0.3">
      <c r="J4433">
        <v>4410</v>
      </c>
      <c r="K4433" s="10">
        <v>0.2026487884197182</v>
      </c>
      <c r="L4433" s="10">
        <v>0.18129341097187859</v>
      </c>
    </row>
    <row r="4434" spans="10:12" x14ac:dyDescent="0.3">
      <c r="J4434">
        <v>4411</v>
      </c>
      <c r="K4434" s="10">
        <v>0.20243492383216777</v>
      </c>
      <c r="L4434" s="10">
        <v>0.21451163328774864</v>
      </c>
    </row>
    <row r="4435" spans="10:12" x14ac:dyDescent="0.3">
      <c r="J4435">
        <v>4412</v>
      </c>
      <c r="K4435" s="10">
        <v>0.2003164639854394</v>
      </c>
      <c r="L4435" s="10">
        <v>0.41138944594776383</v>
      </c>
    </row>
    <row r="4436" spans="10:12" x14ac:dyDescent="0.3">
      <c r="J4436">
        <v>4413</v>
      </c>
      <c r="K4436" s="10">
        <v>0.19530616551260968</v>
      </c>
      <c r="L4436" s="10">
        <v>0.35594222286503979</v>
      </c>
    </row>
    <row r="4437" spans="10:12" x14ac:dyDescent="0.3">
      <c r="J4437">
        <v>4414</v>
      </c>
      <c r="K4437" s="10">
        <v>0.2315563936688447</v>
      </c>
      <c r="L4437" s="10">
        <v>-3.3184964132479677E-3</v>
      </c>
    </row>
    <row r="4438" spans="10:12" x14ac:dyDescent="0.3">
      <c r="J4438">
        <v>4415</v>
      </c>
      <c r="K4438" s="10">
        <v>0.19600014857417336</v>
      </c>
      <c r="L4438" s="10">
        <v>0.44344965671311781</v>
      </c>
    </row>
    <row r="4439" spans="10:12" x14ac:dyDescent="0.3">
      <c r="J4439">
        <v>4416</v>
      </c>
      <c r="K4439" s="10">
        <v>0.19903515052566048</v>
      </c>
      <c r="L4439" s="10">
        <v>0.22087800499349169</v>
      </c>
    </row>
    <row r="4440" spans="10:12" x14ac:dyDescent="0.3">
      <c r="J4440">
        <v>4417</v>
      </c>
      <c r="K4440" s="10">
        <v>0.19476486742427934</v>
      </c>
      <c r="L4440" s="10">
        <v>0.37587250790922644</v>
      </c>
    </row>
    <row r="4441" spans="10:12" x14ac:dyDescent="0.3">
      <c r="J4441">
        <v>4418</v>
      </c>
      <c r="K4441" s="10">
        <v>0.20745942462315739</v>
      </c>
      <c r="L4441" s="10">
        <v>0.12522218409460567</v>
      </c>
    </row>
    <row r="4442" spans="10:12" x14ac:dyDescent="0.3">
      <c r="J4442">
        <v>4419</v>
      </c>
      <c r="K4442" s="10">
        <v>0.19568615591549265</v>
      </c>
      <c r="L4442" s="10">
        <v>0.42148671784340153</v>
      </c>
    </row>
    <row r="4443" spans="10:12" x14ac:dyDescent="0.3">
      <c r="J4443">
        <v>4420</v>
      </c>
      <c r="K4443" s="10">
        <v>0.19769672915390873</v>
      </c>
      <c r="L4443" s="10">
        <v>0.27827642504096062</v>
      </c>
    </row>
    <row r="4444" spans="10:12" x14ac:dyDescent="0.3">
      <c r="J4444">
        <v>4421</v>
      </c>
      <c r="K4444" s="10">
        <v>0.19382238993857431</v>
      </c>
      <c r="L4444" s="10">
        <v>0.21817277018353878</v>
      </c>
    </row>
    <row r="4445" spans="10:12" x14ac:dyDescent="0.3">
      <c r="J4445">
        <v>4422</v>
      </c>
      <c r="K4445" s="10">
        <v>0.19999385826200236</v>
      </c>
      <c r="L4445" s="10">
        <v>0.47384439384156746</v>
      </c>
    </row>
    <row r="4446" spans="10:12" x14ac:dyDescent="0.3">
      <c r="J4446">
        <v>4423</v>
      </c>
      <c r="K4446" s="10">
        <v>0.19464746340249112</v>
      </c>
      <c r="L4446" s="10">
        <v>0.42847593954696245</v>
      </c>
    </row>
    <row r="4447" spans="10:12" x14ac:dyDescent="0.3">
      <c r="J4447">
        <v>4424</v>
      </c>
      <c r="K4447" s="10">
        <v>0.26266093459198642</v>
      </c>
      <c r="L4447" s="10">
        <v>0.7759256054464484</v>
      </c>
    </row>
    <row r="4448" spans="10:12" x14ac:dyDescent="0.3">
      <c r="J4448">
        <v>4425</v>
      </c>
      <c r="K4448" s="10">
        <v>0.246298918806581</v>
      </c>
      <c r="L4448" s="10">
        <v>0.7070283547007653</v>
      </c>
    </row>
    <row r="4449" spans="10:12" x14ac:dyDescent="0.3">
      <c r="J4449">
        <v>4426</v>
      </c>
      <c r="K4449" s="10">
        <v>0.19259774655400699</v>
      </c>
      <c r="L4449" s="10">
        <v>0.32982772853283032</v>
      </c>
    </row>
    <row r="4450" spans="10:12" x14ac:dyDescent="0.3">
      <c r="J4450">
        <v>4427</v>
      </c>
      <c r="K4450" s="10">
        <v>0.19254997952916877</v>
      </c>
      <c r="L4450" s="10">
        <v>0.26618737820322591</v>
      </c>
    </row>
    <row r="4451" spans="10:12" x14ac:dyDescent="0.3">
      <c r="J4451">
        <v>4428</v>
      </c>
      <c r="K4451" s="10">
        <v>0.1893226316020537</v>
      </c>
      <c r="L4451" s="10">
        <v>0.32010202091709611</v>
      </c>
    </row>
    <row r="4452" spans="10:12" x14ac:dyDescent="0.3">
      <c r="J4452">
        <v>4429</v>
      </c>
      <c r="K4452" s="10">
        <v>0.21236413234296883</v>
      </c>
      <c r="L4452" s="10">
        <v>0.27135537942691645</v>
      </c>
    </row>
    <row r="4453" spans="10:12" x14ac:dyDescent="0.3">
      <c r="J4453">
        <v>4430</v>
      </c>
      <c r="K4453" s="10">
        <v>0.22878622405781868</v>
      </c>
      <c r="L4453" s="10">
        <v>5.0722774936363957E-3</v>
      </c>
    </row>
    <row r="4454" spans="10:12" x14ac:dyDescent="0.3">
      <c r="J4454">
        <v>4431</v>
      </c>
      <c r="K4454" s="10">
        <v>0.20214836975244599</v>
      </c>
      <c r="L4454" s="10">
        <v>0.14542466522042924</v>
      </c>
    </row>
    <row r="4455" spans="10:12" x14ac:dyDescent="0.3">
      <c r="J4455">
        <v>4432</v>
      </c>
      <c r="K4455" s="10">
        <v>0.19138387711305441</v>
      </c>
      <c r="L4455" s="10">
        <v>0.30688978223986013</v>
      </c>
    </row>
    <row r="4456" spans="10:12" x14ac:dyDescent="0.3">
      <c r="J4456">
        <v>4433</v>
      </c>
      <c r="K4456" s="10">
        <v>0.25921435866245374</v>
      </c>
      <c r="L4456" s="10">
        <v>6.6177724063504834E-2</v>
      </c>
    </row>
    <row r="4457" spans="10:12" x14ac:dyDescent="0.3">
      <c r="J4457">
        <v>4434</v>
      </c>
      <c r="K4457" s="10">
        <v>0.21544168530181657</v>
      </c>
      <c r="L4457" s="10">
        <v>0.45339786979435687</v>
      </c>
    </row>
    <row r="4458" spans="10:12" x14ac:dyDescent="0.3">
      <c r="J4458">
        <v>4435</v>
      </c>
      <c r="K4458" s="10">
        <v>0.19175672687690185</v>
      </c>
      <c r="L4458" s="10">
        <v>0.39228980326091611</v>
      </c>
    </row>
    <row r="4459" spans="10:12" x14ac:dyDescent="0.3">
      <c r="J4459">
        <v>4436</v>
      </c>
      <c r="K4459" s="10">
        <v>0.20936735649871982</v>
      </c>
      <c r="L4459" s="10">
        <v>0.12703232097177486</v>
      </c>
    </row>
    <row r="4460" spans="10:12" x14ac:dyDescent="0.3">
      <c r="J4460">
        <v>4437</v>
      </c>
      <c r="K4460" s="10">
        <v>0.22048935464688987</v>
      </c>
      <c r="L4460" s="10">
        <v>0.36553482762008399</v>
      </c>
    </row>
    <row r="4461" spans="10:12" x14ac:dyDescent="0.3">
      <c r="J4461">
        <v>4438</v>
      </c>
      <c r="K4461" s="10">
        <v>0.25242764348323449</v>
      </c>
      <c r="L4461" s="10">
        <v>-2.9214010786145148E-2</v>
      </c>
    </row>
    <row r="4462" spans="10:12" x14ac:dyDescent="0.3">
      <c r="J4462">
        <v>4439</v>
      </c>
      <c r="K4462" s="10">
        <v>0.23424796503944165</v>
      </c>
      <c r="L4462" s="10">
        <v>4.5805903836830947E-3</v>
      </c>
    </row>
    <row r="4463" spans="10:12" x14ac:dyDescent="0.3">
      <c r="J4463">
        <v>4440</v>
      </c>
      <c r="K4463" s="10">
        <v>0.20397723089283468</v>
      </c>
      <c r="L4463" s="10">
        <v>0.21037452398996054</v>
      </c>
    </row>
    <row r="4464" spans="10:12" x14ac:dyDescent="0.3">
      <c r="J4464">
        <v>4441</v>
      </c>
      <c r="K4464" s="10">
        <v>0.21097930433411088</v>
      </c>
      <c r="L4464" s="10">
        <v>0.18507586893083652</v>
      </c>
    </row>
    <row r="4465" spans="10:12" x14ac:dyDescent="0.3">
      <c r="J4465">
        <v>4442</v>
      </c>
      <c r="K4465" s="10">
        <v>0.19806031538611449</v>
      </c>
      <c r="L4465" s="10">
        <v>0.45436136193443827</v>
      </c>
    </row>
    <row r="4466" spans="10:12" x14ac:dyDescent="0.3">
      <c r="J4466">
        <v>4443</v>
      </c>
      <c r="K4466" s="10">
        <v>0.20694972563888758</v>
      </c>
      <c r="L4466" s="10">
        <v>0.25543775341397068</v>
      </c>
    </row>
    <row r="4467" spans="10:12" x14ac:dyDescent="0.3">
      <c r="J4467">
        <v>4444</v>
      </c>
      <c r="K4467" s="10">
        <v>0.19908497020005647</v>
      </c>
      <c r="L4467" s="10">
        <v>0.46712583194267132</v>
      </c>
    </row>
    <row r="4468" spans="10:12" x14ac:dyDescent="0.3">
      <c r="J4468">
        <v>4445</v>
      </c>
      <c r="K4468" s="10">
        <v>0.20022332599599091</v>
      </c>
      <c r="L4468" s="10">
        <v>0.14858496114301639</v>
      </c>
    </row>
    <row r="4469" spans="10:12" x14ac:dyDescent="0.3">
      <c r="J4469">
        <v>4446</v>
      </c>
      <c r="K4469" s="10">
        <v>0.19846824934752527</v>
      </c>
      <c r="L4469" s="10">
        <v>0.16814802551078445</v>
      </c>
    </row>
    <row r="4470" spans="10:12" x14ac:dyDescent="0.3">
      <c r="J4470">
        <v>4447</v>
      </c>
      <c r="K4470" s="10">
        <v>0.21064297478292171</v>
      </c>
      <c r="L4470" s="10">
        <v>0.54597879979514174</v>
      </c>
    </row>
    <row r="4471" spans="10:12" x14ac:dyDescent="0.3">
      <c r="J4471">
        <v>4448</v>
      </c>
      <c r="K4471" s="10">
        <v>0.1988520314924393</v>
      </c>
      <c r="L4471" s="10">
        <v>0.27238708518298832</v>
      </c>
    </row>
    <row r="4472" spans="10:12" x14ac:dyDescent="0.3">
      <c r="J4472">
        <v>4449</v>
      </c>
      <c r="K4472" s="10">
        <v>0.22397598855278431</v>
      </c>
      <c r="L4472" s="10">
        <v>0.12110509982727084</v>
      </c>
    </row>
    <row r="4473" spans="10:12" x14ac:dyDescent="0.3">
      <c r="J4473">
        <v>4450</v>
      </c>
      <c r="K4473" s="10">
        <v>0.23912717590274363</v>
      </c>
      <c r="L4473" s="10">
        <v>0.26065684224901131</v>
      </c>
    </row>
    <row r="4474" spans="10:12" x14ac:dyDescent="0.3">
      <c r="J4474">
        <v>4451</v>
      </c>
      <c r="K4474" s="10">
        <v>0.22436123850764264</v>
      </c>
      <c r="L4474" s="10">
        <v>0.10215352122461192</v>
      </c>
    </row>
    <row r="4475" spans="10:12" x14ac:dyDescent="0.3">
      <c r="J4475">
        <v>4452</v>
      </c>
      <c r="K4475" s="10">
        <v>0.21267539341936015</v>
      </c>
      <c r="L4475" s="10">
        <v>0.52463059248085397</v>
      </c>
    </row>
    <row r="4476" spans="10:12" x14ac:dyDescent="0.3">
      <c r="J4476">
        <v>4453</v>
      </c>
      <c r="K4476" s="10">
        <v>0.24999981463761947</v>
      </c>
      <c r="L4476" s="10">
        <v>0.16581647627896243</v>
      </c>
    </row>
    <row r="4477" spans="10:12" x14ac:dyDescent="0.3">
      <c r="J4477">
        <v>4454</v>
      </c>
      <c r="K4477" s="10">
        <v>0.19200824097321889</v>
      </c>
      <c r="L4477" s="10">
        <v>0.39153095807699445</v>
      </c>
    </row>
    <row r="4478" spans="10:12" x14ac:dyDescent="0.3">
      <c r="J4478">
        <v>4455</v>
      </c>
      <c r="K4478" s="10">
        <v>0.20083192029390057</v>
      </c>
      <c r="L4478" s="10">
        <v>0.18177961921607852</v>
      </c>
    </row>
    <row r="4479" spans="10:12" x14ac:dyDescent="0.3">
      <c r="J4479">
        <v>4456</v>
      </c>
      <c r="K4479" s="10">
        <v>0.20238795466420542</v>
      </c>
      <c r="L4479" s="10">
        <v>0.48951554829245925</v>
      </c>
    </row>
    <row r="4480" spans="10:12" x14ac:dyDescent="0.3">
      <c r="J4480">
        <v>4457</v>
      </c>
      <c r="K4480" s="10">
        <v>0.21332868048221401</v>
      </c>
      <c r="L4480" s="10">
        <v>6.5441297519837793E-2</v>
      </c>
    </row>
    <row r="4481" spans="10:12" x14ac:dyDescent="0.3">
      <c r="J4481">
        <v>4458</v>
      </c>
      <c r="K4481" s="10">
        <v>0.23144061651532144</v>
      </c>
      <c r="L4481" s="10">
        <v>9.9735303145363025E-2</v>
      </c>
    </row>
    <row r="4482" spans="10:12" x14ac:dyDescent="0.3">
      <c r="J4482">
        <v>4459</v>
      </c>
      <c r="K4482" s="10">
        <v>0.22656327664436099</v>
      </c>
      <c r="L4482" s="10">
        <v>0.42728564277577896</v>
      </c>
    </row>
    <row r="4483" spans="10:12" x14ac:dyDescent="0.3">
      <c r="J4483">
        <v>4460</v>
      </c>
      <c r="K4483" s="10">
        <v>0.20150180929996386</v>
      </c>
      <c r="L4483" s="10">
        <v>0.1888912037789941</v>
      </c>
    </row>
    <row r="4484" spans="10:12" x14ac:dyDescent="0.3">
      <c r="J4484">
        <v>4461</v>
      </c>
      <c r="K4484" s="10">
        <v>0.19525163678433741</v>
      </c>
      <c r="L4484" s="10">
        <v>0.19214785466849102</v>
      </c>
    </row>
    <row r="4485" spans="10:12" x14ac:dyDescent="0.3">
      <c r="J4485">
        <v>4462</v>
      </c>
      <c r="K4485" s="10">
        <v>0.19082493305657966</v>
      </c>
      <c r="L4485" s="10">
        <v>0.24771848670991248</v>
      </c>
    </row>
    <row r="4486" spans="10:12" x14ac:dyDescent="0.3">
      <c r="J4486">
        <v>4463</v>
      </c>
      <c r="K4486" s="10">
        <v>0.19890093277020182</v>
      </c>
      <c r="L4486" s="10">
        <v>0.4689103360523233</v>
      </c>
    </row>
    <row r="4487" spans="10:12" x14ac:dyDescent="0.3">
      <c r="J4487">
        <v>4464</v>
      </c>
      <c r="K4487" s="10">
        <v>0.20049827295393613</v>
      </c>
      <c r="L4487" s="10">
        <v>0.40748960464806461</v>
      </c>
    </row>
    <row r="4488" spans="10:12" x14ac:dyDescent="0.3">
      <c r="J4488">
        <v>4465</v>
      </c>
      <c r="K4488" s="10">
        <v>0.25760652121917854</v>
      </c>
      <c r="L4488" s="10">
        <v>0.2274383214152558</v>
      </c>
    </row>
    <row r="4489" spans="10:12" x14ac:dyDescent="0.3">
      <c r="J4489">
        <v>4466</v>
      </c>
      <c r="K4489" s="10">
        <v>0.18997976096633276</v>
      </c>
      <c r="L4489" s="10">
        <v>0.28047687277090572</v>
      </c>
    </row>
    <row r="4490" spans="10:12" x14ac:dyDescent="0.3">
      <c r="J4490">
        <v>4467</v>
      </c>
      <c r="K4490" s="10">
        <v>0.22706253353605371</v>
      </c>
      <c r="L4490" s="10">
        <v>7.0587466084201245E-3</v>
      </c>
    </row>
    <row r="4491" spans="10:12" x14ac:dyDescent="0.3">
      <c r="J4491">
        <v>4468</v>
      </c>
      <c r="K4491" s="10">
        <v>0.23407024912092145</v>
      </c>
      <c r="L4491" s="10">
        <v>-2.7730873115797861E-2</v>
      </c>
    </row>
    <row r="4492" spans="10:12" x14ac:dyDescent="0.3">
      <c r="J4492">
        <v>4469</v>
      </c>
      <c r="K4492" s="10">
        <v>0.19048006851351049</v>
      </c>
      <c r="L4492" s="10">
        <v>0.25921350349528821</v>
      </c>
    </row>
    <row r="4493" spans="10:12" x14ac:dyDescent="0.3">
      <c r="J4493">
        <v>4470</v>
      </c>
      <c r="K4493" s="10">
        <v>0.20064101188354486</v>
      </c>
      <c r="L4493" s="10">
        <v>0.43491558874307723</v>
      </c>
    </row>
    <row r="4494" spans="10:12" x14ac:dyDescent="0.3">
      <c r="J4494">
        <v>4471</v>
      </c>
      <c r="K4494" s="10">
        <v>0.20799315439781596</v>
      </c>
      <c r="L4494" s="10">
        <v>8.2868953030184114E-2</v>
      </c>
    </row>
    <row r="4495" spans="10:12" x14ac:dyDescent="0.3">
      <c r="J4495">
        <v>4472</v>
      </c>
      <c r="K4495" s="10">
        <v>0.29748450985797026</v>
      </c>
      <c r="L4495" s="10">
        <v>-2.316335355759408E-2</v>
      </c>
    </row>
    <row r="4496" spans="10:12" x14ac:dyDescent="0.3">
      <c r="J4496">
        <v>4473</v>
      </c>
      <c r="K4496" s="10">
        <v>0.22146133735143636</v>
      </c>
      <c r="L4496" s="10">
        <v>2.8529366790566273E-2</v>
      </c>
    </row>
    <row r="4497" spans="10:12" x14ac:dyDescent="0.3">
      <c r="J4497">
        <v>4474</v>
      </c>
      <c r="K4497" s="10">
        <v>0.20168161979204385</v>
      </c>
      <c r="L4497" s="10">
        <v>0.22871424454810405</v>
      </c>
    </row>
    <row r="4498" spans="10:12" x14ac:dyDescent="0.3">
      <c r="J4498">
        <v>4475</v>
      </c>
      <c r="K4498" s="10">
        <v>0.25814312888175495</v>
      </c>
      <c r="L4498" s="10">
        <v>0.75727715432530951</v>
      </c>
    </row>
    <row r="4499" spans="10:12" x14ac:dyDescent="0.3">
      <c r="J4499">
        <v>4476</v>
      </c>
      <c r="K4499" s="10">
        <v>0.22629421760895302</v>
      </c>
      <c r="L4499" s="10">
        <v>0.33268837587010203</v>
      </c>
    </row>
    <row r="4500" spans="10:12" x14ac:dyDescent="0.3">
      <c r="J4500">
        <v>4477</v>
      </c>
      <c r="K4500" s="10">
        <v>0.19495646926133087</v>
      </c>
      <c r="L4500" s="10">
        <v>0.40588939288189191</v>
      </c>
    </row>
    <row r="4501" spans="10:12" x14ac:dyDescent="0.3">
      <c r="J4501">
        <v>4478</v>
      </c>
      <c r="K4501" s="10">
        <v>0.1971375506352277</v>
      </c>
      <c r="L4501" s="10">
        <v>0.45396554984047</v>
      </c>
    </row>
    <row r="4502" spans="10:12" x14ac:dyDescent="0.3">
      <c r="J4502">
        <v>4479</v>
      </c>
      <c r="K4502" s="10">
        <v>0.20418484475305548</v>
      </c>
      <c r="L4502" s="10">
        <v>0.49198023103294253</v>
      </c>
    </row>
    <row r="4503" spans="10:12" x14ac:dyDescent="0.3">
      <c r="J4503">
        <v>4480</v>
      </c>
      <c r="K4503" s="10">
        <v>0.27219521537590541</v>
      </c>
      <c r="L4503" s="10">
        <v>-5.4780842200348519E-2</v>
      </c>
    </row>
    <row r="4504" spans="10:12" x14ac:dyDescent="0.3">
      <c r="J4504">
        <v>4481</v>
      </c>
      <c r="K4504" s="10">
        <v>0.29091670962835103</v>
      </c>
      <c r="L4504" s="10">
        <v>-8.193485493140305E-3</v>
      </c>
    </row>
    <row r="4505" spans="10:12" x14ac:dyDescent="0.3">
      <c r="J4505">
        <v>4482</v>
      </c>
      <c r="K4505" s="10">
        <v>0.21967331828597061</v>
      </c>
      <c r="L4505" s="10">
        <v>0.27415059897362104</v>
      </c>
    </row>
    <row r="4506" spans="10:12" x14ac:dyDescent="0.3">
      <c r="J4506">
        <v>4483</v>
      </c>
      <c r="K4506" s="10">
        <v>0.24153037047638229</v>
      </c>
      <c r="L4506" s="10">
        <v>-7.5225525923977771E-2</v>
      </c>
    </row>
    <row r="4507" spans="10:12" x14ac:dyDescent="0.3">
      <c r="J4507">
        <v>4484</v>
      </c>
      <c r="K4507" s="10">
        <v>0.18993390189988088</v>
      </c>
      <c r="L4507" s="10">
        <v>0.33406085584842954</v>
      </c>
    </row>
    <row r="4508" spans="10:12" x14ac:dyDescent="0.3">
      <c r="J4508">
        <v>4485</v>
      </c>
      <c r="K4508" s="10">
        <v>0.19281047417027347</v>
      </c>
      <c r="L4508" s="10">
        <v>0.20526340919667696</v>
      </c>
    </row>
    <row r="4509" spans="10:12" x14ac:dyDescent="0.3">
      <c r="J4509">
        <v>4486</v>
      </c>
      <c r="K4509" s="10">
        <v>0.23468291535268615</v>
      </c>
      <c r="L4509" s="10">
        <v>0.29768351645149138</v>
      </c>
    </row>
    <row r="4510" spans="10:12" x14ac:dyDescent="0.3">
      <c r="J4510">
        <v>4487</v>
      </c>
      <c r="K4510" s="10">
        <v>0.21659253806441869</v>
      </c>
      <c r="L4510" s="10">
        <v>0.52360369478400626</v>
      </c>
    </row>
    <row r="4511" spans="10:12" x14ac:dyDescent="0.3">
      <c r="J4511">
        <v>4488</v>
      </c>
      <c r="K4511" s="10">
        <v>0.20023240424978769</v>
      </c>
      <c r="L4511" s="10">
        <v>0.15047375069645025</v>
      </c>
    </row>
    <row r="4512" spans="10:12" x14ac:dyDescent="0.3">
      <c r="J4512">
        <v>4489</v>
      </c>
      <c r="K4512" s="10">
        <v>0.2388473466552172</v>
      </c>
      <c r="L4512" s="10">
        <v>1.6442574020145713E-2</v>
      </c>
    </row>
    <row r="4513" spans="10:12" x14ac:dyDescent="0.3">
      <c r="J4513">
        <v>4490</v>
      </c>
      <c r="K4513" s="10">
        <v>0.19160616450747969</v>
      </c>
      <c r="L4513" s="10">
        <v>0.27077010700909343</v>
      </c>
    </row>
    <row r="4514" spans="10:12" x14ac:dyDescent="0.3">
      <c r="J4514">
        <v>4491</v>
      </c>
      <c r="K4514" s="10">
        <v>0.1893572618096282</v>
      </c>
      <c r="L4514" s="10">
        <v>0.32304365050357214</v>
      </c>
    </row>
    <row r="4515" spans="10:12" x14ac:dyDescent="0.3">
      <c r="J4515">
        <v>4492</v>
      </c>
      <c r="K4515" s="10">
        <v>0.19298961998288905</v>
      </c>
      <c r="L4515" s="10">
        <v>0.23679846100589608</v>
      </c>
    </row>
    <row r="4516" spans="10:12" x14ac:dyDescent="0.3">
      <c r="J4516">
        <v>4493</v>
      </c>
      <c r="K4516" s="10">
        <v>0.19232913133438784</v>
      </c>
      <c r="L4516" s="10">
        <v>0.40247999524399192</v>
      </c>
    </row>
    <row r="4517" spans="10:12" x14ac:dyDescent="0.3">
      <c r="J4517">
        <v>4494</v>
      </c>
      <c r="K4517" s="10">
        <v>0.20748352769503414</v>
      </c>
      <c r="L4517" s="10">
        <v>0.48474204714692626</v>
      </c>
    </row>
    <row r="4518" spans="10:12" x14ac:dyDescent="0.3">
      <c r="J4518">
        <v>4495</v>
      </c>
      <c r="K4518" s="10">
        <v>0.22144497574651112</v>
      </c>
      <c r="L4518" s="10">
        <v>9.9298669573015808E-3</v>
      </c>
    </row>
    <row r="4519" spans="10:12" x14ac:dyDescent="0.3">
      <c r="J4519">
        <v>4496</v>
      </c>
      <c r="K4519" s="10">
        <v>0.20469450367295425</v>
      </c>
      <c r="L4519" s="10">
        <v>0.2589878732169732</v>
      </c>
    </row>
    <row r="4520" spans="10:12" x14ac:dyDescent="0.3">
      <c r="J4520">
        <v>4497</v>
      </c>
      <c r="K4520" s="10">
        <v>0.20094740302158867</v>
      </c>
      <c r="L4520" s="10">
        <v>0.13588775174790296</v>
      </c>
    </row>
    <row r="4521" spans="10:12" x14ac:dyDescent="0.3">
      <c r="J4521">
        <v>4498</v>
      </c>
      <c r="K4521" s="10">
        <v>0.21588757867987093</v>
      </c>
      <c r="L4521" s="10">
        <v>0.56822297610098105</v>
      </c>
    </row>
    <row r="4522" spans="10:12" x14ac:dyDescent="0.3">
      <c r="J4522">
        <v>4499</v>
      </c>
      <c r="K4522" s="10">
        <v>0.1978906611913096</v>
      </c>
      <c r="L4522" s="10">
        <v>0.45328193371954367</v>
      </c>
    </row>
    <row r="4523" spans="10:12" x14ac:dyDescent="0.3">
      <c r="J4523">
        <v>4500</v>
      </c>
      <c r="K4523" s="10">
        <v>0.28590182112462459</v>
      </c>
      <c r="L4523" s="10">
        <v>-8.2139551481082484E-2</v>
      </c>
    </row>
    <row r="4524" spans="10:12" x14ac:dyDescent="0.3">
      <c r="J4524">
        <v>4501</v>
      </c>
      <c r="K4524" s="10">
        <v>0.19833540280692161</v>
      </c>
      <c r="L4524" s="10">
        <v>0.17737553547442902</v>
      </c>
    </row>
    <row r="4525" spans="10:12" x14ac:dyDescent="0.3">
      <c r="J4525">
        <v>4502</v>
      </c>
      <c r="K4525" s="10">
        <v>0.23512021185918894</v>
      </c>
      <c r="L4525" s="10">
        <v>0.25707469876680478</v>
      </c>
    </row>
    <row r="4526" spans="10:12" x14ac:dyDescent="0.3">
      <c r="J4526">
        <v>4503</v>
      </c>
      <c r="K4526" s="10">
        <v>0.19452662322182074</v>
      </c>
      <c r="L4526" s="10">
        <v>0.39486489813847636</v>
      </c>
    </row>
    <row r="4527" spans="10:12" x14ac:dyDescent="0.3">
      <c r="J4527">
        <v>4504</v>
      </c>
      <c r="K4527" s="10">
        <v>0.20441351954354703</v>
      </c>
      <c r="L4527" s="10">
        <v>0.49816388246018506</v>
      </c>
    </row>
    <row r="4528" spans="10:12" x14ac:dyDescent="0.3">
      <c r="J4528">
        <v>4505</v>
      </c>
      <c r="K4528" s="10">
        <v>0.2047608850337766</v>
      </c>
      <c r="L4528" s="10">
        <v>0.23634874161234967</v>
      </c>
    </row>
    <row r="4529" spans="10:12" x14ac:dyDescent="0.3">
      <c r="J4529">
        <v>4506</v>
      </c>
      <c r="K4529" s="10">
        <v>0.24063792574369508</v>
      </c>
      <c r="L4529" s="10">
        <v>0.27017732361303265</v>
      </c>
    </row>
    <row r="4530" spans="10:12" x14ac:dyDescent="0.3">
      <c r="J4530">
        <v>4507</v>
      </c>
      <c r="K4530" s="10">
        <v>0.27478687312700101</v>
      </c>
      <c r="L4530" s="10">
        <v>0.1411237499580919</v>
      </c>
    </row>
    <row r="4531" spans="10:12" x14ac:dyDescent="0.3">
      <c r="J4531">
        <v>4508</v>
      </c>
      <c r="K4531" s="10">
        <v>0.22015654006310467</v>
      </c>
      <c r="L4531" s="10">
        <v>0.13475285402411646</v>
      </c>
    </row>
    <row r="4532" spans="10:12" x14ac:dyDescent="0.3">
      <c r="J4532">
        <v>4509</v>
      </c>
      <c r="K4532" s="10">
        <v>0.21995963550397593</v>
      </c>
      <c r="L4532" s="10">
        <v>5.7270724655985726E-2</v>
      </c>
    </row>
    <row r="4533" spans="10:12" x14ac:dyDescent="0.3">
      <c r="J4533">
        <v>4510</v>
      </c>
      <c r="K4533" s="10">
        <v>0.24381138012145037</v>
      </c>
      <c r="L4533" s="10">
        <v>-5.8561657303804623E-2</v>
      </c>
    </row>
    <row r="4534" spans="10:12" x14ac:dyDescent="0.3">
      <c r="J4534">
        <v>4511</v>
      </c>
      <c r="K4534" s="10">
        <v>0.2433011714026681</v>
      </c>
      <c r="L4534" s="10">
        <v>-9.2953804195270509E-3</v>
      </c>
    </row>
    <row r="4535" spans="10:12" x14ac:dyDescent="0.3">
      <c r="J4535">
        <v>4512</v>
      </c>
      <c r="K4535" s="10">
        <v>0.20049658582871413</v>
      </c>
      <c r="L4535" s="10">
        <v>0.43040582087527063</v>
      </c>
    </row>
    <row r="4536" spans="10:12" x14ac:dyDescent="0.3">
      <c r="J4536">
        <v>4513</v>
      </c>
      <c r="K4536" s="10">
        <v>0.20990825951037281</v>
      </c>
      <c r="L4536" s="10">
        <v>0.25332529592067049</v>
      </c>
    </row>
    <row r="4537" spans="10:12" x14ac:dyDescent="0.3">
      <c r="J4537">
        <v>4514</v>
      </c>
      <c r="K4537" s="10">
        <v>0.23924962811927061</v>
      </c>
      <c r="L4537" s="10">
        <v>0.11504763920548972</v>
      </c>
    </row>
    <row r="4538" spans="10:12" x14ac:dyDescent="0.3">
      <c r="J4538">
        <v>4515</v>
      </c>
      <c r="K4538" s="10">
        <v>0.24468219123068591</v>
      </c>
      <c r="L4538" s="10">
        <v>-3.6496213324217056E-2</v>
      </c>
    </row>
    <row r="4539" spans="10:12" x14ac:dyDescent="0.3">
      <c r="J4539">
        <v>4516</v>
      </c>
      <c r="K4539" s="10">
        <v>0.19591802291496874</v>
      </c>
      <c r="L4539" s="10">
        <v>0.40598466021215385</v>
      </c>
    </row>
    <row r="4540" spans="10:12" x14ac:dyDescent="0.3">
      <c r="J4540">
        <v>4517</v>
      </c>
      <c r="K4540" s="10">
        <v>0.26887936024992326</v>
      </c>
      <c r="L4540" s="10">
        <v>-5.9866142407249828E-3</v>
      </c>
    </row>
    <row r="4541" spans="10:12" x14ac:dyDescent="0.3">
      <c r="J4541">
        <v>4518</v>
      </c>
      <c r="K4541" s="10">
        <v>0.22533192562943527</v>
      </c>
      <c r="L4541" s="10">
        <v>-7.4094709831325212E-3</v>
      </c>
    </row>
    <row r="4542" spans="10:12" x14ac:dyDescent="0.3">
      <c r="J4542">
        <v>4519</v>
      </c>
      <c r="K4542" s="10">
        <v>0.19681541300354691</v>
      </c>
      <c r="L4542" s="10">
        <v>0.44783556695147331</v>
      </c>
    </row>
    <row r="4543" spans="10:12" x14ac:dyDescent="0.3">
      <c r="J4543">
        <v>4520</v>
      </c>
      <c r="K4543" s="10">
        <v>0.20233570546883281</v>
      </c>
      <c r="L4543" s="10">
        <v>0.3916203855945446</v>
      </c>
    </row>
    <row r="4544" spans="10:12" x14ac:dyDescent="0.3">
      <c r="J4544">
        <v>4521</v>
      </c>
      <c r="K4544" s="10">
        <v>0.29905477251917756</v>
      </c>
      <c r="L4544" s="10">
        <v>2.5249065511051754E-2</v>
      </c>
    </row>
    <row r="4545" spans="10:12" x14ac:dyDescent="0.3">
      <c r="J4545">
        <v>4522</v>
      </c>
      <c r="K4545" s="10">
        <v>0.3099205889228801</v>
      </c>
      <c r="L4545" s="10">
        <v>1.3586022602822097E-2</v>
      </c>
    </row>
    <row r="4546" spans="10:12" x14ac:dyDescent="0.3">
      <c r="J4546">
        <v>4523</v>
      </c>
      <c r="K4546" s="10">
        <v>0.19337794798087021</v>
      </c>
      <c r="L4546" s="10">
        <v>0.2679305740832984</v>
      </c>
    </row>
    <row r="4547" spans="10:12" x14ac:dyDescent="0.3">
      <c r="J4547">
        <v>4524</v>
      </c>
      <c r="K4547" s="10">
        <v>0.2837253573316425</v>
      </c>
      <c r="L4547" s="10">
        <v>-2.3265055336306992E-2</v>
      </c>
    </row>
    <row r="4548" spans="10:12" x14ac:dyDescent="0.3">
      <c r="J4548">
        <v>4525</v>
      </c>
      <c r="K4548" s="10">
        <v>0.27952299197157338</v>
      </c>
      <c r="L4548" s="10">
        <v>3.0922828530431646E-2</v>
      </c>
    </row>
    <row r="4549" spans="10:12" x14ac:dyDescent="0.3">
      <c r="J4549">
        <v>4526</v>
      </c>
      <c r="K4549" s="10">
        <v>0.19022921652764588</v>
      </c>
      <c r="L4549" s="10">
        <v>0.28204273401165159</v>
      </c>
    </row>
    <row r="4550" spans="10:12" x14ac:dyDescent="0.3">
      <c r="J4550">
        <v>4527</v>
      </c>
      <c r="K4550" s="10">
        <v>0.2158360630970069</v>
      </c>
      <c r="L4550" s="10">
        <v>0.35436394710203467</v>
      </c>
    </row>
    <row r="4551" spans="10:12" x14ac:dyDescent="0.3">
      <c r="J4551">
        <v>4528</v>
      </c>
      <c r="K4551" s="10">
        <v>0.24719489165713873</v>
      </c>
      <c r="L4551" s="10">
        <v>0.71568167777637659</v>
      </c>
    </row>
    <row r="4552" spans="10:12" x14ac:dyDescent="0.3">
      <c r="J4552">
        <v>4529</v>
      </c>
      <c r="K4552" s="10">
        <v>0.19350171383177697</v>
      </c>
      <c r="L4552" s="10">
        <v>0.39365398020833148</v>
      </c>
    </row>
    <row r="4553" spans="10:12" x14ac:dyDescent="0.3">
      <c r="J4553">
        <v>4530</v>
      </c>
      <c r="K4553" s="10">
        <v>0.25710209309219617</v>
      </c>
      <c r="L4553" s="10">
        <v>-8.924845954996799E-2</v>
      </c>
    </row>
    <row r="4554" spans="10:12" x14ac:dyDescent="0.3">
      <c r="J4554">
        <v>4531</v>
      </c>
      <c r="K4554" s="10">
        <v>0.19201801544649041</v>
      </c>
      <c r="L4554" s="10">
        <v>0.33133629515964319</v>
      </c>
    </row>
    <row r="4555" spans="10:12" x14ac:dyDescent="0.3">
      <c r="J4555">
        <v>4532</v>
      </c>
      <c r="K4555" s="10">
        <v>0.21611468596153396</v>
      </c>
      <c r="L4555" s="10">
        <v>0.37735681069041882</v>
      </c>
    </row>
    <row r="4556" spans="10:12" x14ac:dyDescent="0.3">
      <c r="J4556">
        <v>4533</v>
      </c>
      <c r="K4556" s="10">
        <v>0.22760802717455497</v>
      </c>
      <c r="L4556" s="10">
        <v>0.56483511127380126</v>
      </c>
    </row>
    <row r="4557" spans="10:12" x14ac:dyDescent="0.3">
      <c r="J4557">
        <v>4534</v>
      </c>
      <c r="K4557" s="10">
        <v>0.18977291863370119</v>
      </c>
      <c r="L4557" s="10">
        <v>0.29960336822567607</v>
      </c>
    </row>
    <row r="4558" spans="10:12" x14ac:dyDescent="0.3">
      <c r="J4558">
        <v>4535</v>
      </c>
      <c r="K4558" s="10">
        <v>0.22065763627053378</v>
      </c>
      <c r="L4558" s="10">
        <v>0.54634499334250486</v>
      </c>
    </row>
    <row r="4559" spans="10:12" x14ac:dyDescent="0.3">
      <c r="J4559">
        <v>4536</v>
      </c>
      <c r="K4559" s="10">
        <v>0.20471191313494619</v>
      </c>
      <c r="L4559" s="10">
        <v>0.10710135267856652</v>
      </c>
    </row>
    <row r="4560" spans="10:12" x14ac:dyDescent="0.3">
      <c r="J4560">
        <v>4537</v>
      </c>
      <c r="K4560" s="10">
        <v>0.23673876824486087</v>
      </c>
      <c r="L4560" s="10">
        <v>2.9448393121492319E-2</v>
      </c>
    </row>
    <row r="4561" spans="10:12" x14ac:dyDescent="0.3">
      <c r="J4561">
        <v>4538</v>
      </c>
      <c r="K4561" s="10">
        <v>0.24892045650694247</v>
      </c>
      <c r="L4561" s="10">
        <v>-9.3300078383303772E-2</v>
      </c>
    </row>
    <row r="4562" spans="10:12" x14ac:dyDescent="0.3">
      <c r="J4562">
        <v>4539</v>
      </c>
      <c r="K4562" s="10">
        <v>0.20674227916572738</v>
      </c>
      <c r="L4562" s="10">
        <v>0.23755273280954378</v>
      </c>
    </row>
    <row r="4563" spans="10:12" x14ac:dyDescent="0.3">
      <c r="J4563">
        <v>4540</v>
      </c>
      <c r="K4563" s="10">
        <v>0.23864842586113491</v>
      </c>
      <c r="L4563" s="10">
        <v>0.28336523449040685</v>
      </c>
    </row>
    <row r="4564" spans="10:12" x14ac:dyDescent="0.3">
      <c r="J4564">
        <v>4541</v>
      </c>
      <c r="K4564" s="10">
        <v>0.19962511955672396</v>
      </c>
      <c r="L4564" s="10">
        <v>0.14881235352009461</v>
      </c>
    </row>
    <row r="4565" spans="10:12" x14ac:dyDescent="0.3">
      <c r="J4565">
        <v>4542</v>
      </c>
      <c r="K4565" s="10">
        <v>0.21743858716950651</v>
      </c>
      <c r="L4565" s="10">
        <v>0.26798881404961045</v>
      </c>
    </row>
    <row r="4566" spans="10:12" x14ac:dyDescent="0.3">
      <c r="J4566">
        <v>4543</v>
      </c>
      <c r="K4566" s="10">
        <v>0.19540608650543212</v>
      </c>
      <c r="L4566" s="10">
        <v>0.41861378845828229</v>
      </c>
    </row>
    <row r="4567" spans="10:12" x14ac:dyDescent="0.3">
      <c r="J4567">
        <v>4544</v>
      </c>
      <c r="K4567" s="10">
        <v>0.24145137963865648</v>
      </c>
      <c r="L4567" s="10">
        <v>0.69402090089528479</v>
      </c>
    </row>
    <row r="4568" spans="10:12" x14ac:dyDescent="0.3">
      <c r="J4568">
        <v>4545</v>
      </c>
      <c r="K4568" s="10">
        <v>0.19149532259920102</v>
      </c>
      <c r="L4568" s="10">
        <v>0.39117863653869023</v>
      </c>
    </row>
    <row r="4569" spans="10:12" x14ac:dyDescent="0.3">
      <c r="J4569">
        <v>4546</v>
      </c>
      <c r="K4569" s="10">
        <v>0.23458879859887138</v>
      </c>
      <c r="L4569" s="10">
        <v>0.35060551038985044</v>
      </c>
    </row>
    <row r="4570" spans="10:12" x14ac:dyDescent="0.3">
      <c r="J4570">
        <v>4547</v>
      </c>
      <c r="K4570" s="10">
        <v>0.21290373574338661</v>
      </c>
      <c r="L4570" s="10">
        <v>0.55956330879846128</v>
      </c>
    </row>
    <row r="4571" spans="10:12" x14ac:dyDescent="0.3">
      <c r="J4571">
        <v>4548</v>
      </c>
      <c r="K4571" s="10">
        <v>0.19355251421976885</v>
      </c>
      <c r="L4571" s="10">
        <v>0.2233244487781868</v>
      </c>
    </row>
    <row r="4572" spans="10:12" x14ac:dyDescent="0.3">
      <c r="J4572">
        <v>4549</v>
      </c>
      <c r="K4572" s="10">
        <v>0.23798315111986454</v>
      </c>
      <c r="L4572" s="10">
        <v>-4.3098151491501438E-2</v>
      </c>
    </row>
    <row r="4573" spans="10:12" x14ac:dyDescent="0.3">
      <c r="J4573">
        <v>4550</v>
      </c>
      <c r="K4573" s="10">
        <v>0.20390830244182273</v>
      </c>
      <c r="L4573" s="10">
        <v>0.16800911632928556</v>
      </c>
    </row>
    <row r="4574" spans="10:12" x14ac:dyDescent="0.3">
      <c r="J4574">
        <v>4551</v>
      </c>
      <c r="K4574" s="10">
        <v>0.2166812356978523</v>
      </c>
      <c r="L4574" s="10">
        <v>0.1140528288420623</v>
      </c>
    </row>
    <row r="4575" spans="10:12" x14ac:dyDescent="0.3">
      <c r="J4575">
        <v>4552</v>
      </c>
      <c r="K4575" s="10">
        <v>0.20056919294410316</v>
      </c>
      <c r="L4575" s="10">
        <v>0.44123493167903155</v>
      </c>
    </row>
    <row r="4576" spans="10:12" x14ac:dyDescent="0.3">
      <c r="J4576">
        <v>4553</v>
      </c>
      <c r="K4576" s="10">
        <v>0.19689747399765559</v>
      </c>
      <c r="L4576" s="10">
        <v>0.45154298686820754</v>
      </c>
    </row>
    <row r="4577" spans="10:12" x14ac:dyDescent="0.3">
      <c r="J4577">
        <v>4554</v>
      </c>
      <c r="K4577" s="10">
        <v>0.2209966967982184</v>
      </c>
      <c r="L4577" s="10">
        <v>7.0415250521670386E-2</v>
      </c>
    </row>
    <row r="4578" spans="10:12" x14ac:dyDescent="0.3">
      <c r="J4578">
        <v>4555</v>
      </c>
      <c r="K4578" s="10">
        <v>0.19516264147767245</v>
      </c>
      <c r="L4578" s="10">
        <v>0.23720140747035007</v>
      </c>
    </row>
    <row r="4579" spans="10:12" x14ac:dyDescent="0.3">
      <c r="J4579">
        <v>4556</v>
      </c>
      <c r="K4579" s="10">
        <v>0.24748990403720716</v>
      </c>
      <c r="L4579" s="10">
        <v>6.5977032738297303E-2</v>
      </c>
    </row>
    <row r="4580" spans="10:12" x14ac:dyDescent="0.3">
      <c r="J4580">
        <v>4557</v>
      </c>
      <c r="K4580" s="10">
        <v>0.24761873204527768</v>
      </c>
      <c r="L4580" s="10">
        <v>0.71928465817040266</v>
      </c>
    </row>
    <row r="4581" spans="10:12" x14ac:dyDescent="0.3">
      <c r="J4581">
        <v>4558</v>
      </c>
      <c r="K4581" s="10">
        <v>0.19890167968031733</v>
      </c>
      <c r="L4581" s="10">
        <v>0.16861628063325423</v>
      </c>
    </row>
    <row r="4582" spans="10:12" x14ac:dyDescent="0.3">
      <c r="J4582">
        <v>4559</v>
      </c>
      <c r="K4582" s="10">
        <v>0.18959889250342904</v>
      </c>
      <c r="L4582" s="10">
        <v>0.30404943688314556</v>
      </c>
    </row>
    <row r="4583" spans="10:12" x14ac:dyDescent="0.3">
      <c r="J4583">
        <v>4560</v>
      </c>
      <c r="K4583" s="10">
        <v>0.24572302233515878</v>
      </c>
      <c r="L4583" s="10">
        <v>0.12123915958255405</v>
      </c>
    </row>
    <row r="4584" spans="10:12" x14ac:dyDescent="0.3">
      <c r="J4584">
        <v>4561</v>
      </c>
      <c r="K4584" s="10">
        <v>0.24236271586455016</v>
      </c>
      <c r="L4584" s="10">
        <v>-3.7343618161049849E-2</v>
      </c>
    </row>
    <row r="4585" spans="10:12" x14ac:dyDescent="0.3">
      <c r="J4585">
        <v>4562</v>
      </c>
      <c r="K4585" s="10">
        <v>0.20868926873919968</v>
      </c>
      <c r="L4585" s="10">
        <v>0.18027631403570568</v>
      </c>
    </row>
    <row r="4586" spans="10:12" x14ac:dyDescent="0.3">
      <c r="J4586">
        <v>4563</v>
      </c>
      <c r="K4586" s="10">
        <v>0.24056816837782938</v>
      </c>
      <c r="L4586" s="10">
        <v>0.22063136542313189</v>
      </c>
    </row>
    <row r="4587" spans="10:12" x14ac:dyDescent="0.3">
      <c r="J4587">
        <v>4564</v>
      </c>
      <c r="K4587" s="10">
        <v>0.19902320870059337</v>
      </c>
      <c r="L4587" s="10">
        <v>0.15657500023958168</v>
      </c>
    </row>
    <row r="4588" spans="10:12" x14ac:dyDescent="0.3">
      <c r="J4588">
        <v>4565</v>
      </c>
      <c r="K4588" s="10">
        <v>0.2070692268411663</v>
      </c>
      <c r="L4588" s="10">
        <v>0.1536044136797777</v>
      </c>
    </row>
    <row r="4589" spans="10:12" x14ac:dyDescent="0.3">
      <c r="J4589">
        <v>4566</v>
      </c>
      <c r="K4589" s="10">
        <v>0.19833617706189599</v>
      </c>
      <c r="L4589" s="10">
        <v>0.37257578726531215</v>
      </c>
    </row>
    <row r="4590" spans="10:12" x14ac:dyDescent="0.3">
      <c r="J4590">
        <v>4567</v>
      </c>
      <c r="K4590" s="10">
        <v>0.24033525607391484</v>
      </c>
      <c r="L4590" s="10">
        <v>-2.488256322723556E-2</v>
      </c>
    </row>
    <row r="4591" spans="10:12" x14ac:dyDescent="0.3">
      <c r="J4591">
        <v>4568</v>
      </c>
      <c r="K4591" s="10">
        <v>0.20774813782038828</v>
      </c>
      <c r="L4591" s="10">
        <v>0.171655688750735</v>
      </c>
    </row>
    <row r="4592" spans="10:12" x14ac:dyDescent="0.3">
      <c r="J4592">
        <v>4569</v>
      </c>
      <c r="K4592" s="10">
        <v>0.22299911139243564</v>
      </c>
      <c r="L4592" s="10">
        <v>0.60429334354829134</v>
      </c>
    </row>
    <row r="4593" spans="10:12" x14ac:dyDescent="0.3">
      <c r="J4593">
        <v>4570</v>
      </c>
      <c r="K4593" s="10">
        <v>0.2264123701064033</v>
      </c>
      <c r="L4593" s="10">
        <v>-1.0636111410761442E-2</v>
      </c>
    </row>
    <row r="4594" spans="10:12" x14ac:dyDescent="0.3">
      <c r="J4594">
        <v>4571</v>
      </c>
      <c r="K4594" s="10">
        <v>0.22410017173393468</v>
      </c>
      <c r="L4594" s="10">
        <v>0.61132446233875559</v>
      </c>
    </row>
    <row r="4595" spans="10:12" x14ac:dyDescent="0.3">
      <c r="J4595">
        <v>4572</v>
      </c>
      <c r="K4595" s="10">
        <v>0.26657460481223016</v>
      </c>
      <c r="L4595" s="10">
        <v>2.6998292781041416E-2</v>
      </c>
    </row>
    <row r="4596" spans="10:12" x14ac:dyDescent="0.3">
      <c r="J4596">
        <v>4573</v>
      </c>
      <c r="K4596" s="10">
        <v>0.20743773997283402</v>
      </c>
      <c r="L4596" s="10">
        <v>0.25022709599770615</v>
      </c>
    </row>
    <row r="4597" spans="10:12" x14ac:dyDescent="0.3">
      <c r="J4597">
        <v>4574</v>
      </c>
      <c r="K4597" s="10">
        <v>0.22662421799428542</v>
      </c>
      <c r="L4597" s="10">
        <v>0.42776954678613299</v>
      </c>
    </row>
    <row r="4598" spans="10:12" x14ac:dyDescent="0.3">
      <c r="J4598">
        <v>4575</v>
      </c>
      <c r="K4598" s="10">
        <v>0.24450191937843382</v>
      </c>
      <c r="L4598" s="10">
        <v>7.3954067806246693E-3</v>
      </c>
    </row>
    <row r="4599" spans="10:12" x14ac:dyDescent="0.3">
      <c r="J4599">
        <v>4576</v>
      </c>
      <c r="K4599" s="10">
        <v>0.22235014597953473</v>
      </c>
      <c r="L4599" s="10">
        <v>0.59219794817263505</v>
      </c>
    </row>
    <row r="4600" spans="10:12" x14ac:dyDescent="0.3">
      <c r="J4600">
        <v>4577</v>
      </c>
      <c r="K4600" s="10">
        <v>0.20131914646810803</v>
      </c>
      <c r="L4600" s="10">
        <v>0.21412673682835465</v>
      </c>
    </row>
    <row r="4601" spans="10:12" x14ac:dyDescent="0.3">
      <c r="J4601">
        <v>4578</v>
      </c>
      <c r="K4601" s="10">
        <v>0.19820915685891954</v>
      </c>
      <c r="L4601" s="10">
        <v>0.394316859877274</v>
      </c>
    </row>
    <row r="4602" spans="10:12" x14ac:dyDescent="0.3">
      <c r="J4602">
        <v>4579</v>
      </c>
      <c r="K4602" s="10">
        <v>0.18914593780424424</v>
      </c>
      <c r="L4602" s="10">
        <v>0.3214271897860117</v>
      </c>
    </row>
    <row r="4603" spans="10:12" x14ac:dyDescent="0.3">
      <c r="J4603">
        <v>4580</v>
      </c>
      <c r="K4603" s="10">
        <v>0.20806856878670163</v>
      </c>
      <c r="L4603" s="10">
        <v>0.15446230174409878</v>
      </c>
    </row>
    <row r="4604" spans="10:12" x14ac:dyDescent="0.3">
      <c r="J4604">
        <v>4581</v>
      </c>
      <c r="K4604" s="10">
        <v>0.19459068745888314</v>
      </c>
      <c r="L4604" s="10">
        <v>0.42598727057379687</v>
      </c>
    </row>
    <row r="4605" spans="10:12" x14ac:dyDescent="0.3">
      <c r="J4605">
        <v>4582</v>
      </c>
      <c r="K4605" s="10">
        <v>0.20944005771708354</v>
      </c>
      <c r="L4605" s="10">
        <v>0.41144677926597073</v>
      </c>
    </row>
    <row r="4606" spans="10:12" x14ac:dyDescent="0.3">
      <c r="J4606">
        <v>4583</v>
      </c>
      <c r="K4606" s="10">
        <v>0.24892443673585507</v>
      </c>
      <c r="L4606" s="10">
        <v>0.20798041893987532</v>
      </c>
    </row>
    <row r="4607" spans="10:12" x14ac:dyDescent="0.3">
      <c r="J4607">
        <v>4584</v>
      </c>
      <c r="K4607" s="10">
        <v>0.22502064024874999</v>
      </c>
      <c r="L4607" s="10">
        <v>-1.5225376570618052E-3</v>
      </c>
    </row>
    <row r="4608" spans="10:12" x14ac:dyDescent="0.3">
      <c r="J4608">
        <v>4585</v>
      </c>
      <c r="K4608" s="10">
        <v>0.2207533655317159</v>
      </c>
      <c r="L4608" s="10">
        <v>8.703926182645863E-2</v>
      </c>
    </row>
    <row r="4609" spans="10:12" x14ac:dyDescent="0.3">
      <c r="J4609">
        <v>4586</v>
      </c>
      <c r="K4609" s="10">
        <v>0.20926040642175897</v>
      </c>
      <c r="L4609" s="10">
        <v>0.41906855450241887</v>
      </c>
    </row>
    <row r="4610" spans="10:12" x14ac:dyDescent="0.3">
      <c r="J4610">
        <v>4587</v>
      </c>
      <c r="K4610" s="10">
        <v>0.19173600068889329</v>
      </c>
      <c r="L4610" s="10">
        <v>0.35772820095542834</v>
      </c>
    </row>
    <row r="4611" spans="10:12" x14ac:dyDescent="0.3">
      <c r="J4611">
        <v>4588</v>
      </c>
      <c r="K4611" s="10">
        <v>0.27806185502081754</v>
      </c>
      <c r="L4611" s="10">
        <v>-9.3894381958745499E-2</v>
      </c>
    </row>
    <row r="4612" spans="10:12" x14ac:dyDescent="0.3">
      <c r="J4612">
        <v>4589</v>
      </c>
      <c r="K4612" s="10">
        <v>0.21889173392043856</v>
      </c>
      <c r="L4612" s="10">
        <v>0.57597762278980358</v>
      </c>
    </row>
    <row r="4613" spans="10:12" x14ac:dyDescent="0.3">
      <c r="J4613">
        <v>4590</v>
      </c>
      <c r="K4613" s="10">
        <v>0.24856273480431659</v>
      </c>
      <c r="L4613" s="10">
        <v>-6.7968242362970499E-2</v>
      </c>
    </row>
    <row r="4614" spans="10:12" x14ac:dyDescent="0.3">
      <c r="J4614">
        <v>4591</v>
      </c>
      <c r="K4614" s="10">
        <v>0.23576313769274454</v>
      </c>
      <c r="L4614" s="10">
        <v>0.28802954435743922</v>
      </c>
    </row>
    <row r="4615" spans="10:12" x14ac:dyDescent="0.3">
      <c r="J4615">
        <v>4592</v>
      </c>
      <c r="K4615" s="10">
        <v>0.20710710380159375</v>
      </c>
      <c r="L4615" s="10">
        <v>0.20153055085708052</v>
      </c>
    </row>
    <row r="4616" spans="10:12" x14ac:dyDescent="0.3">
      <c r="J4616">
        <v>4593</v>
      </c>
      <c r="K4616" s="10">
        <v>0.21293194458345427</v>
      </c>
      <c r="L4616" s="10">
        <v>0.25662992674270491</v>
      </c>
    </row>
    <row r="4617" spans="10:12" x14ac:dyDescent="0.3">
      <c r="J4617">
        <v>4594</v>
      </c>
      <c r="K4617" s="10">
        <v>0.20758020734279081</v>
      </c>
      <c r="L4617" s="10">
        <v>8.5208118139331601E-2</v>
      </c>
    </row>
    <row r="4618" spans="10:12" x14ac:dyDescent="0.3">
      <c r="J4618">
        <v>4595</v>
      </c>
      <c r="K4618" s="10">
        <v>0.2100452329116837</v>
      </c>
      <c r="L4618" s="10">
        <v>0.10579631835848446</v>
      </c>
    </row>
    <row r="4619" spans="10:12" x14ac:dyDescent="0.3">
      <c r="J4619">
        <v>4596</v>
      </c>
      <c r="K4619" s="10">
        <v>0.22534043451725214</v>
      </c>
      <c r="L4619" s="10">
        <v>-6.2075707851715345E-3</v>
      </c>
    </row>
    <row r="4620" spans="10:12" x14ac:dyDescent="0.3">
      <c r="J4620">
        <v>4597</v>
      </c>
      <c r="K4620" s="10">
        <v>0.21344150964612735</v>
      </c>
      <c r="L4620" s="10">
        <v>0.32921900064794551</v>
      </c>
    </row>
    <row r="4621" spans="10:12" x14ac:dyDescent="0.3">
      <c r="J4621">
        <v>4598</v>
      </c>
      <c r="K4621" s="10">
        <v>0.19624233134518246</v>
      </c>
      <c r="L4621" s="10">
        <v>0.21500591512168166</v>
      </c>
    </row>
    <row r="4622" spans="10:12" x14ac:dyDescent="0.3">
      <c r="J4622">
        <v>4599</v>
      </c>
      <c r="K4622" s="10">
        <v>0.20733057942476255</v>
      </c>
      <c r="L4622" s="10">
        <v>0.17479714908679023</v>
      </c>
    </row>
    <row r="4623" spans="10:12" x14ac:dyDescent="0.3">
      <c r="J4623">
        <v>4600</v>
      </c>
      <c r="K4623" s="10">
        <v>0.25785552262692801</v>
      </c>
      <c r="L4623" s="10">
        <v>8.1434188537395785E-2</v>
      </c>
    </row>
    <row r="4624" spans="10:12" x14ac:dyDescent="0.3">
      <c r="J4624">
        <v>4601</v>
      </c>
      <c r="K4624" s="10">
        <v>0.19545652531377061</v>
      </c>
      <c r="L4624" s="10">
        <v>0.20907619100618169</v>
      </c>
    </row>
    <row r="4625" spans="10:12" x14ac:dyDescent="0.3">
      <c r="J4625">
        <v>4602</v>
      </c>
      <c r="K4625" s="10">
        <v>0.19443106393366932</v>
      </c>
      <c r="L4625" s="10">
        <v>0.31185190470370194</v>
      </c>
    </row>
    <row r="4626" spans="10:12" x14ac:dyDescent="0.3">
      <c r="J4626">
        <v>4603</v>
      </c>
      <c r="K4626" s="10">
        <v>0.19257078467783398</v>
      </c>
      <c r="L4626" s="10">
        <v>0.39437929836814062</v>
      </c>
    </row>
    <row r="4627" spans="10:12" x14ac:dyDescent="0.3">
      <c r="J4627">
        <v>4604</v>
      </c>
      <c r="K4627" s="10">
        <v>0.24676704963932247</v>
      </c>
      <c r="L4627" s="10">
        <v>-5.3997922586876419E-2</v>
      </c>
    </row>
    <row r="4628" spans="10:12" x14ac:dyDescent="0.3">
      <c r="J4628">
        <v>4605</v>
      </c>
      <c r="K4628" s="10">
        <v>0.19996912027862832</v>
      </c>
      <c r="L4628" s="10">
        <v>0.21956378017180928</v>
      </c>
    </row>
    <row r="4629" spans="10:12" x14ac:dyDescent="0.3">
      <c r="J4629">
        <v>4606</v>
      </c>
      <c r="K4629" s="10">
        <v>0.22542230347828573</v>
      </c>
      <c r="L4629" s="10">
        <v>0.45256341343181872</v>
      </c>
    </row>
    <row r="4630" spans="10:12" x14ac:dyDescent="0.3">
      <c r="J4630">
        <v>4607</v>
      </c>
      <c r="K4630" s="10">
        <v>0.19190437206110153</v>
      </c>
      <c r="L4630" s="10">
        <v>0.38430816813847996</v>
      </c>
    </row>
    <row r="4631" spans="10:12" x14ac:dyDescent="0.3">
      <c r="J4631">
        <v>4608</v>
      </c>
      <c r="K4631" s="10">
        <v>0.19295598178423579</v>
      </c>
      <c r="L4631" s="10">
        <v>0.40105882201550708</v>
      </c>
    </row>
    <row r="4632" spans="10:12" x14ac:dyDescent="0.3">
      <c r="J4632">
        <v>4609</v>
      </c>
      <c r="K4632" s="10">
        <v>0.19267501130101922</v>
      </c>
      <c r="L4632" s="10">
        <v>0.22810751315331532</v>
      </c>
    </row>
    <row r="4633" spans="10:12" x14ac:dyDescent="0.3">
      <c r="J4633">
        <v>4610</v>
      </c>
      <c r="K4633" s="10">
        <v>0.20489416323300733</v>
      </c>
      <c r="L4633" s="10">
        <v>0.50134586163124295</v>
      </c>
    </row>
    <row r="4634" spans="10:12" x14ac:dyDescent="0.3">
      <c r="J4634">
        <v>4611</v>
      </c>
      <c r="K4634" s="10">
        <v>0.19368245522862801</v>
      </c>
      <c r="L4634" s="10">
        <v>0.24198139932210821</v>
      </c>
    </row>
    <row r="4635" spans="10:12" x14ac:dyDescent="0.3">
      <c r="J4635">
        <v>4612</v>
      </c>
      <c r="K4635" s="10">
        <v>0.20262101188937992</v>
      </c>
      <c r="L4635" s="10">
        <v>0.37021560528524255</v>
      </c>
    </row>
    <row r="4636" spans="10:12" x14ac:dyDescent="0.3">
      <c r="J4636">
        <v>4613</v>
      </c>
      <c r="K4636" s="10">
        <v>0.19735066348485714</v>
      </c>
      <c r="L4636" s="10">
        <v>0.1995322396998136</v>
      </c>
    </row>
    <row r="4637" spans="10:12" x14ac:dyDescent="0.3">
      <c r="J4637">
        <v>4614</v>
      </c>
      <c r="K4637" s="10">
        <v>0.20350542819625897</v>
      </c>
      <c r="L4637" s="10">
        <v>0.18555924388355519</v>
      </c>
    </row>
    <row r="4638" spans="10:12" x14ac:dyDescent="0.3">
      <c r="J4638">
        <v>4615</v>
      </c>
      <c r="K4638" s="10">
        <v>0.23228566364652276</v>
      </c>
      <c r="L4638" s="10">
        <v>0.1045269830997092</v>
      </c>
    </row>
    <row r="4639" spans="10:12" x14ac:dyDescent="0.3">
      <c r="J4639">
        <v>4616</v>
      </c>
      <c r="K4639" s="10">
        <v>0.19260842657451327</v>
      </c>
      <c r="L4639" s="10">
        <v>0.23573960640607317</v>
      </c>
    </row>
    <row r="4640" spans="10:12" x14ac:dyDescent="0.3">
      <c r="J4640">
        <v>4617</v>
      </c>
      <c r="K4640" s="10">
        <v>0.19687909954739899</v>
      </c>
      <c r="L4640" s="10">
        <v>0.32937527285831542</v>
      </c>
    </row>
    <row r="4641" spans="10:12" x14ac:dyDescent="0.3">
      <c r="J4641">
        <v>4618</v>
      </c>
      <c r="K4641" s="10">
        <v>0.19488537736054296</v>
      </c>
      <c r="L4641" s="10">
        <v>0.20632657866216456</v>
      </c>
    </row>
    <row r="4642" spans="10:12" x14ac:dyDescent="0.3">
      <c r="J4642">
        <v>4619</v>
      </c>
      <c r="K4642" s="10">
        <v>0.24644070741244434</v>
      </c>
      <c r="L4642" s="10">
        <v>-9.1442788862128505E-2</v>
      </c>
    </row>
    <row r="4643" spans="10:12" x14ac:dyDescent="0.3">
      <c r="J4643">
        <v>4620</v>
      </c>
      <c r="K4643" s="10">
        <v>0.23006113134392547</v>
      </c>
      <c r="L4643" s="10">
        <v>4.2304851035518183E-2</v>
      </c>
    </row>
    <row r="4644" spans="10:12" x14ac:dyDescent="0.3">
      <c r="J4644">
        <v>4621</v>
      </c>
      <c r="K4644" s="10">
        <v>0.20467033584911129</v>
      </c>
      <c r="L4644" s="10">
        <v>0.40673157120590703</v>
      </c>
    </row>
    <row r="4645" spans="10:12" x14ac:dyDescent="0.3">
      <c r="J4645">
        <v>4622</v>
      </c>
      <c r="K4645" s="10">
        <v>0.19272215708049267</v>
      </c>
      <c r="L4645" s="10">
        <v>0.39606498205992402</v>
      </c>
    </row>
    <row r="4646" spans="10:12" x14ac:dyDescent="0.3">
      <c r="J4646">
        <v>4623</v>
      </c>
      <c r="K4646" s="10">
        <v>0.19854479211474055</v>
      </c>
      <c r="L4646" s="10">
        <v>0.15163242064063653</v>
      </c>
    </row>
    <row r="4647" spans="10:12" x14ac:dyDescent="0.3">
      <c r="J4647">
        <v>4624</v>
      </c>
      <c r="K4647" s="10">
        <v>0.20684879150891478</v>
      </c>
      <c r="L4647" s="10">
        <v>0.19154867979158824</v>
      </c>
    </row>
    <row r="4648" spans="10:12" x14ac:dyDescent="0.3">
      <c r="J4648">
        <v>4625</v>
      </c>
      <c r="K4648" s="10">
        <v>0.29096679318594626</v>
      </c>
      <c r="L4648" s="10">
        <v>2.2798789299410503E-2</v>
      </c>
    </row>
    <row r="4649" spans="10:12" x14ac:dyDescent="0.3">
      <c r="J4649">
        <v>4626</v>
      </c>
      <c r="K4649" s="10">
        <v>0.19643282118324909</v>
      </c>
      <c r="L4649" s="10">
        <v>0.43145384846644558</v>
      </c>
    </row>
    <row r="4650" spans="10:12" x14ac:dyDescent="0.3">
      <c r="J4650">
        <v>4627</v>
      </c>
      <c r="K4650" s="10">
        <v>0.231492311813255</v>
      </c>
      <c r="L4650" s="10">
        <v>0.25688621442678017</v>
      </c>
    </row>
    <row r="4651" spans="10:12" x14ac:dyDescent="0.3">
      <c r="J4651">
        <v>4628</v>
      </c>
      <c r="K4651" s="10">
        <v>0.20526169263013311</v>
      </c>
      <c r="L4651" s="10">
        <v>0.31011401418320894</v>
      </c>
    </row>
    <row r="4652" spans="10:12" x14ac:dyDescent="0.3">
      <c r="J4652">
        <v>4629</v>
      </c>
      <c r="K4652" s="10">
        <v>0.20544002782609788</v>
      </c>
      <c r="L4652" s="10">
        <v>0.10679318926250352</v>
      </c>
    </row>
    <row r="4653" spans="10:12" x14ac:dyDescent="0.3">
      <c r="J4653">
        <v>4630</v>
      </c>
      <c r="K4653" s="10">
        <v>0.19666899114912739</v>
      </c>
      <c r="L4653" s="10">
        <v>0.17574302519322083</v>
      </c>
    </row>
    <row r="4654" spans="10:12" x14ac:dyDescent="0.3">
      <c r="J4654">
        <v>4631</v>
      </c>
      <c r="K4654" s="10">
        <v>0.24687472689342888</v>
      </c>
      <c r="L4654" s="10">
        <v>-4.5240955444652918E-2</v>
      </c>
    </row>
    <row r="4655" spans="10:12" x14ac:dyDescent="0.3">
      <c r="J4655">
        <v>4632</v>
      </c>
      <c r="K4655" s="10">
        <v>0.22624563007257911</v>
      </c>
      <c r="L4655" s="10">
        <v>6.3659094208245379E-3</v>
      </c>
    </row>
    <row r="4656" spans="10:12" x14ac:dyDescent="0.3">
      <c r="J4656">
        <v>4633</v>
      </c>
      <c r="K4656" s="10">
        <v>0.2448875857369604</v>
      </c>
      <c r="L4656" s="10">
        <v>0.2321417788715692</v>
      </c>
    </row>
    <row r="4657" spans="10:12" x14ac:dyDescent="0.3">
      <c r="J4657">
        <v>4634</v>
      </c>
      <c r="K4657" s="10">
        <v>0.23321713243905492</v>
      </c>
      <c r="L4657" s="10">
        <v>0.38736753646693461</v>
      </c>
    </row>
    <row r="4658" spans="10:12" x14ac:dyDescent="0.3">
      <c r="J4658">
        <v>4635</v>
      </c>
      <c r="K4658" s="10">
        <v>0.19591205983886112</v>
      </c>
      <c r="L4658" s="10">
        <v>0.33152036064072193</v>
      </c>
    </row>
    <row r="4659" spans="10:12" x14ac:dyDescent="0.3">
      <c r="J4659">
        <v>4636</v>
      </c>
      <c r="K4659" s="10">
        <v>0.19373657720221762</v>
      </c>
      <c r="L4659" s="10">
        <v>0.41483879043374483</v>
      </c>
    </row>
    <row r="4660" spans="10:12" x14ac:dyDescent="0.3">
      <c r="J4660">
        <v>4637</v>
      </c>
      <c r="K4660" s="10">
        <v>0.19752470074211836</v>
      </c>
      <c r="L4660" s="10">
        <v>0.45012269838364172</v>
      </c>
    </row>
    <row r="4661" spans="10:12" x14ac:dyDescent="0.3">
      <c r="J4661">
        <v>4638</v>
      </c>
      <c r="K4661" s="10">
        <v>0.20609811451436652</v>
      </c>
      <c r="L4661" s="10">
        <v>0.29399648264196204</v>
      </c>
    </row>
    <row r="4662" spans="10:12" x14ac:dyDescent="0.3">
      <c r="J4662">
        <v>4639</v>
      </c>
      <c r="K4662" s="10">
        <v>0.18931496084762989</v>
      </c>
      <c r="L4662" s="10">
        <v>0.33125202751923416</v>
      </c>
    </row>
    <row r="4663" spans="10:12" x14ac:dyDescent="0.3">
      <c r="J4663">
        <v>4640</v>
      </c>
      <c r="K4663" s="10">
        <v>0.19856127838992954</v>
      </c>
      <c r="L4663" s="10">
        <v>0.24857394047699849</v>
      </c>
    </row>
    <row r="4664" spans="10:12" x14ac:dyDescent="0.3">
      <c r="J4664">
        <v>4641</v>
      </c>
      <c r="K4664" s="10">
        <v>0.23120284903262306</v>
      </c>
      <c r="L4664" s="10">
        <v>9.8675790852571887E-2</v>
      </c>
    </row>
    <row r="4665" spans="10:12" x14ac:dyDescent="0.3">
      <c r="J4665">
        <v>4642</v>
      </c>
      <c r="K4665" s="10">
        <v>0.21342596764476213</v>
      </c>
      <c r="L4665" s="10">
        <v>0.1468762205179257</v>
      </c>
    </row>
    <row r="4666" spans="10:12" x14ac:dyDescent="0.3">
      <c r="J4666">
        <v>4643</v>
      </c>
      <c r="K4666" s="10">
        <v>0.20790383674536567</v>
      </c>
      <c r="L4666" s="10">
        <v>0.52380889125407493</v>
      </c>
    </row>
    <row r="4667" spans="10:12" x14ac:dyDescent="0.3">
      <c r="J4667">
        <v>4644</v>
      </c>
      <c r="K4667" s="10">
        <v>0.25391609116881475</v>
      </c>
      <c r="L4667" s="10">
        <v>0.74321290788341532</v>
      </c>
    </row>
    <row r="4668" spans="10:12" x14ac:dyDescent="0.3">
      <c r="J4668">
        <v>4645</v>
      </c>
      <c r="K4668" s="10">
        <v>0.25396241565121297</v>
      </c>
      <c r="L4668" s="10">
        <v>0.20273482831579706</v>
      </c>
    </row>
    <row r="4669" spans="10:12" x14ac:dyDescent="0.3">
      <c r="J4669">
        <v>4646</v>
      </c>
      <c r="K4669" s="10">
        <v>0.21227977665507672</v>
      </c>
      <c r="L4669" s="10">
        <v>0.11613561950659519</v>
      </c>
    </row>
    <row r="4670" spans="10:12" x14ac:dyDescent="0.3">
      <c r="J4670">
        <v>4647</v>
      </c>
      <c r="K4670" s="10">
        <v>0.19669552036150831</v>
      </c>
      <c r="L4670" s="10">
        <v>0.44081862304838093</v>
      </c>
    </row>
    <row r="4671" spans="10:12" x14ac:dyDescent="0.3">
      <c r="J4671">
        <v>4648</v>
      </c>
      <c r="K4671" s="10">
        <v>0.23850522725036416</v>
      </c>
      <c r="L4671" s="10">
        <v>-4.823459366860066E-2</v>
      </c>
    </row>
    <row r="4672" spans="10:12" x14ac:dyDescent="0.3">
      <c r="J4672">
        <v>4649</v>
      </c>
      <c r="K4672" s="10">
        <v>0.19258698914234959</v>
      </c>
      <c r="L4672" s="10">
        <v>0.22144558084021726</v>
      </c>
    </row>
    <row r="4673" spans="10:12" x14ac:dyDescent="0.3">
      <c r="J4673">
        <v>4650</v>
      </c>
      <c r="K4673" s="10">
        <v>0.2019079041441609</v>
      </c>
      <c r="L4673" s="10">
        <v>0.30269398779654133</v>
      </c>
    </row>
    <row r="4674" spans="10:12" x14ac:dyDescent="0.3">
      <c r="J4674">
        <v>4651</v>
      </c>
      <c r="K4674" s="10">
        <v>0.23472796892126821</v>
      </c>
      <c r="L4674" s="10">
        <v>2.4984485503197471E-2</v>
      </c>
    </row>
    <row r="4675" spans="10:12" x14ac:dyDescent="0.3">
      <c r="J4675">
        <v>4652</v>
      </c>
      <c r="K4675" s="10">
        <v>0.26568876244211836</v>
      </c>
      <c r="L4675" s="10">
        <v>-5.1175724257333272E-2</v>
      </c>
    </row>
    <row r="4676" spans="10:12" x14ac:dyDescent="0.3">
      <c r="J4676">
        <v>4653</v>
      </c>
      <c r="K4676" s="10">
        <v>0.2545192765374194</v>
      </c>
      <c r="L4676" s="10">
        <v>0.74354339008409398</v>
      </c>
    </row>
    <row r="4677" spans="10:12" x14ac:dyDescent="0.3">
      <c r="J4677">
        <v>4654</v>
      </c>
      <c r="K4677" s="10">
        <v>0.23834930752082442</v>
      </c>
      <c r="L4677" s="10">
        <v>-9.226430697309336E-3</v>
      </c>
    </row>
    <row r="4678" spans="10:12" x14ac:dyDescent="0.3">
      <c r="J4678">
        <v>4655</v>
      </c>
      <c r="K4678" s="10">
        <v>0.21561260342583913</v>
      </c>
      <c r="L4678" s="10">
        <v>5.7422328179208171E-2</v>
      </c>
    </row>
    <row r="4679" spans="10:12" x14ac:dyDescent="0.3">
      <c r="J4679">
        <v>4656</v>
      </c>
      <c r="K4679" s="10">
        <v>0.19053773278748312</v>
      </c>
      <c r="L4679" s="10">
        <v>0.25546057898260555</v>
      </c>
    </row>
    <row r="4680" spans="10:12" x14ac:dyDescent="0.3">
      <c r="J4680">
        <v>4657</v>
      </c>
      <c r="K4680" s="10">
        <v>0.21013123931708966</v>
      </c>
      <c r="L4680" s="10">
        <v>0.51780472914414311</v>
      </c>
    </row>
    <row r="4681" spans="10:12" x14ac:dyDescent="0.3">
      <c r="J4681">
        <v>4658</v>
      </c>
      <c r="K4681" s="10">
        <v>0.23548006999886378</v>
      </c>
      <c r="L4681" s="10">
        <v>0.22747374568427539</v>
      </c>
    </row>
    <row r="4682" spans="10:12" x14ac:dyDescent="0.3">
      <c r="J4682">
        <v>4659</v>
      </c>
      <c r="K4682" s="10">
        <v>0.22723780541195007</v>
      </c>
      <c r="L4682" s="10">
        <v>0.25076754779448551</v>
      </c>
    </row>
    <row r="4683" spans="10:12" x14ac:dyDescent="0.3">
      <c r="J4683">
        <v>4660</v>
      </c>
      <c r="K4683" s="10">
        <v>0.20448309887564628</v>
      </c>
      <c r="L4683" s="10">
        <v>0.19523106618873926</v>
      </c>
    </row>
    <row r="4684" spans="10:12" x14ac:dyDescent="0.3">
      <c r="J4684">
        <v>4661</v>
      </c>
      <c r="K4684" s="10">
        <v>0.18903102939391414</v>
      </c>
      <c r="L4684" s="10">
        <v>0.30983611952459433</v>
      </c>
    </row>
    <row r="4685" spans="10:12" x14ac:dyDescent="0.3">
      <c r="J4685">
        <v>4662</v>
      </c>
      <c r="K4685" s="10">
        <v>0.1888258193533067</v>
      </c>
      <c r="L4685" s="10">
        <v>0.3120295085800413</v>
      </c>
    </row>
    <row r="4686" spans="10:12" x14ac:dyDescent="0.3">
      <c r="J4686">
        <v>4663</v>
      </c>
      <c r="K4686" s="10">
        <v>0.24830874640981832</v>
      </c>
      <c r="L4686" s="10">
        <v>-7.1105886538951307E-2</v>
      </c>
    </row>
    <row r="4687" spans="10:12" x14ac:dyDescent="0.3">
      <c r="J4687">
        <v>4664</v>
      </c>
      <c r="K4687" s="10">
        <v>0.23776686984663944</v>
      </c>
      <c r="L4687" s="10">
        <v>-4.7982099602029218E-3</v>
      </c>
    </row>
    <row r="4688" spans="10:12" x14ac:dyDescent="0.3">
      <c r="J4688">
        <v>4665</v>
      </c>
      <c r="K4688" s="10">
        <v>0.21003489223888894</v>
      </c>
      <c r="L4688" s="10">
        <v>0.39598113676023106</v>
      </c>
    </row>
    <row r="4689" spans="10:12" x14ac:dyDescent="0.3">
      <c r="J4689">
        <v>4666</v>
      </c>
      <c r="K4689" s="10">
        <v>0.23555822378789734</v>
      </c>
      <c r="L4689" s="10">
        <v>0.64228181644060622</v>
      </c>
    </row>
    <row r="4690" spans="10:12" x14ac:dyDescent="0.3">
      <c r="J4690">
        <v>4667</v>
      </c>
      <c r="K4690" s="10">
        <v>0.19021035171718065</v>
      </c>
      <c r="L4690" s="10">
        <v>0.3477310426642547</v>
      </c>
    </row>
    <row r="4691" spans="10:12" x14ac:dyDescent="0.3">
      <c r="J4691">
        <v>4668</v>
      </c>
      <c r="K4691" s="10">
        <v>0.22712852507856945</v>
      </c>
      <c r="L4691" s="10">
        <v>0.18620758440625859</v>
      </c>
    </row>
    <row r="4692" spans="10:12" x14ac:dyDescent="0.3">
      <c r="J4692">
        <v>4669</v>
      </c>
      <c r="K4692" s="10">
        <v>0.20099630413596448</v>
      </c>
      <c r="L4692" s="10">
        <v>0.27460584987317016</v>
      </c>
    </row>
    <row r="4693" spans="10:12" x14ac:dyDescent="0.3">
      <c r="J4693">
        <v>4670</v>
      </c>
      <c r="K4693" s="10">
        <v>0.20176117031525348</v>
      </c>
      <c r="L4693" s="10">
        <v>0.18082050973833078</v>
      </c>
    </row>
    <row r="4694" spans="10:12" x14ac:dyDescent="0.3">
      <c r="J4694">
        <v>4671</v>
      </c>
      <c r="K4694" s="10">
        <v>0.19286877337142924</v>
      </c>
      <c r="L4694" s="10">
        <v>0.21183214857506127</v>
      </c>
    </row>
    <row r="4695" spans="10:12" x14ac:dyDescent="0.3">
      <c r="J4695">
        <v>4672</v>
      </c>
      <c r="K4695" s="10">
        <v>0.20054961079115299</v>
      </c>
      <c r="L4695" s="10">
        <v>0.15949717553350226</v>
      </c>
    </row>
    <row r="4696" spans="10:12" x14ac:dyDescent="0.3">
      <c r="J4696">
        <v>4673</v>
      </c>
      <c r="K4696" s="10">
        <v>0.21744127171625219</v>
      </c>
      <c r="L4696" s="10">
        <v>0.58221235738479848</v>
      </c>
    </row>
    <row r="4697" spans="10:12" x14ac:dyDescent="0.3">
      <c r="J4697">
        <v>4674</v>
      </c>
      <c r="K4697" s="10">
        <v>0.22438844176388673</v>
      </c>
      <c r="L4697" s="10">
        <v>3.1630111832426692E-2</v>
      </c>
    </row>
    <row r="4698" spans="10:12" x14ac:dyDescent="0.3">
      <c r="J4698">
        <v>4675</v>
      </c>
      <c r="K4698" s="10">
        <v>0.20703948895976262</v>
      </c>
      <c r="L4698" s="10">
        <v>0.52478115778551349</v>
      </c>
    </row>
    <row r="4699" spans="10:12" x14ac:dyDescent="0.3">
      <c r="J4699">
        <v>4676</v>
      </c>
      <c r="K4699" s="10">
        <v>0.23877089094732198</v>
      </c>
      <c r="L4699" s="10">
        <v>6.0977937662689191E-2</v>
      </c>
    </row>
    <row r="4700" spans="10:12" x14ac:dyDescent="0.3">
      <c r="J4700">
        <v>4677</v>
      </c>
      <c r="K4700" s="10">
        <v>0.21735489219982063</v>
      </c>
      <c r="L4700" s="10">
        <v>0.58368709874227687</v>
      </c>
    </row>
    <row r="4701" spans="10:12" x14ac:dyDescent="0.3">
      <c r="J4701">
        <v>4678</v>
      </c>
      <c r="K4701" s="10">
        <v>0.22641798425352974</v>
      </c>
      <c r="L4701" s="10">
        <v>1.6800694219198588E-2</v>
      </c>
    </row>
    <row r="4702" spans="10:12" x14ac:dyDescent="0.3">
      <c r="J4702">
        <v>4679</v>
      </c>
      <c r="K4702" s="10">
        <v>0.28267496754694643</v>
      </c>
      <c r="L4702" s="10">
        <v>0.84806820569277097</v>
      </c>
    </row>
    <row r="4703" spans="10:12" x14ac:dyDescent="0.3">
      <c r="J4703">
        <v>4680</v>
      </c>
      <c r="K4703" s="10">
        <v>0.20319992808764187</v>
      </c>
      <c r="L4703" s="10">
        <v>0.47057105062745125</v>
      </c>
    </row>
    <row r="4704" spans="10:12" x14ac:dyDescent="0.3">
      <c r="J4704">
        <v>4681</v>
      </c>
      <c r="K4704" s="10">
        <v>0.19271668056365432</v>
      </c>
      <c r="L4704" s="10">
        <v>0.36200407201926832</v>
      </c>
    </row>
    <row r="4705" spans="10:12" x14ac:dyDescent="0.3">
      <c r="J4705">
        <v>4682</v>
      </c>
      <c r="K4705" s="10">
        <v>0.19455811453219943</v>
      </c>
      <c r="L4705" s="10">
        <v>0.38989633840327886</v>
      </c>
    </row>
    <row r="4706" spans="10:12" x14ac:dyDescent="0.3">
      <c r="J4706">
        <v>4683</v>
      </c>
      <c r="K4706" s="10">
        <v>0.24265228036437336</v>
      </c>
      <c r="L4706" s="10">
        <v>0.28161003214567798</v>
      </c>
    </row>
    <row r="4707" spans="10:12" x14ac:dyDescent="0.3">
      <c r="J4707">
        <v>4684</v>
      </c>
      <c r="K4707" s="10">
        <v>0.27532397203204972</v>
      </c>
      <c r="L4707" s="10">
        <v>-5.2841534049330813E-2</v>
      </c>
    </row>
    <row r="4708" spans="10:12" x14ac:dyDescent="0.3">
      <c r="J4708">
        <v>4685</v>
      </c>
      <c r="K4708" s="10">
        <v>0.1893000754949572</v>
      </c>
      <c r="L4708" s="10">
        <v>0.33197461382220461</v>
      </c>
    </row>
    <row r="4709" spans="10:12" x14ac:dyDescent="0.3">
      <c r="J4709">
        <v>4686</v>
      </c>
      <c r="K4709" s="10">
        <v>0.20191297473114847</v>
      </c>
      <c r="L4709" s="10">
        <v>0.19456607760075548</v>
      </c>
    </row>
    <row r="4710" spans="10:12" x14ac:dyDescent="0.3">
      <c r="J4710">
        <v>4687</v>
      </c>
      <c r="K4710" s="10">
        <v>0.20432297767633664</v>
      </c>
      <c r="L4710" s="10">
        <v>0.48672798839751591</v>
      </c>
    </row>
    <row r="4711" spans="10:12" x14ac:dyDescent="0.3">
      <c r="J4711">
        <v>4688</v>
      </c>
      <c r="K4711" s="10">
        <v>0.19809109804886002</v>
      </c>
      <c r="L4711" s="10">
        <v>0.40143630916197742</v>
      </c>
    </row>
    <row r="4712" spans="10:12" x14ac:dyDescent="0.3">
      <c r="J4712">
        <v>4689</v>
      </c>
      <c r="K4712" s="10">
        <v>0.2496548479148914</v>
      </c>
      <c r="L4712" s="10">
        <v>0.22239186254599044</v>
      </c>
    </row>
    <row r="4713" spans="10:12" x14ac:dyDescent="0.3">
      <c r="J4713">
        <v>4690</v>
      </c>
      <c r="K4713" s="10">
        <v>0.2217538528765495</v>
      </c>
      <c r="L4713" s="10">
        <v>0.29510803942314046</v>
      </c>
    </row>
    <row r="4714" spans="10:12" x14ac:dyDescent="0.3">
      <c r="J4714">
        <v>4691</v>
      </c>
      <c r="K4714" s="10">
        <v>0.20653628467348215</v>
      </c>
      <c r="L4714" s="10">
        <v>0.4831280016608181</v>
      </c>
    </row>
    <row r="4715" spans="10:12" x14ac:dyDescent="0.3">
      <c r="J4715">
        <v>4692</v>
      </c>
      <c r="K4715" s="10">
        <v>0.22132264717590577</v>
      </c>
      <c r="L4715" s="10">
        <v>2.7135670507740697E-2</v>
      </c>
    </row>
    <row r="4716" spans="10:12" x14ac:dyDescent="0.3">
      <c r="J4716">
        <v>4693</v>
      </c>
      <c r="K4716" s="10">
        <v>0.20898022465912039</v>
      </c>
      <c r="L4716" s="10">
        <v>0.15863965853825113</v>
      </c>
    </row>
    <row r="4717" spans="10:12" x14ac:dyDescent="0.3">
      <c r="J4717">
        <v>4694</v>
      </c>
      <c r="K4717" s="10">
        <v>0.21269288832324071</v>
      </c>
      <c r="L4717" s="10">
        <v>0.55112462424459863</v>
      </c>
    </row>
    <row r="4718" spans="10:12" x14ac:dyDescent="0.3">
      <c r="J4718">
        <v>4695</v>
      </c>
      <c r="K4718" s="10">
        <v>0.19121350539492124</v>
      </c>
      <c r="L4718" s="10">
        <v>0.37255017121767975</v>
      </c>
    </row>
    <row r="4719" spans="10:12" x14ac:dyDescent="0.3">
      <c r="J4719">
        <v>4696</v>
      </c>
      <c r="K4719" s="10">
        <v>0.22331620288178292</v>
      </c>
      <c r="L4719" s="10">
        <v>0.1944320865732786</v>
      </c>
    </row>
    <row r="4720" spans="10:12" x14ac:dyDescent="0.3">
      <c r="J4720">
        <v>4697</v>
      </c>
      <c r="K4720" s="10">
        <v>0.22221653539120623</v>
      </c>
      <c r="L4720" s="10">
        <v>0.5816423375855696</v>
      </c>
    </row>
    <row r="4721" spans="10:12" x14ac:dyDescent="0.3">
      <c r="J4721">
        <v>4698</v>
      </c>
      <c r="K4721" s="10">
        <v>0.22922877430215516</v>
      </c>
      <c r="L4721" s="10">
        <v>0.64073239233910362</v>
      </c>
    </row>
    <row r="4722" spans="10:12" x14ac:dyDescent="0.3">
      <c r="J4722">
        <v>4699</v>
      </c>
      <c r="K4722" s="10">
        <v>0.21254944657544461</v>
      </c>
      <c r="L4722" s="10">
        <v>0.12138936666321654</v>
      </c>
    </row>
    <row r="4723" spans="10:12" x14ac:dyDescent="0.3">
      <c r="J4723">
        <v>4700</v>
      </c>
      <c r="K4723" s="10">
        <v>0.23960746398553825</v>
      </c>
      <c r="L4723" s="10">
        <v>0.20307188092312214</v>
      </c>
    </row>
    <row r="4724" spans="10:12" x14ac:dyDescent="0.3">
      <c r="J4724">
        <v>4701</v>
      </c>
      <c r="K4724" s="10">
        <v>0.18949163597144508</v>
      </c>
      <c r="L4724" s="10">
        <v>0.28704228854565811</v>
      </c>
    </row>
    <row r="4725" spans="10:12" x14ac:dyDescent="0.3">
      <c r="J4725">
        <v>4702</v>
      </c>
      <c r="K4725" s="10">
        <v>0.20419561506128067</v>
      </c>
      <c r="L4725" s="10">
        <v>0.1819723144020805</v>
      </c>
    </row>
    <row r="4726" spans="10:12" x14ac:dyDescent="0.3">
      <c r="J4726">
        <v>4703</v>
      </c>
      <c r="K4726" s="10">
        <v>0.20299884951177663</v>
      </c>
      <c r="L4726" s="10">
        <v>0.31182532312573569</v>
      </c>
    </row>
    <row r="4727" spans="10:12" x14ac:dyDescent="0.3">
      <c r="J4727">
        <v>4704</v>
      </c>
      <c r="K4727" s="10">
        <v>0.18958438511802367</v>
      </c>
      <c r="L4727" s="10">
        <v>0.3250758834963966</v>
      </c>
    </row>
    <row r="4728" spans="10:12" x14ac:dyDescent="0.3">
      <c r="J4728">
        <v>4705</v>
      </c>
      <c r="K4728" s="10">
        <v>0.21141554841003771</v>
      </c>
      <c r="L4728" s="10">
        <v>6.8164478230119077E-2</v>
      </c>
    </row>
    <row r="4729" spans="10:12" x14ac:dyDescent="0.3">
      <c r="J4729">
        <v>4706</v>
      </c>
      <c r="K4729" s="10">
        <v>0.22600314644951869</v>
      </c>
      <c r="L4729" s="10">
        <v>-8.4649593665293288E-3</v>
      </c>
    </row>
    <row r="4730" spans="10:12" x14ac:dyDescent="0.3">
      <c r="J4730">
        <v>4707</v>
      </c>
      <c r="K4730" s="10">
        <v>0.22737477170564271</v>
      </c>
      <c r="L4730" s="10">
        <v>7.0794084758507972E-2</v>
      </c>
    </row>
    <row r="4731" spans="10:12" x14ac:dyDescent="0.3">
      <c r="J4731">
        <v>4708</v>
      </c>
      <c r="K4731" s="10">
        <v>0.22226547631412663</v>
      </c>
      <c r="L4731" s="10">
        <v>1.7281855118549072E-2</v>
      </c>
    </row>
    <row r="4732" spans="10:12" x14ac:dyDescent="0.3">
      <c r="J4732">
        <v>4709</v>
      </c>
      <c r="K4732" s="10">
        <v>0.19854608993773515</v>
      </c>
      <c r="L4732" s="10">
        <v>0.26924350151929122</v>
      </c>
    </row>
    <row r="4733" spans="10:12" x14ac:dyDescent="0.3">
      <c r="J4733">
        <v>4710</v>
      </c>
      <c r="K4733" s="10">
        <v>0.20971500787776276</v>
      </c>
      <c r="L4733" s="10">
        <v>0.54246478278410404</v>
      </c>
    </row>
    <row r="4734" spans="10:12" x14ac:dyDescent="0.3">
      <c r="J4734">
        <v>4711</v>
      </c>
      <c r="K4734" s="10">
        <v>0.24235958531506874</v>
      </c>
      <c r="L4734" s="10">
        <v>-7.5345051430563956E-2</v>
      </c>
    </row>
    <row r="4735" spans="10:12" x14ac:dyDescent="0.3">
      <c r="J4735">
        <v>4712</v>
      </c>
      <c r="K4735" s="10">
        <v>0.24352504552129786</v>
      </c>
      <c r="L4735" s="10">
        <v>4.7677085718639253E-2</v>
      </c>
    </row>
    <row r="4736" spans="10:12" x14ac:dyDescent="0.3">
      <c r="J4736">
        <v>4713</v>
      </c>
      <c r="K4736" s="10">
        <v>0.20161887428498124</v>
      </c>
      <c r="L4736" s="10">
        <v>0.12461555317670833</v>
      </c>
    </row>
    <row r="4737" spans="10:12" x14ac:dyDescent="0.3">
      <c r="J4737">
        <v>4714</v>
      </c>
      <c r="K4737" s="10">
        <v>0.26358076587383106</v>
      </c>
      <c r="L4737" s="10">
        <v>0.12533210095804725</v>
      </c>
    </row>
    <row r="4738" spans="10:12" x14ac:dyDescent="0.3">
      <c r="J4738">
        <v>4715</v>
      </c>
      <c r="K4738" s="10">
        <v>0.22888868409994451</v>
      </c>
      <c r="L4738" s="10">
        <v>0.24985305652083009</v>
      </c>
    </row>
    <row r="4739" spans="10:12" x14ac:dyDescent="0.3">
      <c r="J4739">
        <v>4716</v>
      </c>
      <c r="K4739" s="10">
        <v>0.2417096415955278</v>
      </c>
      <c r="L4739" s="10">
        <v>-6.5616316978055061E-3</v>
      </c>
    </row>
    <row r="4740" spans="10:12" x14ac:dyDescent="0.3">
      <c r="J4740">
        <v>4717</v>
      </c>
      <c r="K4740" s="10">
        <v>0.24007841762264001</v>
      </c>
      <c r="L4740" s="10">
        <v>0.25764409363692026</v>
      </c>
    </row>
    <row r="4741" spans="10:12" x14ac:dyDescent="0.3">
      <c r="J4741">
        <v>4718</v>
      </c>
      <c r="K4741" s="10">
        <v>0.20658129082459967</v>
      </c>
      <c r="L4741" s="10">
        <v>9.6125909536886128E-2</v>
      </c>
    </row>
    <row r="4742" spans="10:12" x14ac:dyDescent="0.3">
      <c r="J4742">
        <v>4719</v>
      </c>
      <c r="K4742" s="10">
        <v>0.22518222668740309</v>
      </c>
      <c r="L4742" s="10">
        <v>4.8920853256193275E-2</v>
      </c>
    </row>
    <row r="4743" spans="10:12" x14ac:dyDescent="0.3">
      <c r="J4743">
        <v>4720</v>
      </c>
      <c r="K4743" s="10">
        <v>0.2398471549577095</v>
      </c>
      <c r="L4743" s="10">
        <v>-7.2226722454571846E-2</v>
      </c>
    </row>
    <row r="4744" spans="10:12" x14ac:dyDescent="0.3">
      <c r="J4744">
        <v>4721</v>
      </c>
      <c r="K4744" s="10">
        <v>0.29444612085494287</v>
      </c>
      <c r="L4744" s="10">
        <v>-6.086897773206499E-2</v>
      </c>
    </row>
    <row r="4745" spans="10:12" x14ac:dyDescent="0.3">
      <c r="J4745">
        <v>4722</v>
      </c>
      <c r="K4745" s="10">
        <v>0.2153576164602804</v>
      </c>
      <c r="L4745" s="10">
        <v>0.56805314620531866</v>
      </c>
    </row>
    <row r="4746" spans="10:12" x14ac:dyDescent="0.3">
      <c r="J4746">
        <v>4723</v>
      </c>
      <c r="K4746" s="10">
        <v>0.19790511277231371</v>
      </c>
      <c r="L4746" s="10">
        <v>0.25254655010761412</v>
      </c>
    </row>
    <row r="4747" spans="10:12" x14ac:dyDescent="0.3">
      <c r="J4747">
        <v>4724</v>
      </c>
      <c r="K4747" s="10">
        <v>0.21387514603311666</v>
      </c>
      <c r="L4747" s="10">
        <v>0.10704762017697818</v>
      </c>
    </row>
    <row r="4748" spans="10:12" x14ac:dyDescent="0.3">
      <c r="J4748">
        <v>4725</v>
      </c>
      <c r="K4748" s="10">
        <v>0.23063016697060959</v>
      </c>
      <c r="L4748" s="10">
        <v>0.34820958658150014</v>
      </c>
    </row>
    <row r="4749" spans="10:12" x14ac:dyDescent="0.3">
      <c r="J4749">
        <v>4726</v>
      </c>
      <c r="K4749" s="10">
        <v>0.24586463828764901</v>
      </c>
      <c r="L4749" s="10">
        <v>0.24624172504546415</v>
      </c>
    </row>
    <row r="4750" spans="10:12" x14ac:dyDescent="0.3">
      <c r="J4750">
        <v>4727</v>
      </c>
      <c r="K4750" s="10">
        <v>0.19820724463483963</v>
      </c>
      <c r="L4750" s="10">
        <v>0.38619905828422557</v>
      </c>
    </row>
    <row r="4751" spans="10:12" x14ac:dyDescent="0.3">
      <c r="J4751">
        <v>4728</v>
      </c>
      <c r="K4751" s="10">
        <v>0.20406482614448268</v>
      </c>
      <c r="L4751" s="10">
        <v>0.11240580762414835</v>
      </c>
    </row>
    <row r="4752" spans="10:12" x14ac:dyDescent="0.3">
      <c r="J4752">
        <v>4729</v>
      </c>
      <c r="K4752" s="10">
        <v>0.20246517129798866</v>
      </c>
      <c r="L4752" s="10">
        <v>0.21294193965932687</v>
      </c>
    </row>
    <row r="4753" spans="10:12" x14ac:dyDescent="0.3">
      <c r="J4753">
        <v>4730</v>
      </c>
      <c r="K4753" s="10">
        <v>0.19145614344104497</v>
      </c>
      <c r="L4753" s="10">
        <v>0.29709345003658616</v>
      </c>
    </row>
    <row r="4754" spans="10:12" x14ac:dyDescent="0.3">
      <c r="J4754">
        <v>4731</v>
      </c>
      <c r="K4754" s="10">
        <v>0.20575110259517862</v>
      </c>
      <c r="L4754" s="10">
        <v>0.43587447987740285</v>
      </c>
    </row>
    <row r="4755" spans="10:12" x14ac:dyDescent="0.3">
      <c r="J4755">
        <v>4732</v>
      </c>
      <c r="K4755" s="10">
        <v>0.20657428337654082</v>
      </c>
      <c r="L4755" s="10">
        <v>0.5200565976797773</v>
      </c>
    </row>
    <row r="4756" spans="10:12" x14ac:dyDescent="0.3">
      <c r="J4756">
        <v>4733</v>
      </c>
      <c r="K4756" s="10">
        <v>0.27462699513431776</v>
      </c>
      <c r="L4756" s="10">
        <v>5.4687081203046432E-2</v>
      </c>
    </row>
    <row r="4757" spans="10:12" x14ac:dyDescent="0.3">
      <c r="J4757">
        <v>4734</v>
      </c>
      <c r="K4757" s="10">
        <v>0.18871918903853241</v>
      </c>
      <c r="L4757" s="10">
        <v>0.31398672777577641</v>
      </c>
    </row>
    <row r="4758" spans="10:12" x14ac:dyDescent="0.3">
      <c r="J4758">
        <v>4735</v>
      </c>
      <c r="K4758" s="10">
        <v>0.19759623676548693</v>
      </c>
      <c r="L4758" s="10">
        <v>0.20648748217750404</v>
      </c>
    </row>
    <row r="4759" spans="10:12" x14ac:dyDescent="0.3">
      <c r="J4759">
        <v>4736</v>
      </c>
      <c r="K4759" s="10">
        <v>0.19255585736956984</v>
      </c>
      <c r="L4759" s="10">
        <v>0.25854313297685771</v>
      </c>
    </row>
    <row r="4760" spans="10:12" x14ac:dyDescent="0.3">
      <c r="J4760">
        <v>4737</v>
      </c>
      <c r="K4760" s="10">
        <v>0.19486949072284349</v>
      </c>
      <c r="L4760" s="10">
        <v>0.24219755237456952</v>
      </c>
    </row>
    <row r="4761" spans="10:12" x14ac:dyDescent="0.3">
      <c r="J4761">
        <v>4738</v>
      </c>
      <c r="K4761" s="10">
        <v>0.27358383912827011</v>
      </c>
      <c r="L4761" s="10">
        <v>0.81531158303915574</v>
      </c>
    </row>
    <row r="4762" spans="10:12" x14ac:dyDescent="0.3">
      <c r="J4762">
        <v>4739</v>
      </c>
      <c r="K4762" s="10">
        <v>0.20089502854250629</v>
      </c>
      <c r="L4762" s="10">
        <v>0.44250322614099996</v>
      </c>
    </row>
    <row r="4763" spans="10:12" x14ac:dyDescent="0.3">
      <c r="J4763">
        <v>4740</v>
      </c>
      <c r="K4763" s="10">
        <v>0.2065401454691945</v>
      </c>
      <c r="L4763" s="10">
        <v>0.14133256531621852</v>
      </c>
    </row>
    <row r="4764" spans="10:12" x14ac:dyDescent="0.3">
      <c r="J4764">
        <v>4741</v>
      </c>
      <c r="K4764" s="10">
        <v>0.18952899896061373</v>
      </c>
      <c r="L4764" s="10">
        <v>0.27709849129860148</v>
      </c>
    </row>
    <row r="4765" spans="10:12" x14ac:dyDescent="0.3">
      <c r="J4765">
        <v>4742</v>
      </c>
      <c r="K4765" s="10">
        <v>0.20994456662100835</v>
      </c>
      <c r="L4765" s="10">
        <v>0.24958597868440144</v>
      </c>
    </row>
    <row r="4766" spans="10:12" x14ac:dyDescent="0.3">
      <c r="J4766">
        <v>4743</v>
      </c>
      <c r="K4766" s="10">
        <v>0.20136170583169696</v>
      </c>
      <c r="L4766" s="10">
        <v>0.46421749926637729</v>
      </c>
    </row>
    <row r="4767" spans="10:12" x14ac:dyDescent="0.3">
      <c r="J4767">
        <v>4744</v>
      </c>
      <c r="K4767" s="10">
        <v>0.27500666443882038</v>
      </c>
      <c r="L4767" s="10">
        <v>-3.4471850633134779E-2</v>
      </c>
    </row>
    <row r="4768" spans="10:12" x14ac:dyDescent="0.3">
      <c r="J4768">
        <v>4745</v>
      </c>
      <c r="K4768" s="10">
        <v>0.19986606441982357</v>
      </c>
      <c r="L4768" s="10">
        <v>0.18695005059850245</v>
      </c>
    </row>
    <row r="4769" spans="10:12" x14ac:dyDescent="0.3">
      <c r="J4769">
        <v>4746</v>
      </c>
      <c r="K4769" s="10">
        <v>0.1952019943781575</v>
      </c>
      <c r="L4769" s="10">
        <v>0.27333461040149332</v>
      </c>
    </row>
    <row r="4770" spans="10:12" x14ac:dyDescent="0.3">
      <c r="J4770">
        <v>4747</v>
      </c>
      <c r="K4770" s="10">
        <v>0.23444413860292426</v>
      </c>
      <c r="L4770" s="10">
        <v>0.65722546992292719</v>
      </c>
    </row>
    <row r="4771" spans="10:12" x14ac:dyDescent="0.3">
      <c r="J4771">
        <v>4748</v>
      </c>
      <c r="K4771" s="10">
        <v>0.20810648606094606</v>
      </c>
      <c r="L4771" s="10">
        <v>0.51257418414434219</v>
      </c>
    </row>
    <row r="4772" spans="10:12" x14ac:dyDescent="0.3">
      <c r="J4772">
        <v>4749</v>
      </c>
      <c r="K4772" s="10">
        <v>0.19581892503333806</v>
      </c>
      <c r="L4772" s="10">
        <v>0.33865210074751523</v>
      </c>
    </row>
    <row r="4773" spans="10:12" x14ac:dyDescent="0.3">
      <c r="J4773">
        <v>4750</v>
      </c>
      <c r="K4773" s="10">
        <v>0.19333597960684243</v>
      </c>
      <c r="L4773" s="10">
        <v>0.20676332970547645</v>
      </c>
    </row>
    <row r="4774" spans="10:12" x14ac:dyDescent="0.3">
      <c r="J4774">
        <v>4751</v>
      </c>
      <c r="K4774" s="10">
        <v>0.28812014718114637</v>
      </c>
      <c r="L4774" s="10">
        <v>-5.3643416748053958E-2</v>
      </c>
    </row>
    <row r="4775" spans="10:12" x14ac:dyDescent="0.3">
      <c r="J4775">
        <v>4752</v>
      </c>
      <c r="K4775" s="10">
        <v>0.2004926468537116</v>
      </c>
      <c r="L4775" s="10">
        <v>0.41288557987996893</v>
      </c>
    </row>
    <row r="4776" spans="10:12" x14ac:dyDescent="0.3">
      <c r="J4776">
        <v>4753</v>
      </c>
      <c r="K4776" s="10">
        <v>0.19421294373180789</v>
      </c>
      <c r="L4776" s="10">
        <v>0.39239482070152604</v>
      </c>
    </row>
    <row r="4777" spans="10:12" x14ac:dyDescent="0.3">
      <c r="J4777">
        <v>4754</v>
      </c>
      <c r="K4777" s="10">
        <v>0.19464103714096773</v>
      </c>
      <c r="L4777" s="10">
        <v>0.20963855976961895</v>
      </c>
    </row>
    <row r="4778" spans="10:12" x14ac:dyDescent="0.3">
      <c r="J4778">
        <v>4755</v>
      </c>
      <c r="K4778" s="10">
        <v>0.19810489250644361</v>
      </c>
      <c r="L4778" s="10">
        <v>0.19708986538099815</v>
      </c>
    </row>
    <row r="4779" spans="10:12" x14ac:dyDescent="0.3">
      <c r="J4779">
        <v>4756</v>
      </c>
      <c r="K4779" s="10">
        <v>0.24433587297365406</v>
      </c>
      <c r="L4779" s="10">
        <v>0.69460981229617547</v>
      </c>
    </row>
    <row r="4780" spans="10:12" x14ac:dyDescent="0.3">
      <c r="J4780">
        <v>4757</v>
      </c>
      <c r="K4780" s="10">
        <v>0.19275322964115121</v>
      </c>
      <c r="L4780" s="10">
        <v>0.37826305122253923</v>
      </c>
    </row>
    <row r="4781" spans="10:12" x14ac:dyDescent="0.3">
      <c r="J4781">
        <v>4758</v>
      </c>
      <c r="K4781" s="10">
        <v>0.19689317333298001</v>
      </c>
      <c r="L4781" s="10">
        <v>0.23166111245294455</v>
      </c>
    </row>
    <row r="4782" spans="10:12" x14ac:dyDescent="0.3">
      <c r="J4782">
        <v>4759</v>
      </c>
      <c r="K4782" s="10">
        <v>0.2095257238387451</v>
      </c>
      <c r="L4782" s="10">
        <v>0.12407439711115348</v>
      </c>
    </row>
    <row r="4783" spans="10:12" x14ac:dyDescent="0.3">
      <c r="J4783">
        <v>4760</v>
      </c>
      <c r="K4783" s="10">
        <v>0.19501236159657662</v>
      </c>
      <c r="L4783" s="10">
        <v>0.29952309842375208</v>
      </c>
    </row>
    <row r="4784" spans="10:12" x14ac:dyDescent="0.3">
      <c r="J4784">
        <v>4761</v>
      </c>
      <c r="K4784" s="10">
        <v>0.21255472082573201</v>
      </c>
      <c r="L4784" s="10">
        <v>9.9882108795460972E-2</v>
      </c>
    </row>
    <row r="4785" spans="10:12" x14ac:dyDescent="0.3">
      <c r="J4785">
        <v>4762</v>
      </c>
      <c r="K4785" s="10">
        <v>0.20794613450616631</v>
      </c>
      <c r="L4785" s="10">
        <v>0.44449664541821876</v>
      </c>
    </row>
    <row r="4786" spans="10:12" x14ac:dyDescent="0.3">
      <c r="J4786">
        <v>4763</v>
      </c>
      <c r="K4786" s="10">
        <v>0.19666500849746754</v>
      </c>
      <c r="L4786" s="10">
        <v>0.24044854700533846</v>
      </c>
    </row>
    <row r="4787" spans="10:12" x14ac:dyDescent="0.3">
      <c r="J4787">
        <v>4764</v>
      </c>
      <c r="K4787" s="10">
        <v>0.19923577589457112</v>
      </c>
      <c r="L4787" s="10">
        <v>0.38586475651762231</v>
      </c>
    </row>
    <row r="4788" spans="10:12" x14ac:dyDescent="0.3">
      <c r="J4788">
        <v>4765</v>
      </c>
      <c r="K4788" s="10">
        <v>0.20087616995229451</v>
      </c>
      <c r="L4788" s="10">
        <v>0.25391273879899268</v>
      </c>
    </row>
    <row r="4789" spans="10:12" x14ac:dyDescent="0.3">
      <c r="J4789">
        <v>4766</v>
      </c>
      <c r="K4789" s="10">
        <v>0.22411658919492838</v>
      </c>
      <c r="L4789" s="10">
        <v>0.29902387224253496</v>
      </c>
    </row>
    <row r="4790" spans="10:12" x14ac:dyDescent="0.3">
      <c r="J4790">
        <v>4767</v>
      </c>
      <c r="K4790" s="10">
        <v>0.21614107944591743</v>
      </c>
      <c r="L4790" s="10">
        <v>0.13263828515147807</v>
      </c>
    </row>
    <row r="4791" spans="10:12" x14ac:dyDescent="0.3">
      <c r="J4791">
        <v>4768</v>
      </c>
      <c r="K4791" s="10">
        <v>0.22648593079714277</v>
      </c>
      <c r="L4791" s="10">
        <v>0.62734186304316752</v>
      </c>
    </row>
    <row r="4792" spans="10:12" x14ac:dyDescent="0.3">
      <c r="J4792">
        <v>4769</v>
      </c>
      <c r="K4792" s="10">
        <v>0.19607265476889871</v>
      </c>
      <c r="L4792" s="10">
        <v>0.24701896002127219</v>
      </c>
    </row>
    <row r="4793" spans="10:12" x14ac:dyDescent="0.3">
      <c r="J4793">
        <v>4770</v>
      </c>
      <c r="K4793" s="10">
        <v>0.19485615066938755</v>
      </c>
      <c r="L4793" s="10">
        <v>0.27937823888164531</v>
      </c>
    </row>
    <row r="4794" spans="10:12" x14ac:dyDescent="0.3">
      <c r="J4794">
        <v>4771</v>
      </c>
      <c r="K4794" s="10">
        <v>0.20550970353722767</v>
      </c>
      <c r="L4794" s="10">
        <v>0.31174098943691986</v>
      </c>
    </row>
    <row r="4795" spans="10:12" x14ac:dyDescent="0.3">
      <c r="J4795">
        <v>4772</v>
      </c>
      <c r="K4795" s="10">
        <v>0.21055728109408373</v>
      </c>
      <c r="L4795" s="10">
        <v>7.3258823540182996E-2</v>
      </c>
    </row>
    <row r="4796" spans="10:12" x14ac:dyDescent="0.3">
      <c r="J4796">
        <v>4773</v>
      </c>
      <c r="K4796" s="10">
        <v>0.2202964251877228</v>
      </c>
      <c r="L4796" s="10">
        <v>0.46567752420582997</v>
      </c>
    </row>
    <row r="4797" spans="10:12" x14ac:dyDescent="0.3">
      <c r="J4797">
        <v>4774</v>
      </c>
      <c r="K4797" s="10">
        <v>0.20106752236754716</v>
      </c>
      <c r="L4797" s="10">
        <v>0.48570290172247671</v>
      </c>
    </row>
    <row r="4798" spans="10:12" x14ac:dyDescent="0.3">
      <c r="J4798">
        <v>4775</v>
      </c>
      <c r="K4798" s="10">
        <v>0.23379828041832015</v>
      </c>
      <c r="L4798" s="10">
        <v>-4.670319493445596E-2</v>
      </c>
    </row>
    <row r="4799" spans="10:12" x14ac:dyDescent="0.3">
      <c r="J4799">
        <v>4776</v>
      </c>
      <c r="K4799" s="10">
        <v>0.23082643036398343</v>
      </c>
      <c r="L4799" s="10">
        <v>-2.4970457710962082E-2</v>
      </c>
    </row>
    <row r="4800" spans="10:12" x14ac:dyDescent="0.3">
      <c r="J4800">
        <v>4777</v>
      </c>
      <c r="K4800" s="10">
        <v>0.19291470904394009</v>
      </c>
      <c r="L4800" s="10">
        <v>0.25836004524785439</v>
      </c>
    </row>
    <row r="4801" spans="10:12" x14ac:dyDescent="0.3">
      <c r="J4801">
        <v>4778</v>
      </c>
      <c r="K4801" s="10">
        <v>0.22112374849313171</v>
      </c>
      <c r="L4801" s="10">
        <v>0.35573920172655343</v>
      </c>
    </row>
    <row r="4802" spans="10:12" x14ac:dyDescent="0.3">
      <c r="J4802">
        <v>4779</v>
      </c>
      <c r="K4802" s="10">
        <v>0.19888546423945883</v>
      </c>
      <c r="L4802" s="10">
        <v>0.15267220442191451</v>
      </c>
    </row>
    <row r="4803" spans="10:12" x14ac:dyDescent="0.3">
      <c r="J4803">
        <v>4780</v>
      </c>
      <c r="K4803" s="10">
        <v>0.19272386318031623</v>
      </c>
      <c r="L4803" s="10">
        <v>0.3606431388462738</v>
      </c>
    </row>
    <row r="4804" spans="10:12" x14ac:dyDescent="0.3">
      <c r="J4804">
        <v>4781</v>
      </c>
      <c r="K4804" s="10">
        <v>0.23152575807223749</v>
      </c>
      <c r="L4804" s="10">
        <v>4.7019376735613919E-2</v>
      </c>
    </row>
    <row r="4805" spans="10:12" x14ac:dyDescent="0.3">
      <c r="J4805">
        <v>4782</v>
      </c>
      <c r="K4805" s="10">
        <v>0.21433669398680125</v>
      </c>
      <c r="L4805" s="10">
        <v>0.17878713638728144</v>
      </c>
    </row>
    <row r="4806" spans="10:12" x14ac:dyDescent="0.3">
      <c r="J4806">
        <v>4783</v>
      </c>
      <c r="K4806" s="10">
        <v>0.19124652833675951</v>
      </c>
      <c r="L4806" s="10">
        <v>0.22828021163759227</v>
      </c>
    </row>
    <row r="4807" spans="10:12" x14ac:dyDescent="0.3">
      <c r="J4807">
        <v>4784</v>
      </c>
      <c r="K4807" s="10">
        <v>0.22272558505662171</v>
      </c>
      <c r="L4807" s="10">
        <v>0.15114749489015517</v>
      </c>
    </row>
    <row r="4808" spans="10:12" x14ac:dyDescent="0.3">
      <c r="J4808">
        <v>4785</v>
      </c>
      <c r="K4808" s="10">
        <v>0.25116014576727264</v>
      </c>
      <c r="L4808" s="10">
        <v>-4.0070171257804918E-3</v>
      </c>
    </row>
    <row r="4809" spans="10:12" x14ac:dyDescent="0.3">
      <c r="J4809">
        <v>4786</v>
      </c>
      <c r="K4809" s="10">
        <v>0.19599964805070869</v>
      </c>
      <c r="L4809" s="10">
        <v>0.37401887451145172</v>
      </c>
    </row>
    <row r="4810" spans="10:12" x14ac:dyDescent="0.3">
      <c r="J4810">
        <v>4787</v>
      </c>
      <c r="K4810" s="10">
        <v>0.1952537848793755</v>
      </c>
      <c r="L4810" s="10">
        <v>0.19273264834966602</v>
      </c>
    </row>
    <row r="4811" spans="10:12" x14ac:dyDescent="0.3">
      <c r="J4811">
        <v>4788</v>
      </c>
      <c r="K4811" s="10">
        <v>0.22993528466334306</v>
      </c>
      <c r="L4811" s="10">
        <v>-1.8725030629205962E-2</v>
      </c>
    </row>
    <row r="4812" spans="10:12" x14ac:dyDescent="0.3">
      <c r="J4812">
        <v>4789</v>
      </c>
      <c r="K4812" s="10">
        <v>0.26211138985859544</v>
      </c>
      <c r="L4812" s="10">
        <v>0.2224266473491584</v>
      </c>
    </row>
    <row r="4813" spans="10:12" x14ac:dyDescent="0.3">
      <c r="J4813">
        <v>4790</v>
      </c>
      <c r="K4813" s="10">
        <v>0.19128655174466302</v>
      </c>
      <c r="L4813" s="10">
        <v>0.31205569705967917</v>
      </c>
    </row>
    <row r="4814" spans="10:12" x14ac:dyDescent="0.3">
      <c r="J4814">
        <v>4791</v>
      </c>
      <c r="K4814" s="10">
        <v>0.21652392987667562</v>
      </c>
      <c r="L4814" s="10">
        <v>0.18088622475794941</v>
      </c>
    </row>
    <row r="4815" spans="10:12" x14ac:dyDescent="0.3">
      <c r="J4815">
        <v>4792</v>
      </c>
      <c r="K4815" s="10">
        <v>0.21713244994369127</v>
      </c>
      <c r="L4815" s="10">
        <v>0.32161145263360041</v>
      </c>
    </row>
    <row r="4816" spans="10:12" x14ac:dyDescent="0.3">
      <c r="J4816">
        <v>4793</v>
      </c>
      <c r="K4816" s="10">
        <v>0.29947487474785861</v>
      </c>
      <c r="L4816" s="10">
        <v>8.424187107761081E-3</v>
      </c>
    </row>
    <row r="4817" spans="10:12" x14ac:dyDescent="0.3">
      <c r="J4817">
        <v>4794</v>
      </c>
      <c r="K4817" s="10">
        <v>0.20118018691112508</v>
      </c>
      <c r="L4817" s="10">
        <v>0.13408119317334369</v>
      </c>
    </row>
    <row r="4818" spans="10:12" x14ac:dyDescent="0.3">
      <c r="J4818">
        <v>4795</v>
      </c>
      <c r="K4818" s="10">
        <v>0.20884507286341594</v>
      </c>
      <c r="L4818" s="10">
        <v>0.13905631279239949</v>
      </c>
    </row>
    <row r="4819" spans="10:12" x14ac:dyDescent="0.3">
      <c r="J4819">
        <v>4796</v>
      </c>
      <c r="K4819" s="10">
        <v>0.19555218582196168</v>
      </c>
      <c r="L4819" s="10">
        <v>0.25787463209237638</v>
      </c>
    </row>
    <row r="4820" spans="10:12" x14ac:dyDescent="0.3">
      <c r="J4820">
        <v>4797</v>
      </c>
      <c r="K4820" s="10">
        <v>0.20926390864761979</v>
      </c>
      <c r="L4820" s="10">
        <v>0.53950500143444946</v>
      </c>
    </row>
    <row r="4821" spans="10:12" x14ac:dyDescent="0.3">
      <c r="J4821">
        <v>4798</v>
      </c>
      <c r="K4821" s="10">
        <v>0.22758375115455609</v>
      </c>
      <c r="L4821" s="10">
        <v>0.55171523826713864</v>
      </c>
    </row>
    <row r="4822" spans="10:12" x14ac:dyDescent="0.3">
      <c r="J4822">
        <v>4799</v>
      </c>
      <c r="K4822" s="10">
        <v>0.20187840358242537</v>
      </c>
      <c r="L4822" s="10">
        <v>0.47771636993126187</v>
      </c>
    </row>
    <row r="4823" spans="10:12" x14ac:dyDescent="0.3">
      <c r="J4823">
        <v>4800</v>
      </c>
      <c r="K4823" s="10">
        <v>0.20216347955340638</v>
      </c>
      <c r="L4823" s="10">
        <v>0.12300872476673011</v>
      </c>
    </row>
    <row r="4824" spans="10:12" x14ac:dyDescent="0.3">
      <c r="J4824">
        <v>4801</v>
      </c>
      <c r="K4824" s="10">
        <v>0.18921911686414195</v>
      </c>
      <c r="L4824" s="10">
        <v>0.31539444457194343</v>
      </c>
    </row>
    <row r="4825" spans="10:12" x14ac:dyDescent="0.3">
      <c r="J4825">
        <v>4802</v>
      </c>
      <c r="K4825" s="10">
        <v>0.2116284094380155</v>
      </c>
      <c r="L4825" s="10">
        <v>0.14168294475338997</v>
      </c>
    </row>
    <row r="4826" spans="10:12" x14ac:dyDescent="0.3">
      <c r="J4826">
        <v>4803</v>
      </c>
      <c r="K4826" s="10">
        <v>0.22909226561262577</v>
      </c>
      <c r="L4826" s="10">
        <v>0.29463713519994589</v>
      </c>
    </row>
    <row r="4827" spans="10:12" x14ac:dyDescent="0.3">
      <c r="J4827">
        <v>4804</v>
      </c>
      <c r="K4827" s="10">
        <v>0.19180897703869473</v>
      </c>
      <c r="L4827" s="10">
        <v>0.38708539417845333</v>
      </c>
    </row>
    <row r="4828" spans="10:12" x14ac:dyDescent="0.3">
      <c r="J4828">
        <v>4805</v>
      </c>
      <c r="K4828" s="10">
        <v>0.19220802373820609</v>
      </c>
      <c r="L4828" s="10">
        <v>0.40043903661242536</v>
      </c>
    </row>
    <row r="4829" spans="10:12" x14ac:dyDescent="0.3">
      <c r="J4829">
        <v>4806</v>
      </c>
      <c r="K4829" s="10">
        <v>0.22827828160438002</v>
      </c>
      <c r="L4829" s="10">
        <v>0.41058380859449795</v>
      </c>
    </row>
    <row r="4830" spans="10:12" x14ac:dyDescent="0.3">
      <c r="J4830">
        <v>4807</v>
      </c>
      <c r="K4830" s="10">
        <v>0.21508515891153232</v>
      </c>
      <c r="L4830" s="10">
        <v>0.11653306718368252</v>
      </c>
    </row>
    <row r="4831" spans="10:12" x14ac:dyDescent="0.3">
      <c r="J4831">
        <v>4808</v>
      </c>
      <c r="K4831" s="10">
        <v>0.20136182189355575</v>
      </c>
      <c r="L4831" s="10">
        <v>0.25252799495377726</v>
      </c>
    </row>
    <row r="4832" spans="10:12" x14ac:dyDescent="0.3">
      <c r="J4832">
        <v>4809</v>
      </c>
      <c r="K4832" s="10">
        <v>0.21531998877518568</v>
      </c>
      <c r="L4832" s="10">
        <v>4.6746807102734787E-2</v>
      </c>
    </row>
    <row r="4833" spans="10:12" x14ac:dyDescent="0.3">
      <c r="J4833">
        <v>4810</v>
      </c>
      <c r="K4833" s="10">
        <v>0.2452515580416495</v>
      </c>
      <c r="L4833" s="10">
        <v>0.27755396427931273</v>
      </c>
    </row>
    <row r="4834" spans="10:12" x14ac:dyDescent="0.3">
      <c r="J4834">
        <v>4811</v>
      </c>
      <c r="K4834" s="10">
        <v>0.2232580110234369</v>
      </c>
      <c r="L4834" s="10">
        <v>0.52948936200294616</v>
      </c>
    </row>
    <row r="4835" spans="10:12" x14ac:dyDescent="0.3">
      <c r="J4835">
        <v>4812</v>
      </c>
      <c r="K4835" s="10">
        <v>0.21933267700488221</v>
      </c>
      <c r="L4835" s="10">
        <v>0.42898600184918961</v>
      </c>
    </row>
    <row r="4836" spans="10:12" x14ac:dyDescent="0.3">
      <c r="J4836">
        <v>4813</v>
      </c>
      <c r="K4836" s="10">
        <v>0.20206635012164414</v>
      </c>
      <c r="L4836" s="10">
        <v>0.21266611156897497</v>
      </c>
    </row>
    <row r="4837" spans="10:12" x14ac:dyDescent="0.3">
      <c r="J4837">
        <v>4814</v>
      </c>
      <c r="K4837" s="10">
        <v>0.19085310033015304</v>
      </c>
      <c r="L4837" s="10">
        <v>0.23374215489889738</v>
      </c>
    </row>
    <row r="4838" spans="10:12" x14ac:dyDescent="0.3">
      <c r="J4838">
        <v>4815</v>
      </c>
      <c r="K4838" s="10">
        <v>0.1897666389016901</v>
      </c>
      <c r="L4838" s="10">
        <v>0.25948946696046282</v>
      </c>
    </row>
    <row r="4839" spans="10:12" x14ac:dyDescent="0.3">
      <c r="J4839">
        <v>4816</v>
      </c>
      <c r="K4839" s="10">
        <v>0.21132423131061553</v>
      </c>
      <c r="L4839" s="10">
        <v>0.16435779944524523</v>
      </c>
    </row>
    <row r="4840" spans="10:12" x14ac:dyDescent="0.3">
      <c r="J4840">
        <v>4817</v>
      </c>
      <c r="K4840" s="10">
        <v>0.19363209469182546</v>
      </c>
      <c r="L4840" s="10">
        <v>0.29383626563841775</v>
      </c>
    </row>
    <row r="4841" spans="10:12" x14ac:dyDescent="0.3">
      <c r="J4841">
        <v>4818</v>
      </c>
      <c r="K4841" s="10">
        <v>0.30469061877806469</v>
      </c>
      <c r="L4841" s="10">
        <v>1.6631510872818757E-2</v>
      </c>
    </row>
    <row r="4842" spans="10:12" x14ac:dyDescent="0.3">
      <c r="J4842">
        <v>4819</v>
      </c>
      <c r="K4842" s="10">
        <v>0.19202630029438861</v>
      </c>
      <c r="L4842" s="10">
        <v>0.21559017261268598</v>
      </c>
    </row>
    <row r="4843" spans="10:12" x14ac:dyDescent="0.3">
      <c r="J4843">
        <v>4820</v>
      </c>
      <c r="K4843" s="10">
        <v>0.19305221494156699</v>
      </c>
      <c r="L4843" s="10">
        <v>0.23920076571350796</v>
      </c>
    </row>
    <row r="4844" spans="10:12" x14ac:dyDescent="0.3">
      <c r="J4844">
        <v>4821</v>
      </c>
      <c r="K4844" s="10">
        <v>0.19590409013291624</v>
      </c>
      <c r="L4844" s="10">
        <v>0.17350536560132515</v>
      </c>
    </row>
    <row r="4845" spans="10:12" x14ac:dyDescent="0.3">
      <c r="J4845">
        <v>4822</v>
      </c>
      <c r="K4845" s="10">
        <v>0.19792792792581698</v>
      </c>
      <c r="L4845" s="10">
        <v>0.42935556460311669</v>
      </c>
    </row>
    <row r="4846" spans="10:12" x14ac:dyDescent="0.3">
      <c r="J4846">
        <v>4823</v>
      </c>
      <c r="K4846" s="10">
        <v>0.19801766856772415</v>
      </c>
      <c r="L4846" s="10">
        <v>0.42503720143036217</v>
      </c>
    </row>
    <row r="4847" spans="10:12" x14ac:dyDescent="0.3">
      <c r="J4847">
        <v>4824</v>
      </c>
      <c r="K4847" s="10">
        <v>0.19643800684753199</v>
      </c>
      <c r="L4847" s="10">
        <v>0.39279220968125489</v>
      </c>
    </row>
    <row r="4848" spans="10:12" x14ac:dyDescent="0.3">
      <c r="J4848">
        <v>4825</v>
      </c>
      <c r="K4848" s="10">
        <v>0.19703741764599034</v>
      </c>
      <c r="L4848" s="10">
        <v>0.45297853006689126</v>
      </c>
    </row>
    <row r="4849" spans="10:12" x14ac:dyDescent="0.3">
      <c r="J4849">
        <v>4826</v>
      </c>
      <c r="K4849" s="10">
        <v>0.21668317459679509</v>
      </c>
      <c r="L4849" s="10">
        <v>0.36833864658312754</v>
      </c>
    </row>
    <row r="4850" spans="10:12" x14ac:dyDescent="0.3">
      <c r="J4850">
        <v>4827</v>
      </c>
      <c r="K4850" s="10">
        <v>0.22398301732240836</v>
      </c>
      <c r="L4850" s="10">
        <v>6.3413592602151542E-2</v>
      </c>
    </row>
    <row r="4851" spans="10:12" x14ac:dyDescent="0.3">
      <c r="J4851">
        <v>4828</v>
      </c>
      <c r="K4851" s="10">
        <v>0.18933518451426462</v>
      </c>
      <c r="L4851" s="10">
        <v>0.32340014727224592</v>
      </c>
    </row>
    <row r="4852" spans="10:12" x14ac:dyDescent="0.3">
      <c r="J4852">
        <v>4829</v>
      </c>
      <c r="K4852" s="10">
        <v>0.20768143075297985</v>
      </c>
      <c r="L4852" s="10">
        <v>0.46774641053467464</v>
      </c>
    </row>
    <row r="4853" spans="10:12" x14ac:dyDescent="0.3">
      <c r="J4853">
        <v>4830</v>
      </c>
      <c r="K4853" s="10">
        <v>0.18894009004074086</v>
      </c>
      <c r="L4853" s="10">
        <v>0.31959473424673351</v>
      </c>
    </row>
    <row r="4854" spans="10:12" x14ac:dyDescent="0.3">
      <c r="J4854">
        <v>4831</v>
      </c>
      <c r="K4854" s="10">
        <v>0.19977892954629486</v>
      </c>
      <c r="L4854" s="10">
        <v>0.13892746915372253</v>
      </c>
    </row>
    <row r="4855" spans="10:12" x14ac:dyDescent="0.3">
      <c r="J4855">
        <v>4832</v>
      </c>
      <c r="K4855" s="10">
        <v>0.22609037787358818</v>
      </c>
      <c r="L4855" s="10">
        <v>0.21563559068064672</v>
      </c>
    </row>
    <row r="4856" spans="10:12" x14ac:dyDescent="0.3">
      <c r="J4856">
        <v>4833</v>
      </c>
      <c r="K4856" s="10">
        <v>0.23938331883740707</v>
      </c>
      <c r="L4856" s="10">
        <v>7.8017445579370293E-4</v>
      </c>
    </row>
    <row r="4857" spans="10:12" x14ac:dyDescent="0.3">
      <c r="J4857">
        <v>4834</v>
      </c>
      <c r="K4857" s="10">
        <v>0.24134784061565667</v>
      </c>
      <c r="L4857" s="10">
        <v>0.19077812435451361</v>
      </c>
    </row>
    <row r="4858" spans="10:12" x14ac:dyDescent="0.3">
      <c r="J4858">
        <v>4835</v>
      </c>
      <c r="K4858" s="10">
        <v>0.19872130976212452</v>
      </c>
      <c r="L4858" s="10">
        <v>0.16099850206898964</v>
      </c>
    </row>
    <row r="4859" spans="10:12" x14ac:dyDescent="0.3">
      <c r="J4859">
        <v>4836</v>
      </c>
      <c r="K4859" s="10">
        <v>0.22484426070244606</v>
      </c>
      <c r="L4859" s="10">
        <v>0.11412477973520307</v>
      </c>
    </row>
    <row r="4860" spans="10:12" x14ac:dyDescent="0.3">
      <c r="J4860">
        <v>4837</v>
      </c>
      <c r="K4860" s="10">
        <v>0.22279016860696116</v>
      </c>
      <c r="L4860" s="10">
        <v>1.9311074531642866E-2</v>
      </c>
    </row>
    <row r="4861" spans="10:12" x14ac:dyDescent="0.3">
      <c r="J4861">
        <v>4838</v>
      </c>
      <c r="K4861" s="10">
        <v>0.1897816324377912</v>
      </c>
      <c r="L4861" s="10">
        <v>0.25659038411573087</v>
      </c>
    </row>
    <row r="4862" spans="10:12" x14ac:dyDescent="0.3">
      <c r="J4862">
        <v>4839</v>
      </c>
      <c r="K4862" s="10">
        <v>0.1965068672234829</v>
      </c>
      <c r="L4862" s="10">
        <v>0.41544175977925296</v>
      </c>
    </row>
    <row r="4863" spans="10:12" x14ac:dyDescent="0.3">
      <c r="J4863">
        <v>4840</v>
      </c>
      <c r="K4863" s="10">
        <v>0.20640849408693532</v>
      </c>
      <c r="L4863" s="10">
        <v>0.13180818613574169</v>
      </c>
    </row>
    <row r="4864" spans="10:12" x14ac:dyDescent="0.3">
      <c r="J4864">
        <v>4841</v>
      </c>
      <c r="K4864" s="10">
        <v>0.19758453838614667</v>
      </c>
      <c r="L4864" s="10">
        <v>0.17364961380746849</v>
      </c>
    </row>
    <row r="4865" spans="10:12" x14ac:dyDescent="0.3">
      <c r="J4865">
        <v>4842</v>
      </c>
      <c r="K4865" s="10">
        <v>0.21260062981710068</v>
      </c>
      <c r="L4865" s="10">
        <v>0.19909701826226767</v>
      </c>
    </row>
    <row r="4866" spans="10:12" x14ac:dyDescent="0.3">
      <c r="J4866">
        <v>4843</v>
      </c>
      <c r="K4866" s="10">
        <v>0.22599939810922365</v>
      </c>
      <c r="L4866" s="10">
        <v>6.3222322432246778E-2</v>
      </c>
    </row>
    <row r="4867" spans="10:12" x14ac:dyDescent="0.3">
      <c r="J4867">
        <v>4844</v>
      </c>
      <c r="K4867" s="10">
        <v>0.20347636390574936</v>
      </c>
      <c r="L4867" s="10">
        <v>0.18003864508076506</v>
      </c>
    </row>
    <row r="4868" spans="10:12" x14ac:dyDescent="0.3">
      <c r="J4868">
        <v>4845</v>
      </c>
      <c r="K4868" s="10">
        <v>0.2205134803691432</v>
      </c>
      <c r="L4868" s="10">
        <v>0.60045997355360159</v>
      </c>
    </row>
    <row r="4869" spans="10:12" x14ac:dyDescent="0.3">
      <c r="J4869">
        <v>4846</v>
      </c>
      <c r="K4869" s="10">
        <v>0.1954352414488533</v>
      </c>
      <c r="L4869" s="10">
        <v>0.22623917738341015</v>
      </c>
    </row>
    <row r="4870" spans="10:12" x14ac:dyDescent="0.3">
      <c r="J4870">
        <v>4847</v>
      </c>
      <c r="K4870" s="10">
        <v>0.24123376111769518</v>
      </c>
      <c r="L4870" s="10">
        <v>0.3044873696584916</v>
      </c>
    </row>
    <row r="4871" spans="10:12" x14ac:dyDescent="0.3">
      <c r="J4871">
        <v>4848</v>
      </c>
      <c r="K4871" s="10">
        <v>0.19270188306940406</v>
      </c>
      <c r="L4871" s="10">
        <v>0.35203467546316619</v>
      </c>
    </row>
    <row r="4872" spans="10:12" x14ac:dyDescent="0.3">
      <c r="J4872">
        <v>4849</v>
      </c>
      <c r="K4872" s="10">
        <v>0.27486664951388823</v>
      </c>
      <c r="L4872" s="10">
        <v>0.13613683810722121</v>
      </c>
    </row>
    <row r="4873" spans="10:12" x14ac:dyDescent="0.3">
      <c r="J4873">
        <v>4850</v>
      </c>
      <c r="K4873" s="10">
        <v>0.19028575755711563</v>
      </c>
      <c r="L4873" s="10">
        <v>0.36771036491858278</v>
      </c>
    </row>
    <row r="4874" spans="10:12" x14ac:dyDescent="0.3">
      <c r="J4874">
        <v>4851</v>
      </c>
      <c r="K4874" s="10">
        <v>0.19406102711612017</v>
      </c>
      <c r="L4874" s="10">
        <v>0.40779265981620871</v>
      </c>
    </row>
    <row r="4875" spans="10:12" x14ac:dyDescent="0.3">
      <c r="J4875">
        <v>4852</v>
      </c>
      <c r="K4875" s="10">
        <v>0.19408253504512385</v>
      </c>
      <c r="L4875" s="10">
        <v>0.26404415432013184</v>
      </c>
    </row>
    <row r="4876" spans="10:12" x14ac:dyDescent="0.3">
      <c r="J4876">
        <v>4853</v>
      </c>
      <c r="K4876" s="10">
        <v>0.23277621313820276</v>
      </c>
      <c r="L4876" s="10">
        <v>8.0310005307498017E-2</v>
      </c>
    </row>
    <row r="4877" spans="10:12" x14ac:dyDescent="0.3">
      <c r="J4877">
        <v>4854</v>
      </c>
      <c r="K4877" s="10">
        <v>0.20374223960569143</v>
      </c>
      <c r="L4877" s="10">
        <v>0.42479791653276466</v>
      </c>
    </row>
    <row r="4878" spans="10:12" x14ac:dyDescent="0.3">
      <c r="J4878">
        <v>4855</v>
      </c>
      <c r="K4878" s="10">
        <v>0.22394719108238972</v>
      </c>
      <c r="L4878" s="10">
        <v>0.11879752430778505</v>
      </c>
    </row>
    <row r="4879" spans="10:12" x14ac:dyDescent="0.3">
      <c r="J4879">
        <v>4856</v>
      </c>
      <c r="K4879" s="10">
        <v>0.19634699653787749</v>
      </c>
      <c r="L4879" s="10">
        <v>0.44163692931122778</v>
      </c>
    </row>
    <row r="4880" spans="10:12" x14ac:dyDescent="0.3">
      <c r="J4880">
        <v>4857</v>
      </c>
      <c r="K4880" s="10">
        <v>0.20332286396078858</v>
      </c>
      <c r="L4880" s="10">
        <v>0.16914273963193965</v>
      </c>
    </row>
    <row r="4881" spans="10:12" x14ac:dyDescent="0.3">
      <c r="J4881">
        <v>4858</v>
      </c>
      <c r="K4881" s="10">
        <v>0.24351295976289444</v>
      </c>
      <c r="L4881" s="10">
        <v>-5.4911618523036568E-2</v>
      </c>
    </row>
    <row r="4882" spans="10:12" x14ac:dyDescent="0.3">
      <c r="J4882">
        <v>4859</v>
      </c>
      <c r="K4882" s="10">
        <v>0.1921763057566391</v>
      </c>
      <c r="L4882" s="10">
        <v>0.21359386252009535</v>
      </c>
    </row>
    <row r="4883" spans="10:12" x14ac:dyDescent="0.3">
      <c r="J4883">
        <v>4860</v>
      </c>
      <c r="K4883" s="10">
        <v>0.22644104026246162</v>
      </c>
      <c r="L4883" s="10">
        <v>0.45125156678004114</v>
      </c>
    </row>
    <row r="4884" spans="10:12" x14ac:dyDescent="0.3">
      <c r="J4884">
        <v>4861</v>
      </c>
      <c r="K4884" s="10">
        <v>0.19197979909672153</v>
      </c>
      <c r="L4884" s="10">
        <v>0.21817725011125566</v>
      </c>
    </row>
    <row r="4885" spans="10:12" x14ac:dyDescent="0.3">
      <c r="J4885">
        <v>4862</v>
      </c>
      <c r="K4885" s="10">
        <v>0.22646777328836906</v>
      </c>
      <c r="L4885" s="10">
        <v>1.5321567154858301E-3</v>
      </c>
    </row>
    <row r="4886" spans="10:12" x14ac:dyDescent="0.3">
      <c r="J4886">
        <v>4863</v>
      </c>
      <c r="K4886" s="10">
        <v>0.22867787756207122</v>
      </c>
      <c r="L4886" s="10">
        <v>1.4257725788623186E-2</v>
      </c>
    </row>
    <row r="4887" spans="10:12" x14ac:dyDescent="0.3">
      <c r="J4887">
        <v>4864</v>
      </c>
      <c r="K4887" s="10">
        <v>0.19143895237109057</v>
      </c>
      <c r="L4887" s="10">
        <v>0.2294452663646368</v>
      </c>
    </row>
    <row r="4888" spans="10:12" x14ac:dyDescent="0.3">
      <c r="J4888">
        <v>4865</v>
      </c>
      <c r="K4888" s="10">
        <v>0.19048828091284642</v>
      </c>
      <c r="L4888" s="10">
        <v>0.24549121979618277</v>
      </c>
    </row>
    <row r="4889" spans="10:12" x14ac:dyDescent="0.3">
      <c r="J4889">
        <v>4866</v>
      </c>
      <c r="K4889" s="10">
        <v>0.21408770127680973</v>
      </c>
      <c r="L4889" s="10">
        <v>0.1665225987837412</v>
      </c>
    </row>
    <row r="4890" spans="10:12" x14ac:dyDescent="0.3">
      <c r="J4890">
        <v>4867</v>
      </c>
      <c r="K4890" s="10">
        <v>0.21794807040005415</v>
      </c>
      <c r="L4890" s="10">
        <v>0.24861069833074853</v>
      </c>
    </row>
    <row r="4891" spans="10:12" x14ac:dyDescent="0.3">
      <c r="J4891">
        <v>4868</v>
      </c>
      <c r="K4891" s="10">
        <v>0.20471616312118809</v>
      </c>
      <c r="L4891" s="10">
        <v>0.16740922499443189</v>
      </c>
    </row>
    <row r="4892" spans="10:12" x14ac:dyDescent="0.3">
      <c r="J4892">
        <v>4869</v>
      </c>
      <c r="K4892" s="10">
        <v>0.18941209876971646</v>
      </c>
      <c r="L4892" s="10">
        <v>0.28935529328641285</v>
      </c>
    </row>
    <row r="4893" spans="10:12" x14ac:dyDescent="0.3">
      <c r="J4893">
        <v>4870</v>
      </c>
      <c r="K4893" s="10">
        <v>0.20209636408993484</v>
      </c>
      <c r="L4893" s="10">
        <v>0.20737735252923015</v>
      </c>
    </row>
    <row r="4894" spans="10:12" x14ac:dyDescent="0.3">
      <c r="J4894">
        <v>4871</v>
      </c>
      <c r="K4894" s="10">
        <v>0.19863216351106919</v>
      </c>
      <c r="L4894" s="10">
        <v>0.46248354105235995</v>
      </c>
    </row>
    <row r="4895" spans="10:12" x14ac:dyDescent="0.3">
      <c r="J4895">
        <v>4872</v>
      </c>
      <c r="K4895" s="10">
        <v>0.20807168262345227</v>
      </c>
      <c r="L4895" s="10">
        <v>0.25675315155822481</v>
      </c>
    </row>
    <row r="4896" spans="10:12" x14ac:dyDescent="0.3">
      <c r="J4896">
        <v>4873</v>
      </c>
      <c r="K4896" s="10">
        <v>0.21950903286963139</v>
      </c>
      <c r="L4896" s="10">
        <v>0.18517411203344467</v>
      </c>
    </row>
    <row r="4897" spans="10:12" x14ac:dyDescent="0.3">
      <c r="J4897">
        <v>4874</v>
      </c>
      <c r="K4897" s="10">
        <v>0.22986253088593298</v>
      </c>
      <c r="L4897" s="10">
        <v>0.64383894655914997</v>
      </c>
    </row>
    <row r="4898" spans="10:12" x14ac:dyDescent="0.3">
      <c r="J4898">
        <v>4875</v>
      </c>
      <c r="K4898" s="10">
        <v>0.23213871892332605</v>
      </c>
      <c r="L4898" s="10">
        <v>0.63998469987454798</v>
      </c>
    </row>
    <row r="4899" spans="10:12" x14ac:dyDescent="0.3">
      <c r="J4899">
        <v>4876</v>
      </c>
      <c r="K4899" s="10">
        <v>0.1901325519557075</v>
      </c>
      <c r="L4899" s="10">
        <v>0.28108242574016395</v>
      </c>
    </row>
    <row r="4900" spans="10:12" x14ac:dyDescent="0.3">
      <c r="J4900">
        <v>4877</v>
      </c>
      <c r="K4900" s="10">
        <v>0.25001198750344616</v>
      </c>
      <c r="L4900" s="10">
        <v>-6.7144987767784478E-2</v>
      </c>
    </row>
    <row r="4901" spans="10:12" x14ac:dyDescent="0.3">
      <c r="J4901">
        <v>4878</v>
      </c>
      <c r="K4901" s="10">
        <v>0.22353972428321262</v>
      </c>
      <c r="L4901" s="10">
        <v>6.6584484736299243E-2</v>
      </c>
    </row>
    <row r="4902" spans="10:12" x14ac:dyDescent="0.3">
      <c r="J4902">
        <v>4879</v>
      </c>
      <c r="K4902" s="10">
        <v>0.28635406997957957</v>
      </c>
      <c r="L4902" s="10">
        <v>-7.0017123646156199E-2</v>
      </c>
    </row>
    <row r="4903" spans="10:12" x14ac:dyDescent="0.3">
      <c r="J4903">
        <v>4880</v>
      </c>
      <c r="K4903" s="10">
        <v>0.19909496727944015</v>
      </c>
      <c r="L4903" s="10">
        <v>0.15263743389428808</v>
      </c>
    </row>
    <row r="4904" spans="10:12" x14ac:dyDescent="0.3">
      <c r="J4904">
        <v>4881</v>
      </c>
      <c r="K4904" s="10">
        <v>0.19054350755593977</v>
      </c>
      <c r="L4904" s="10">
        <v>0.24314166327490222</v>
      </c>
    </row>
    <row r="4905" spans="10:12" x14ac:dyDescent="0.3">
      <c r="J4905">
        <v>4882</v>
      </c>
      <c r="K4905" s="10">
        <v>0.22515234869107373</v>
      </c>
      <c r="L4905" s="10">
        <v>0.24422419316895647</v>
      </c>
    </row>
    <row r="4906" spans="10:12" x14ac:dyDescent="0.3">
      <c r="J4906">
        <v>4883</v>
      </c>
      <c r="K4906" s="10">
        <v>0.22516075967086291</v>
      </c>
      <c r="L4906" s="10">
        <v>0.17259424710830887</v>
      </c>
    </row>
    <row r="4907" spans="10:12" x14ac:dyDescent="0.3">
      <c r="J4907">
        <v>4884</v>
      </c>
      <c r="K4907" s="10">
        <v>0.23084920765775516</v>
      </c>
      <c r="L4907" s="10">
        <v>0.17916486433322712</v>
      </c>
    </row>
    <row r="4908" spans="10:12" x14ac:dyDescent="0.3">
      <c r="J4908">
        <v>4885</v>
      </c>
      <c r="K4908" s="10">
        <v>0.24512180732455974</v>
      </c>
      <c r="L4908" s="10">
        <v>-5.8269564669550335E-2</v>
      </c>
    </row>
    <row r="4909" spans="10:12" x14ac:dyDescent="0.3">
      <c r="J4909">
        <v>4886</v>
      </c>
      <c r="K4909" s="10">
        <v>0.33472104995335705</v>
      </c>
      <c r="L4909" s="10">
        <v>-4.9025181575404655E-2</v>
      </c>
    </row>
    <row r="4910" spans="10:12" x14ac:dyDescent="0.3">
      <c r="J4910">
        <v>4887</v>
      </c>
      <c r="K4910" s="10">
        <v>0.19647511666083151</v>
      </c>
      <c r="L4910" s="10">
        <v>0.34554546166967709</v>
      </c>
    </row>
    <row r="4911" spans="10:12" x14ac:dyDescent="0.3">
      <c r="J4911">
        <v>4888</v>
      </c>
      <c r="K4911" s="10">
        <v>0.21623770773819734</v>
      </c>
      <c r="L4911" s="10">
        <v>0.48387145605786025</v>
      </c>
    </row>
    <row r="4912" spans="10:12" x14ac:dyDescent="0.3">
      <c r="J4912">
        <v>4889</v>
      </c>
      <c r="K4912" s="10">
        <v>0.24924550079878566</v>
      </c>
      <c r="L4912" s="10">
        <v>-3.946621111742344E-2</v>
      </c>
    </row>
    <row r="4913" spans="10:12" x14ac:dyDescent="0.3">
      <c r="J4913">
        <v>4890</v>
      </c>
      <c r="K4913" s="10">
        <v>0.20967098214708027</v>
      </c>
      <c r="L4913" s="10">
        <v>0.32531407744189589</v>
      </c>
    </row>
    <row r="4914" spans="10:12" x14ac:dyDescent="0.3">
      <c r="J4914">
        <v>4891</v>
      </c>
      <c r="K4914" s="10">
        <v>0.19625645900517147</v>
      </c>
      <c r="L4914" s="10">
        <v>0.1981627233547012</v>
      </c>
    </row>
    <row r="4915" spans="10:12" x14ac:dyDescent="0.3">
      <c r="J4915">
        <v>4892</v>
      </c>
      <c r="K4915" s="10">
        <v>0.19379757816505574</v>
      </c>
      <c r="L4915" s="10">
        <v>0.26013429495945745</v>
      </c>
    </row>
    <row r="4916" spans="10:12" x14ac:dyDescent="0.3">
      <c r="J4916">
        <v>4893</v>
      </c>
      <c r="K4916" s="10">
        <v>0.24505810353407367</v>
      </c>
      <c r="L4916" s="10">
        <v>-8.5390837717380666E-2</v>
      </c>
    </row>
    <row r="4917" spans="10:12" x14ac:dyDescent="0.3">
      <c r="J4917">
        <v>4894</v>
      </c>
      <c r="K4917" s="10">
        <v>0.22768080547378758</v>
      </c>
      <c r="L4917" s="10">
        <v>-3.6327072134424848E-3</v>
      </c>
    </row>
    <row r="4918" spans="10:12" x14ac:dyDescent="0.3">
      <c r="J4918">
        <v>4895</v>
      </c>
      <c r="K4918" s="10">
        <v>0.22647929747853729</v>
      </c>
      <c r="L4918" s="10">
        <v>0.44665617635163402</v>
      </c>
    </row>
    <row r="4919" spans="10:12" x14ac:dyDescent="0.3">
      <c r="J4919">
        <v>4896</v>
      </c>
      <c r="K4919" s="10">
        <v>0.22413783821558228</v>
      </c>
      <c r="L4919" s="10">
        <v>0.39658178809219741</v>
      </c>
    </row>
    <row r="4920" spans="10:12" x14ac:dyDescent="0.3">
      <c r="J4920">
        <v>4897</v>
      </c>
      <c r="K4920" s="10">
        <v>0.21169588928386232</v>
      </c>
      <c r="L4920" s="10">
        <v>0.14396615381297459</v>
      </c>
    </row>
    <row r="4921" spans="10:12" x14ac:dyDescent="0.3">
      <c r="J4921">
        <v>4898</v>
      </c>
      <c r="K4921" s="10">
        <v>0.23434177476192014</v>
      </c>
      <c r="L4921" s="10">
        <v>0.11477122614308236</v>
      </c>
    </row>
    <row r="4922" spans="10:12" x14ac:dyDescent="0.3">
      <c r="J4922">
        <v>4899</v>
      </c>
      <c r="K4922" s="10">
        <v>0.22784644040237861</v>
      </c>
      <c r="L4922" s="10">
        <v>0.24258547173656417</v>
      </c>
    </row>
    <row r="4923" spans="10:12" x14ac:dyDescent="0.3">
      <c r="J4923">
        <v>4900</v>
      </c>
      <c r="K4923" s="10">
        <v>0.19437044651025423</v>
      </c>
      <c r="L4923" s="10">
        <v>0.28206729860744512</v>
      </c>
    </row>
    <row r="4924" spans="10:12" x14ac:dyDescent="0.3">
      <c r="J4924">
        <v>4901</v>
      </c>
      <c r="K4924" s="10">
        <v>0.22026358098149817</v>
      </c>
      <c r="L4924" s="10">
        <v>7.80614009326836E-2</v>
      </c>
    </row>
    <row r="4925" spans="10:12" x14ac:dyDescent="0.3">
      <c r="J4925">
        <v>4902</v>
      </c>
      <c r="K4925" s="10">
        <v>0.21434187078991396</v>
      </c>
      <c r="L4925" s="10">
        <v>0.1094624670819646</v>
      </c>
    </row>
    <row r="4926" spans="10:12" x14ac:dyDescent="0.3">
      <c r="J4926">
        <v>4903</v>
      </c>
      <c r="K4926" s="10">
        <v>0.20414243781155769</v>
      </c>
      <c r="L4926" s="10">
        <v>0.12830045927526043</v>
      </c>
    </row>
    <row r="4927" spans="10:12" x14ac:dyDescent="0.3">
      <c r="J4927">
        <v>4904</v>
      </c>
      <c r="K4927" s="10">
        <v>0.28407264682681377</v>
      </c>
      <c r="L4927" s="10">
        <v>0.12666495107190093</v>
      </c>
    </row>
    <row r="4928" spans="10:12" x14ac:dyDescent="0.3">
      <c r="J4928">
        <v>4905</v>
      </c>
      <c r="K4928" s="10">
        <v>0.20483878166914149</v>
      </c>
      <c r="L4928" s="10">
        <v>0.50462606169053126</v>
      </c>
    </row>
    <row r="4929" spans="10:12" x14ac:dyDescent="0.3">
      <c r="J4929">
        <v>4906</v>
      </c>
      <c r="K4929" s="10">
        <v>0.20327635026539798</v>
      </c>
      <c r="L4929" s="10">
        <v>0.29310358439771006</v>
      </c>
    </row>
    <row r="4930" spans="10:12" x14ac:dyDescent="0.3">
      <c r="J4930">
        <v>4907</v>
      </c>
      <c r="K4930" s="10">
        <v>0.22813509645057961</v>
      </c>
      <c r="L4930" s="10">
        <v>4.5160349447933498E-2</v>
      </c>
    </row>
    <row r="4931" spans="10:12" x14ac:dyDescent="0.3">
      <c r="J4931">
        <v>4908</v>
      </c>
      <c r="K4931" s="10">
        <v>0.1970172984742446</v>
      </c>
      <c r="L4931" s="10">
        <v>0.16847773893506762</v>
      </c>
    </row>
    <row r="4932" spans="10:12" x14ac:dyDescent="0.3">
      <c r="J4932">
        <v>4909</v>
      </c>
      <c r="K4932" s="10">
        <v>0.21679364954874517</v>
      </c>
      <c r="L4932" s="10">
        <v>0.26114653799121917</v>
      </c>
    </row>
    <row r="4933" spans="10:12" x14ac:dyDescent="0.3">
      <c r="J4933">
        <v>4910</v>
      </c>
      <c r="K4933" s="10">
        <v>0.19653263718009387</v>
      </c>
      <c r="L4933" s="10">
        <v>0.17482568262520096</v>
      </c>
    </row>
    <row r="4934" spans="10:12" x14ac:dyDescent="0.3">
      <c r="J4934">
        <v>4911</v>
      </c>
      <c r="K4934" s="10">
        <v>0.19342346478101674</v>
      </c>
      <c r="L4934" s="10">
        <v>0.23044668236609464</v>
      </c>
    </row>
    <row r="4935" spans="10:12" x14ac:dyDescent="0.3">
      <c r="J4935">
        <v>4912</v>
      </c>
      <c r="K4935" s="10">
        <v>0.20651312337191305</v>
      </c>
      <c r="L4935" s="10">
        <v>0.44683797700023709</v>
      </c>
    </row>
    <row r="4936" spans="10:12" x14ac:dyDescent="0.3">
      <c r="J4936">
        <v>4913</v>
      </c>
      <c r="K4936" s="10">
        <v>0.23319318698300803</v>
      </c>
      <c r="L4936" s="10">
        <v>0.11527608249335984</v>
      </c>
    </row>
    <row r="4937" spans="10:12" x14ac:dyDescent="0.3">
      <c r="J4937">
        <v>4914</v>
      </c>
      <c r="K4937" s="10">
        <v>0.19267583343064662</v>
      </c>
      <c r="L4937" s="10">
        <v>0.22409863028261787</v>
      </c>
    </row>
    <row r="4938" spans="10:12" x14ac:dyDescent="0.3">
      <c r="J4938">
        <v>4915</v>
      </c>
      <c r="K4938" s="10">
        <v>0.19574194235313785</v>
      </c>
      <c r="L4938" s="10">
        <v>0.1780724305484368</v>
      </c>
    </row>
    <row r="4939" spans="10:12" x14ac:dyDescent="0.3">
      <c r="J4939">
        <v>4916</v>
      </c>
      <c r="K4939" s="10">
        <v>0.26218323708615443</v>
      </c>
      <c r="L4939" s="10">
        <v>-5.358726778590487E-2</v>
      </c>
    </row>
    <row r="4940" spans="10:12" x14ac:dyDescent="0.3">
      <c r="J4940">
        <v>4917</v>
      </c>
      <c r="K4940" s="10">
        <v>0.19930465569402916</v>
      </c>
      <c r="L4940" s="10">
        <v>0.22644058841203027</v>
      </c>
    </row>
    <row r="4941" spans="10:12" x14ac:dyDescent="0.3">
      <c r="J4941">
        <v>4918</v>
      </c>
      <c r="K4941" s="10">
        <v>0.19566479285959371</v>
      </c>
      <c r="L4941" s="10">
        <v>0.21527432627496051</v>
      </c>
    </row>
    <row r="4942" spans="10:12" x14ac:dyDescent="0.3">
      <c r="J4942">
        <v>4919</v>
      </c>
      <c r="K4942" s="10">
        <v>0.19834292529558675</v>
      </c>
      <c r="L4942" s="10">
        <v>0.24597657379282004</v>
      </c>
    </row>
    <row r="4943" spans="10:12" x14ac:dyDescent="0.3">
      <c r="J4943">
        <v>4920</v>
      </c>
      <c r="K4943" s="10">
        <v>0.23623546631468886</v>
      </c>
      <c r="L4943" s="10">
        <v>-3.3875168344771389E-2</v>
      </c>
    </row>
    <row r="4944" spans="10:12" x14ac:dyDescent="0.3">
      <c r="J4944">
        <v>4921</v>
      </c>
      <c r="K4944" s="10">
        <v>0.20375194711100986</v>
      </c>
      <c r="L4944" s="10">
        <v>0.27125838661540064</v>
      </c>
    </row>
    <row r="4945" spans="10:12" x14ac:dyDescent="0.3">
      <c r="J4945">
        <v>4922</v>
      </c>
      <c r="K4945" s="10">
        <v>0.21579126561705078</v>
      </c>
      <c r="L4945" s="10">
        <v>3.811847910238602E-2</v>
      </c>
    </row>
    <row r="4946" spans="10:12" x14ac:dyDescent="0.3">
      <c r="J4946">
        <v>4923</v>
      </c>
      <c r="K4946" s="10">
        <v>0.22074972964898046</v>
      </c>
      <c r="L4946" s="10">
        <v>0.47566731219838559</v>
      </c>
    </row>
    <row r="4947" spans="10:12" x14ac:dyDescent="0.3">
      <c r="J4947">
        <v>4924</v>
      </c>
      <c r="K4947" s="10">
        <v>0.2094566952310434</v>
      </c>
      <c r="L4947" s="10">
        <v>0.3766234248528707</v>
      </c>
    </row>
    <row r="4948" spans="10:12" x14ac:dyDescent="0.3">
      <c r="J4948">
        <v>4925</v>
      </c>
      <c r="K4948" s="10">
        <v>0.1895788121327274</v>
      </c>
      <c r="L4948" s="10">
        <v>0.30577736875964961</v>
      </c>
    </row>
    <row r="4949" spans="10:12" x14ac:dyDescent="0.3">
      <c r="J4949">
        <v>4926</v>
      </c>
      <c r="K4949" s="10">
        <v>0.19136601694732344</v>
      </c>
      <c r="L4949" s="10">
        <v>0.36898676325002383</v>
      </c>
    </row>
    <row r="4950" spans="10:12" x14ac:dyDescent="0.3">
      <c r="J4950">
        <v>4927</v>
      </c>
      <c r="K4950" s="10">
        <v>0.2222937648899124</v>
      </c>
      <c r="L4950" s="10">
        <v>0.22747423309976181</v>
      </c>
    </row>
    <row r="4951" spans="10:12" x14ac:dyDescent="0.3">
      <c r="J4951">
        <v>4928</v>
      </c>
      <c r="K4951" s="10">
        <v>0.19021407634730056</v>
      </c>
      <c r="L4951" s="10">
        <v>0.24986224690838824</v>
      </c>
    </row>
    <row r="4952" spans="10:12" x14ac:dyDescent="0.3">
      <c r="J4952">
        <v>4929</v>
      </c>
      <c r="K4952" s="10">
        <v>0.23719647117054132</v>
      </c>
      <c r="L4952" s="10">
        <v>6.1591156083434448E-3</v>
      </c>
    </row>
    <row r="4953" spans="10:12" x14ac:dyDescent="0.3">
      <c r="J4953">
        <v>4930</v>
      </c>
      <c r="K4953" s="10">
        <v>0.20324673087012557</v>
      </c>
      <c r="L4953" s="10">
        <v>0.46122538503632377</v>
      </c>
    </row>
    <row r="4954" spans="10:12" x14ac:dyDescent="0.3">
      <c r="J4954">
        <v>4931</v>
      </c>
      <c r="K4954" s="10">
        <v>0.19480526464812573</v>
      </c>
      <c r="L4954" s="10">
        <v>0.34384574028523968</v>
      </c>
    </row>
    <row r="4955" spans="10:12" x14ac:dyDescent="0.3">
      <c r="J4955">
        <v>4932</v>
      </c>
      <c r="K4955" s="10">
        <v>0.20639078769605948</v>
      </c>
      <c r="L4955" s="10">
        <v>0.34487933338796106</v>
      </c>
    </row>
    <row r="4956" spans="10:12" x14ac:dyDescent="0.3">
      <c r="J4956">
        <v>4933</v>
      </c>
      <c r="K4956" s="10">
        <v>0.26279645107175092</v>
      </c>
      <c r="L4956" s="10">
        <v>-8.961490296225634E-2</v>
      </c>
    </row>
    <row r="4957" spans="10:12" x14ac:dyDescent="0.3">
      <c r="J4957">
        <v>4934</v>
      </c>
      <c r="K4957" s="10">
        <v>0.18943771258045591</v>
      </c>
      <c r="L4957" s="10">
        <v>0.28781024183937592</v>
      </c>
    </row>
    <row r="4958" spans="10:12" x14ac:dyDescent="0.3">
      <c r="J4958">
        <v>4935</v>
      </c>
      <c r="K4958" s="10">
        <v>0.21428291424953289</v>
      </c>
      <c r="L4958" s="10">
        <v>0.39234990958644689</v>
      </c>
    </row>
    <row r="4959" spans="10:12" x14ac:dyDescent="0.3">
      <c r="J4959">
        <v>4936</v>
      </c>
      <c r="K4959" s="10">
        <v>0.26927390248446914</v>
      </c>
      <c r="L4959" s="10">
        <v>-8.9515514345212405E-2</v>
      </c>
    </row>
    <row r="4960" spans="10:12" x14ac:dyDescent="0.3">
      <c r="J4960">
        <v>4937</v>
      </c>
      <c r="K4960" s="10">
        <v>0.19738050400190993</v>
      </c>
      <c r="L4960" s="10">
        <v>0.24375797465398533</v>
      </c>
    </row>
    <row r="4961" spans="10:12" x14ac:dyDescent="0.3">
      <c r="J4961">
        <v>4938</v>
      </c>
      <c r="K4961" s="10">
        <v>0.25423632083784248</v>
      </c>
      <c r="L4961" s="10">
        <v>-3.008079239795089E-2</v>
      </c>
    </row>
    <row r="4962" spans="10:12" x14ac:dyDescent="0.3">
      <c r="J4962">
        <v>4939</v>
      </c>
      <c r="K4962" s="10">
        <v>0.21628859210529283</v>
      </c>
      <c r="L4962" s="10">
        <v>0.46480908108337016</v>
      </c>
    </row>
    <row r="4963" spans="10:12" x14ac:dyDescent="0.3">
      <c r="J4963">
        <v>4940</v>
      </c>
      <c r="K4963" s="10">
        <v>0.24602384593416368</v>
      </c>
      <c r="L4963" s="10">
        <v>-8.509391310685499E-2</v>
      </c>
    </row>
    <row r="4964" spans="10:12" x14ac:dyDescent="0.3">
      <c r="J4964">
        <v>4941</v>
      </c>
      <c r="K4964" s="10">
        <v>0.19595028073644535</v>
      </c>
      <c r="L4964" s="10">
        <v>0.18812569773754093</v>
      </c>
    </row>
    <row r="4965" spans="10:12" x14ac:dyDescent="0.3">
      <c r="J4965">
        <v>4942</v>
      </c>
      <c r="K4965" s="10">
        <v>0.28279720833971633</v>
      </c>
      <c r="L4965" s="10">
        <v>-3.5261882921336189E-2</v>
      </c>
    </row>
    <row r="4966" spans="10:12" x14ac:dyDescent="0.3">
      <c r="J4966">
        <v>4943</v>
      </c>
      <c r="K4966" s="10">
        <v>0.25005324046279048</v>
      </c>
      <c r="L4966" s="10">
        <v>-5.663347604243546E-2</v>
      </c>
    </row>
    <row r="4967" spans="10:12" x14ac:dyDescent="0.3">
      <c r="J4967">
        <v>4944</v>
      </c>
      <c r="K4967" s="10">
        <v>0.18982726839802624</v>
      </c>
      <c r="L4967" s="10">
        <v>0.3508798501245361</v>
      </c>
    </row>
    <row r="4968" spans="10:12" x14ac:dyDescent="0.3">
      <c r="J4968">
        <v>4945</v>
      </c>
      <c r="K4968" s="10">
        <v>0.21926194994685438</v>
      </c>
      <c r="L4968" s="10">
        <v>5.1406832787821009E-2</v>
      </c>
    </row>
    <row r="4969" spans="10:12" x14ac:dyDescent="0.3">
      <c r="J4969">
        <v>4946</v>
      </c>
      <c r="K4969" s="10">
        <v>0.19139193141652422</v>
      </c>
      <c r="L4969" s="10">
        <v>0.38954904366880838</v>
      </c>
    </row>
    <row r="4970" spans="10:12" x14ac:dyDescent="0.3">
      <c r="J4970">
        <v>4947</v>
      </c>
      <c r="K4970" s="10">
        <v>0.24267220644844564</v>
      </c>
      <c r="L4970" s="10">
        <v>0.18924839485452311</v>
      </c>
    </row>
    <row r="4971" spans="10:12" x14ac:dyDescent="0.3">
      <c r="J4971">
        <v>4948</v>
      </c>
      <c r="K4971" s="10">
        <v>0.24792302257332785</v>
      </c>
      <c r="L4971" s="10">
        <v>0.12832949187322185</v>
      </c>
    </row>
    <row r="4972" spans="10:12" x14ac:dyDescent="0.3">
      <c r="J4972">
        <v>4949</v>
      </c>
      <c r="K4972" s="10">
        <v>0.19155957725940201</v>
      </c>
      <c r="L4972" s="10">
        <v>0.22284905129880395</v>
      </c>
    </row>
    <row r="4973" spans="10:12" x14ac:dyDescent="0.3">
      <c r="J4973">
        <v>4950</v>
      </c>
      <c r="K4973" s="10">
        <v>0.22192459166666939</v>
      </c>
      <c r="L4973" s="10">
        <v>0.24000269265003679</v>
      </c>
    </row>
    <row r="4974" spans="10:12" x14ac:dyDescent="0.3">
      <c r="J4974">
        <v>4951</v>
      </c>
      <c r="K4974" s="10">
        <v>0.27744004261781174</v>
      </c>
      <c r="L4974" s="10">
        <v>0.82991154309268211</v>
      </c>
    </row>
    <row r="4975" spans="10:12" x14ac:dyDescent="0.3">
      <c r="J4975">
        <v>4952</v>
      </c>
      <c r="K4975" s="10">
        <v>0.19397462161261134</v>
      </c>
      <c r="L4975" s="10">
        <v>0.37458258903563157</v>
      </c>
    </row>
    <row r="4976" spans="10:12" x14ac:dyDescent="0.3">
      <c r="J4976">
        <v>4953</v>
      </c>
      <c r="K4976" s="10">
        <v>0.2555472319296192</v>
      </c>
      <c r="L4976" s="10">
        <v>-8.6763668603057204E-2</v>
      </c>
    </row>
    <row r="4977" spans="10:12" x14ac:dyDescent="0.3">
      <c r="J4977">
        <v>4954</v>
      </c>
      <c r="K4977" s="10">
        <v>0.21890141524558812</v>
      </c>
      <c r="L4977" s="10">
        <v>7.9283264407824627E-2</v>
      </c>
    </row>
    <row r="4978" spans="10:12" x14ac:dyDescent="0.3">
      <c r="J4978">
        <v>4955</v>
      </c>
      <c r="K4978" s="10">
        <v>0.20909123374858937</v>
      </c>
      <c r="L4978" s="10">
        <v>0.52404978025841631</v>
      </c>
    </row>
    <row r="4979" spans="10:12" x14ac:dyDescent="0.3">
      <c r="J4979">
        <v>4956</v>
      </c>
      <c r="K4979" s="10">
        <v>0.21100323277676555</v>
      </c>
      <c r="L4979" s="10">
        <v>0.12958364174060216</v>
      </c>
    </row>
    <row r="4980" spans="10:12" x14ac:dyDescent="0.3">
      <c r="J4980">
        <v>4957</v>
      </c>
      <c r="K4980" s="10">
        <v>0.19215976958768735</v>
      </c>
      <c r="L4980" s="10">
        <v>0.40005115596311669</v>
      </c>
    </row>
    <row r="4981" spans="10:12" x14ac:dyDescent="0.3">
      <c r="J4981">
        <v>4958</v>
      </c>
      <c r="K4981" s="10">
        <v>0.22874836107684426</v>
      </c>
      <c r="L4981" s="10">
        <v>3.6451259307019715E-2</v>
      </c>
    </row>
    <row r="4982" spans="10:12" x14ac:dyDescent="0.3">
      <c r="J4982">
        <v>4959</v>
      </c>
      <c r="K4982" s="10">
        <v>0.20005808391747931</v>
      </c>
      <c r="L4982" s="10">
        <v>0.22427733020381593</v>
      </c>
    </row>
    <row r="4983" spans="10:12" x14ac:dyDescent="0.3">
      <c r="J4983">
        <v>4960</v>
      </c>
      <c r="K4983" s="10">
        <v>0.20062109317344148</v>
      </c>
      <c r="L4983" s="10">
        <v>0.15690311309828889</v>
      </c>
    </row>
    <row r="4984" spans="10:12" x14ac:dyDescent="0.3">
      <c r="J4984">
        <v>4961</v>
      </c>
      <c r="K4984" s="10">
        <v>0.19978392164295369</v>
      </c>
      <c r="L4984" s="10">
        <v>0.23483027824695468</v>
      </c>
    </row>
    <row r="4985" spans="10:12" x14ac:dyDescent="0.3">
      <c r="J4985">
        <v>4962</v>
      </c>
      <c r="K4985" s="10">
        <v>0.19878632781397329</v>
      </c>
      <c r="L4985" s="10">
        <v>0.46707117561471989</v>
      </c>
    </row>
    <row r="4986" spans="10:12" x14ac:dyDescent="0.3">
      <c r="J4986">
        <v>4963</v>
      </c>
      <c r="K4986" s="10">
        <v>0.19172496218433854</v>
      </c>
      <c r="L4986" s="10">
        <v>0.28276978009821124</v>
      </c>
    </row>
    <row r="4987" spans="10:12" x14ac:dyDescent="0.3">
      <c r="J4987">
        <v>4964</v>
      </c>
      <c r="K4987" s="10">
        <v>0.19083063845118858</v>
      </c>
      <c r="L4987" s="10">
        <v>0.3734150652416503</v>
      </c>
    </row>
    <row r="4988" spans="10:12" x14ac:dyDescent="0.3">
      <c r="J4988">
        <v>4965</v>
      </c>
      <c r="K4988" s="10">
        <v>0.3075655763770358</v>
      </c>
      <c r="L4988" s="10">
        <v>1.596160743367735E-2</v>
      </c>
    </row>
    <row r="4989" spans="10:12" x14ac:dyDescent="0.3">
      <c r="J4989">
        <v>4966</v>
      </c>
      <c r="K4989" s="10">
        <v>0.1929535180382127</v>
      </c>
      <c r="L4989" s="10">
        <v>0.2853995647735158</v>
      </c>
    </row>
    <row r="4990" spans="10:12" x14ac:dyDescent="0.3">
      <c r="J4990">
        <v>4967</v>
      </c>
      <c r="K4990" s="10">
        <v>0.21023391345895295</v>
      </c>
      <c r="L4990" s="10">
        <v>7.0860448399128279E-2</v>
      </c>
    </row>
    <row r="4991" spans="10:12" x14ac:dyDescent="0.3">
      <c r="J4991">
        <v>4968</v>
      </c>
      <c r="K4991" s="10">
        <v>0.19803667301350517</v>
      </c>
      <c r="L4991" s="10">
        <v>0.22558922535202247</v>
      </c>
    </row>
    <row r="4992" spans="10:12" x14ac:dyDescent="0.3">
      <c r="J4992">
        <v>4969</v>
      </c>
      <c r="K4992" s="10">
        <v>0.22141667131457193</v>
      </c>
      <c r="L4992" s="10">
        <v>6.7818183239237745E-2</v>
      </c>
    </row>
    <row r="4993" spans="10:12" x14ac:dyDescent="0.3">
      <c r="J4993">
        <v>4970</v>
      </c>
      <c r="K4993" s="10">
        <v>0.20724553617925215</v>
      </c>
      <c r="L4993" s="10">
        <v>0.14074259333268541</v>
      </c>
    </row>
    <row r="4994" spans="10:12" x14ac:dyDescent="0.3">
      <c r="J4994">
        <v>4971</v>
      </c>
      <c r="K4994" s="10">
        <v>0.19259528345902682</v>
      </c>
      <c r="L4994" s="10">
        <v>0.26993947641306754</v>
      </c>
    </row>
    <row r="4995" spans="10:12" x14ac:dyDescent="0.3">
      <c r="J4995">
        <v>4972</v>
      </c>
      <c r="K4995" s="10">
        <v>0.20288775015939822</v>
      </c>
      <c r="L4995" s="10">
        <v>0.42251367613549129</v>
      </c>
    </row>
    <row r="4996" spans="10:12" x14ac:dyDescent="0.3">
      <c r="J4996">
        <v>4973</v>
      </c>
      <c r="K4996" s="10">
        <v>0.22967835993600066</v>
      </c>
      <c r="L4996" s="10">
        <v>4.5095800483210872E-2</v>
      </c>
    </row>
    <row r="4997" spans="10:12" x14ac:dyDescent="0.3">
      <c r="J4997">
        <v>4974</v>
      </c>
      <c r="K4997" s="10">
        <v>0.21577484794807261</v>
      </c>
      <c r="L4997" s="10">
        <v>5.8464968448407317E-2</v>
      </c>
    </row>
    <row r="4998" spans="10:12" x14ac:dyDescent="0.3">
      <c r="J4998">
        <v>4975</v>
      </c>
      <c r="K4998" s="10">
        <v>0.24961450283503997</v>
      </c>
      <c r="L4998" s="10">
        <v>7.9521631931932277E-2</v>
      </c>
    </row>
    <row r="4999" spans="10:12" x14ac:dyDescent="0.3">
      <c r="J4999">
        <v>4976</v>
      </c>
      <c r="K4999" s="10">
        <v>0.18927798813955216</v>
      </c>
      <c r="L4999" s="10">
        <v>0.27872789379160623</v>
      </c>
    </row>
    <row r="5000" spans="10:12" x14ac:dyDescent="0.3">
      <c r="J5000">
        <v>4977</v>
      </c>
      <c r="K5000" s="10">
        <v>0.19840481712239491</v>
      </c>
      <c r="L5000" s="10">
        <v>0.24750853919299304</v>
      </c>
    </row>
    <row r="5001" spans="10:12" x14ac:dyDescent="0.3">
      <c r="J5001">
        <v>4978</v>
      </c>
      <c r="K5001" s="10">
        <v>0.19233183757660507</v>
      </c>
      <c r="L5001" s="10">
        <v>0.294658031523505</v>
      </c>
    </row>
    <row r="5002" spans="10:12" x14ac:dyDescent="0.3">
      <c r="J5002">
        <v>4979</v>
      </c>
      <c r="K5002" s="10">
        <v>0.20772118479356119</v>
      </c>
      <c r="L5002" s="10">
        <v>8.7589713499468591E-2</v>
      </c>
    </row>
    <row r="5003" spans="10:12" x14ac:dyDescent="0.3">
      <c r="J5003">
        <v>4980</v>
      </c>
      <c r="K5003" s="10">
        <v>0.20323757140657697</v>
      </c>
      <c r="L5003" s="10">
        <v>0.2947294803490107</v>
      </c>
    </row>
    <row r="5004" spans="10:12" x14ac:dyDescent="0.3">
      <c r="J5004">
        <v>4981</v>
      </c>
      <c r="K5004" s="10">
        <v>0.20740863907090781</v>
      </c>
      <c r="L5004" s="10">
        <v>0.19451002150211455</v>
      </c>
    </row>
    <row r="5005" spans="10:12" x14ac:dyDescent="0.3">
      <c r="J5005">
        <v>4982</v>
      </c>
      <c r="K5005" s="10">
        <v>0.19773045661184843</v>
      </c>
      <c r="L5005" s="10">
        <v>0.27002908292635786</v>
      </c>
    </row>
    <row r="5006" spans="10:12" x14ac:dyDescent="0.3">
      <c r="J5006">
        <v>4983</v>
      </c>
      <c r="K5006" s="10">
        <v>0.22045136860349643</v>
      </c>
      <c r="L5006" s="10">
        <v>0.18581903121280555</v>
      </c>
    </row>
    <row r="5007" spans="10:12" x14ac:dyDescent="0.3">
      <c r="J5007">
        <v>4984</v>
      </c>
      <c r="K5007" s="10">
        <v>0.20277559537609777</v>
      </c>
      <c r="L5007" s="10">
        <v>0.21993801475876382</v>
      </c>
    </row>
    <row r="5008" spans="10:12" x14ac:dyDescent="0.3">
      <c r="J5008">
        <v>4985</v>
      </c>
      <c r="K5008" s="10">
        <v>0.22808562049452472</v>
      </c>
      <c r="L5008" s="10">
        <v>0.14011414575814835</v>
      </c>
    </row>
    <row r="5009" spans="10:12" x14ac:dyDescent="0.3">
      <c r="J5009">
        <v>4986</v>
      </c>
      <c r="K5009" s="10">
        <v>0.3155332210219578</v>
      </c>
      <c r="L5009" s="10">
        <v>3.2729472949254289E-2</v>
      </c>
    </row>
    <row r="5010" spans="10:12" x14ac:dyDescent="0.3">
      <c r="J5010">
        <v>4987</v>
      </c>
      <c r="K5010" s="10">
        <v>0.20203246941641545</v>
      </c>
      <c r="L5010" s="10">
        <v>0.14151803234070043</v>
      </c>
    </row>
    <row r="5011" spans="10:12" x14ac:dyDescent="0.3">
      <c r="J5011">
        <v>4988</v>
      </c>
      <c r="K5011" s="10">
        <v>0.19712898413979635</v>
      </c>
      <c r="L5011" s="10">
        <v>0.21312536246081476</v>
      </c>
    </row>
    <row r="5012" spans="10:12" x14ac:dyDescent="0.3">
      <c r="J5012">
        <v>4989</v>
      </c>
      <c r="K5012" s="10">
        <v>0.20043300858010124</v>
      </c>
      <c r="L5012" s="10">
        <v>0.40114356041994126</v>
      </c>
    </row>
    <row r="5013" spans="10:12" x14ac:dyDescent="0.3">
      <c r="J5013">
        <v>4990</v>
      </c>
      <c r="K5013" s="10">
        <v>0.22688921142519644</v>
      </c>
      <c r="L5013" s="10">
        <v>0.61246451672400726</v>
      </c>
    </row>
    <row r="5014" spans="10:12" x14ac:dyDescent="0.3">
      <c r="J5014">
        <v>4991</v>
      </c>
      <c r="K5014" s="10">
        <v>0.30953278454738603</v>
      </c>
      <c r="L5014" s="10">
        <v>-3.7552546661734597E-3</v>
      </c>
    </row>
    <row r="5015" spans="10:12" x14ac:dyDescent="0.3">
      <c r="J5015">
        <v>4992</v>
      </c>
      <c r="K5015" s="10">
        <v>0.22474098565696671</v>
      </c>
      <c r="L5015" s="10">
        <v>5.0872373202256446E-2</v>
      </c>
    </row>
    <row r="5016" spans="10:12" x14ac:dyDescent="0.3">
      <c r="J5016">
        <v>4993</v>
      </c>
      <c r="K5016" s="10">
        <v>0.23273142856881657</v>
      </c>
      <c r="L5016" s="10">
        <v>-2.2181271740644277E-2</v>
      </c>
    </row>
    <row r="5017" spans="10:12" x14ac:dyDescent="0.3">
      <c r="J5017">
        <v>4994</v>
      </c>
      <c r="K5017" s="10">
        <v>0.19236801566940884</v>
      </c>
      <c r="L5017" s="10">
        <v>0.27563715271114142</v>
      </c>
    </row>
    <row r="5018" spans="10:12" x14ac:dyDescent="0.3">
      <c r="J5018">
        <v>4995</v>
      </c>
      <c r="K5018" s="10">
        <v>0.24037052611177154</v>
      </c>
      <c r="L5018" s="10">
        <v>0.68921240376300963</v>
      </c>
    </row>
    <row r="5019" spans="10:12" x14ac:dyDescent="0.3">
      <c r="J5019">
        <v>4996</v>
      </c>
      <c r="K5019" s="10">
        <v>0.20035752695304143</v>
      </c>
      <c r="L5019" s="10">
        <v>0.32433270371384393</v>
      </c>
    </row>
    <row r="5020" spans="10:12" x14ac:dyDescent="0.3">
      <c r="J5020">
        <v>4997</v>
      </c>
      <c r="K5020" s="10">
        <v>0.19187847678639275</v>
      </c>
      <c r="L5020" s="10">
        <v>0.29883314101340669</v>
      </c>
    </row>
    <row r="5021" spans="10:12" x14ac:dyDescent="0.3">
      <c r="J5021">
        <v>4998</v>
      </c>
      <c r="K5021" s="10">
        <v>0.19706592002147444</v>
      </c>
      <c r="L5021" s="10">
        <v>0.38588818653207485</v>
      </c>
    </row>
    <row r="5022" spans="10:12" x14ac:dyDescent="0.3">
      <c r="J5022">
        <v>4999</v>
      </c>
      <c r="K5022" s="10">
        <v>0.23524126282809613</v>
      </c>
      <c r="L5022" s="10">
        <v>3.8569358030273726E-2</v>
      </c>
    </row>
    <row r="5023" spans="10:12" x14ac:dyDescent="0.3">
      <c r="J5023">
        <v>5000</v>
      </c>
      <c r="K5023" s="10">
        <v>0.19095539266171382</v>
      </c>
      <c r="L5023" s="10">
        <v>0.30722773191029124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9B12-CC10-4BAB-9210-D78316DFADC3}">
  <dimension ref="A1:T247"/>
  <sheetViews>
    <sheetView tabSelected="1" zoomScaleNormal="100" workbookViewId="0"/>
  </sheetViews>
  <sheetFormatPr defaultRowHeight="14.4" x14ac:dyDescent="0.3"/>
  <cols>
    <col min="7" max="7" width="19.5546875" bestFit="1" customWidth="1"/>
    <col min="8" max="8" width="13.44140625" bestFit="1" customWidth="1"/>
    <col min="13" max="13" width="16.5546875" bestFit="1" customWidth="1"/>
    <col min="20" max="20" width="10.109375" customWidth="1"/>
  </cols>
  <sheetData>
    <row r="1" spans="1:20" x14ac:dyDescent="0.3">
      <c r="A1" s="4" t="s">
        <v>1</v>
      </c>
      <c r="B1" s="4" t="s">
        <v>8</v>
      </c>
      <c r="C1" s="4" t="s">
        <v>25</v>
      </c>
      <c r="D1" s="4" t="s">
        <v>33</v>
      </c>
      <c r="F1" s="4" t="s">
        <v>34</v>
      </c>
      <c r="K1" t="s">
        <v>40</v>
      </c>
      <c r="N1" t="s">
        <v>43</v>
      </c>
      <c r="R1" t="s">
        <v>48</v>
      </c>
    </row>
    <row r="2" spans="1:20" x14ac:dyDescent="0.3">
      <c r="A2" s="6">
        <v>40178</v>
      </c>
      <c r="B2" s="5">
        <v>2300</v>
      </c>
      <c r="C2" s="5">
        <v>137.93</v>
      </c>
      <c r="D2" s="4" t="s">
        <v>8</v>
      </c>
      <c r="E2" s="4" t="s">
        <v>25</v>
      </c>
      <c r="H2" s="4" t="s">
        <v>8</v>
      </c>
      <c r="I2" s="4" t="s">
        <v>25</v>
      </c>
      <c r="K2" t="s">
        <v>41</v>
      </c>
      <c r="L2" t="s">
        <v>42</v>
      </c>
      <c r="N2" t="s">
        <v>44</v>
      </c>
      <c r="O2" t="s">
        <v>45</v>
      </c>
      <c r="P2" t="s">
        <v>46</v>
      </c>
      <c r="R2" t="s">
        <v>41</v>
      </c>
      <c r="S2" t="s">
        <v>49</v>
      </c>
      <c r="T2" t="s">
        <v>50</v>
      </c>
    </row>
    <row r="3" spans="1:20" x14ac:dyDescent="0.3">
      <c r="A3" s="6">
        <v>40182</v>
      </c>
      <c r="B3" s="5">
        <v>2325</v>
      </c>
      <c r="C3" s="5">
        <v>138.79</v>
      </c>
      <c r="D3" s="8">
        <f>(B3/B2)-1</f>
        <v>1.0869565217391353E-2</v>
      </c>
      <c r="E3" s="8">
        <f>(C3/C2)-1</f>
        <v>6.2350467628506934E-3</v>
      </c>
      <c r="G3" t="s">
        <v>35</v>
      </c>
      <c r="H3" s="8">
        <f>AVERAGE(D3:D247)</f>
        <v>2.7946773697577884E-3</v>
      </c>
      <c r="I3" s="8">
        <f>AVERAGE(E3:E247)</f>
        <v>-1.431072746070275E-4</v>
      </c>
      <c r="K3">
        <v>1.3</v>
      </c>
      <c r="L3">
        <v>-0.3</v>
      </c>
      <c r="N3">
        <f>(K3*$H$3)+(L3*$I$3)</f>
        <v>3.6760127630672333E-3</v>
      </c>
      <c r="O3">
        <f>SQRT((K3^2*$H$4^2)+(L3^2*$I$4^2)+(2*K3*L3*$H$5))</f>
        <v>2.5968079291409586E-2</v>
      </c>
      <c r="P3">
        <f>(N3-$H$6)/O3</f>
        <v>0.11997824578549365</v>
      </c>
      <c r="R3">
        <v>0</v>
      </c>
      <c r="S3">
        <f>(R3*$N$20)+((1-R3)*($H$6))</f>
        <v>5.6040816326530609E-4</v>
      </c>
      <c r="T3" s="11">
        <f>R3*$O$20</f>
        <v>0</v>
      </c>
    </row>
    <row r="4" spans="1:20" x14ac:dyDescent="0.3">
      <c r="A4" s="6">
        <v>40183</v>
      </c>
      <c r="B4" s="5">
        <v>2360</v>
      </c>
      <c r="C4" s="5">
        <v>138.9</v>
      </c>
      <c r="D4" s="8">
        <f t="shared" ref="D4:D67" si="0">(B4/B3)-1</f>
        <v>1.5053763440860291E-2</v>
      </c>
      <c r="E4" s="8">
        <f t="shared" ref="E4:E67" si="1">(C4/C3)-1</f>
        <v>7.9256430578578119E-4</v>
      </c>
      <c r="G4" t="s">
        <v>36</v>
      </c>
      <c r="H4" s="8">
        <f>_xlfn.STDEV.S(D3:D247)</f>
        <v>1.9119040494752E-2</v>
      </c>
      <c r="I4" s="8">
        <f>_xlfn.STDEV.S(E3:E247)</f>
        <v>2.3267972351261591E-2</v>
      </c>
      <c r="K4" s="1">
        <f>K3-0.1</f>
        <v>1.2</v>
      </c>
      <c r="L4" s="1">
        <f>L3+0.1</f>
        <v>-0.19999999999999998</v>
      </c>
      <c r="M4" s="1"/>
      <c r="N4" s="1">
        <f t="shared" ref="N4:N19" si="2">(K4*$H$3)+(L4*$I$3)</f>
        <v>3.3822342986307517E-3</v>
      </c>
      <c r="O4" s="1">
        <f t="shared" ref="O4:O19" si="3">SQRT((K4^2*$H$4^2)+(L4^2*$I$4^2)+(2*K4*L4*$H$5))</f>
        <v>2.3513082313239834E-2</v>
      </c>
      <c r="P4" s="1">
        <f t="shared" ref="P4:P19" si="4">(N4-$H$6)/O4</f>
        <v>0.12001089851909894</v>
      </c>
      <c r="R4">
        <v>1</v>
      </c>
      <c r="S4">
        <f t="shared" ref="S4:S5" si="5">(R4*$N$20)+((1-R4)*($H$6))</f>
        <v>3.3822342986307517E-3</v>
      </c>
      <c r="T4" s="11">
        <f t="shared" ref="T4:T5" si="6">R4*$O$20</f>
        <v>2.3513082313239834E-2</v>
      </c>
    </row>
    <row r="5" spans="1:20" x14ac:dyDescent="0.3">
      <c r="A5" s="6">
        <v>40184</v>
      </c>
      <c r="B5" s="5">
        <v>2352.3101000000001</v>
      </c>
      <c r="C5" s="5">
        <v>140.54</v>
      </c>
      <c r="D5" s="8">
        <f t="shared" si="0"/>
        <v>-3.2584322033897273E-3</v>
      </c>
      <c r="E5" s="8">
        <f t="shared" si="1"/>
        <v>1.180705543556515E-2</v>
      </c>
      <c r="G5" t="s">
        <v>37</v>
      </c>
      <c r="H5" s="9">
        <f>_xlfn.COVARIANCE.S(D3:D247,E3:E247)</f>
        <v>-1.0072493295993275E-5</v>
      </c>
      <c r="K5">
        <f t="shared" ref="K5:K8" si="7">K4-0.1</f>
        <v>1.0999999999999999</v>
      </c>
      <c r="L5">
        <f t="shared" ref="L5:L8" si="8">L4+0.1</f>
        <v>-9.9999999999999978E-2</v>
      </c>
      <c r="N5">
        <f t="shared" si="2"/>
        <v>3.0884558341942696E-3</v>
      </c>
      <c r="O5">
        <f t="shared" si="3"/>
        <v>2.121156671066211E-2</v>
      </c>
      <c r="P5">
        <f t="shared" si="4"/>
        <v>0.11918250572496498</v>
      </c>
      <c r="R5">
        <v>2</v>
      </c>
      <c r="S5">
        <f t="shared" si="5"/>
        <v>6.2040604339961974E-3</v>
      </c>
      <c r="T5" s="11">
        <f t="shared" si="6"/>
        <v>4.7026164626479669E-2</v>
      </c>
    </row>
    <row r="6" spans="1:20" x14ac:dyDescent="0.3">
      <c r="A6" s="6">
        <v>40185</v>
      </c>
      <c r="B6" s="5">
        <v>2401.6698999999999</v>
      </c>
      <c r="C6" s="5">
        <v>138.94</v>
      </c>
      <c r="D6" s="8">
        <f t="shared" si="0"/>
        <v>2.0983542943593836E-2</v>
      </c>
      <c r="E6" s="8">
        <f t="shared" si="1"/>
        <v>-1.138465917176601E-2</v>
      </c>
      <c r="G6" t="s">
        <v>39</v>
      </c>
      <c r="H6">
        <f>G7/H8</f>
        <v>5.6040816326530609E-4</v>
      </c>
      <c r="K6">
        <f t="shared" si="7"/>
        <v>0.99999999999999989</v>
      </c>
      <c r="L6">
        <f t="shared" si="8"/>
        <v>0</v>
      </c>
      <c r="N6">
        <f t="shared" si="2"/>
        <v>2.7946773697577879E-3</v>
      </c>
      <c r="O6">
        <f t="shared" si="3"/>
        <v>1.9119040494752E-2</v>
      </c>
      <c r="P6">
        <f t="shared" si="4"/>
        <v>0.11686094849298362</v>
      </c>
    </row>
    <row r="7" spans="1:20" x14ac:dyDescent="0.3">
      <c r="A7" s="6">
        <v>40186</v>
      </c>
      <c r="B7" s="5">
        <v>2428.5500000000002</v>
      </c>
      <c r="C7" s="5">
        <v>138.58000000000001</v>
      </c>
      <c r="D7" s="8">
        <f t="shared" si="0"/>
        <v>1.1192254189470452E-2</v>
      </c>
      <c r="E7" s="8">
        <f t="shared" si="1"/>
        <v>-2.591046494889726E-3</v>
      </c>
      <c r="G7" s="10">
        <v>0.13730000000000001</v>
      </c>
      <c r="K7">
        <f t="shared" si="7"/>
        <v>0.89999999999999991</v>
      </c>
      <c r="L7">
        <f t="shared" si="8"/>
        <v>0.1</v>
      </c>
      <c r="N7">
        <f t="shared" si="2"/>
        <v>2.5008989053213063E-3</v>
      </c>
      <c r="O7">
        <f t="shared" si="3"/>
        <v>1.7311455202451496E-2</v>
      </c>
      <c r="P7">
        <f t="shared" si="4"/>
        <v>0.1120928725726769</v>
      </c>
    </row>
    <row r="8" spans="1:20" x14ac:dyDescent="0.3">
      <c r="A8" s="6">
        <v>40189</v>
      </c>
      <c r="B8" s="5">
        <v>2439.9899999999998</v>
      </c>
      <c r="C8" s="5">
        <v>143.15</v>
      </c>
      <c r="D8" s="8">
        <f t="shared" si="0"/>
        <v>4.710629799674626E-3</v>
      </c>
      <c r="E8" s="8">
        <f t="shared" si="1"/>
        <v>3.2977341607735466E-2</v>
      </c>
      <c r="G8" t="b">
        <f>COUNT(B2:B247)-COUNT(B2)=COUNT(D3:D247)</f>
        <v>1</v>
      </c>
      <c r="H8">
        <f>COUNT(D3:D247)</f>
        <v>245</v>
      </c>
      <c r="K8">
        <f t="shared" si="7"/>
        <v>0.79999999999999993</v>
      </c>
      <c r="L8">
        <f t="shared" si="8"/>
        <v>0.2</v>
      </c>
      <c r="N8">
        <f t="shared" si="2"/>
        <v>2.2071204408848251E-3</v>
      </c>
      <c r="O8">
        <f t="shared" si="3"/>
        <v>1.588637396262671E-2</v>
      </c>
      <c r="P8">
        <f t="shared" si="4"/>
        <v>0.10365564108546553</v>
      </c>
    </row>
    <row r="9" spans="1:20" x14ac:dyDescent="0.3">
      <c r="A9" s="6">
        <v>40190</v>
      </c>
      <c r="B9" s="5">
        <v>2435</v>
      </c>
      <c r="C9" s="5">
        <v>140.38</v>
      </c>
      <c r="D9" s="8">
        <f t="shared" si="0"/>
        <v>-2.0450903487307937E-3</v>
      </c>
      <c r="E9" s="8">
        <f t="shared" si="1"/>
        <v>-1.9350331819769528E-2</v>
      </c>
      <c r="K9">
        <f t="shared" ref="K9:K11" si="9">K8-0.1</f>
        <v>0.7</v>
      </c>
      <c r="L9">
        <f t="shared" ref="L9:L11" si="10">L8+0.1</f>
        <v>0.30000000000000004</v>
      </c>
      <c r="N9">
        <f t="shared" si="2"/>
        <v>1.9133419764483437E-3</v>
      </c>
      <c r="O9">
        <f t="shared" si="3"/>
        <v>1.4953558064948396E-2</v>
      </c>
      <c r="P9">
        <f t="shared" si="4"/>
        <v>9.0475712021632931E-2</v>
      </c>
    </row>
    <row r="10" spans="1:20" x14ac:dyDescent="0.3">
      <c r="A10" s="6">
        <v>40191</v>
      </c>
      <c r="B10" s="5">
        <v>2442</v>
      </c>
      <c r="C10" s="5">
        <v>139.12</v>
      </c>
      <c r="D10" s="8">
        <f t="shared" si="0"/>
        <v>2.8747433264886268E-3</v>
      </c>
      <c r="E10" s="8">
        <f t="shared" si="1"/>
        <v>-8.9756375552072498E-3</v>
      </c>
      <c r="G10" t="s">
        <v>38</v>
      </c>
      <c r="K10">
        <f t="shared" si="9"/>
        <v>0.6</v>
      </c>
      <c r="L10">
        <f t="shared" si="10"/>
        <v>0.4</v>
      </c>
      <c r="N10">
        <f t="shared" si="2"/>
        <v>1.619563512011862E-3</v>
      </c>
      <c r="O10">
        <f t="shared" si="3"/>
        <v>1.460761940189308E-2</v>
      </c>
      <c r="P10">
        <f t="shared" si="4"/>
        <v>7.2507047151659385E-2</v>
      </c>
    </row>
    <row r="11" spans="1:20" x14ac:dyDescent="0.3">
      <c r="A11" s="6">
        <v>40192</v>
      </c>
      <c r="B11" s="5">
        <v>2500</v>
      </c>
      <c r="C11" s="5">
        <v>138.29</v>
      </c>
      <c r="D11" s="8">
        <f t="shared" si="0"/>
        <v>2.375102375102367E-2</v>
      </c>
      <c r="E11" s="8">
        <f t="shared" si="1"/>
        <v>-5.9660724554342348E-3</v>
      </c>
      <c r="K11">
        <f t="shared" si="9"/>
        <v>0.5</v>
      </c>
      <c r="L11">
        <f t="shared" si="10"/>
        <v>0.5</v>
      </c>
      <c r="N11">
        <f t="shared" si="2"/>
        <v>1.3257850475753804E-3</v>
      </c>
      <c r="O11">
        <f t="shared" si="3"/>
        <v>1.4889520309491623E-2</v>
      </c>
      <c r="P11">
        <f t="shared" si="4"/>
        <v>5.1403730167329131E-2</v>
      </c>
    </row>
    <row r="12" spans="1:20" x14ac:dyDescent="0.3">
      <c r="A12" s="6">
        <v>40193</v>
      </c>
      <c r="B12" s="5">
        <v>2549.5601000000001</v>
      </c>
      <c r="C12" s="5">
        <v>137.78</v>
      </c>
      <c r="D12" s="8">
        <f t="shared" si="0"/>
        <v>1.9824040000000043E-2</v>
      </c>
      <c r="E12" s="8">
        <f t="shared" si="1"/>
        <v>-3.6879022344348256E-3</v>
      </c>
      <c r="K12">
        <f t="shared" ref="K12:K15" si="11">K11-0.1</f>
        <v>0.4</v>
      </c>
      <c r="L12">
        <f t="shared" ref="L12:L15" si="12">L11+0.1</f>
        <v>0.6</v>
      </c>
      <c r="N12">
        <f t="shared" si="2"/>
        <v>1.032006583138899E-3</v>
      </c>
      <c r="O12">
        <f t="shared" si="3"/>
        <v>1.5765617976165238E-2</v>
      </c>
      <c r="P12">
        <f t="shared" si="4"/>
        <v>2.9913094468390921E-2</v>
      </c>
    </row>
    <row r="13" spans="1:20" x14ac:dyDescent="0.3">
      <c r="A13" s="6">
        <v>40196</v>
      </c>
      <c r="B13" s="5">
        <v>2500.1698999999999</v>
      </c>
      <c r="C13" s="5">
        <v>137.57</v>
      </c>
      <c r="D13" s="8">
        <f t="shared" si="0"/>
        <v>-1.9372047750512045E-2</v>
      </c>
      <c r="E13" s="8">
        <f t="shared" si="1"/>
        <v>-1.5241689650167256E-3</v>
      </c>
      <c r="K13">
        <f t="shared" si="11"/>
        <v>0.30000000000000004</v>
      </c>
      <c r="L13">
        <f t="shared" si="12"/>
        <v>0.7</v>
      </c>
      <c r="N13">
        <f t="shared" si="2"/>
        <v>7.3822811870241731E-4</v>
      </c>
      <c r="O13">
        <f t="shared" si="3"/>
        <v>1.7145064303216422E-2</v>
      </c>
      <c r="P13">
        <f t="shared" si="4"/>
        <v>1.0371495393210752E-2</v>
      </c>
    </row>
    <row r="14" spans="1:20" x14ac:dyDescent="0.3">
      <c r="A14" s="6">
        <v>40197</v>
      </c>
      <c r="B14" s="5">
        <v>2510.0100000000002</v>
      </c>
      <c r="C14" s="5">
        <v>137.53</v>
      </c>
      <c r="D14" s="8">
        <f t="shared" si="0"/>
        <v>3.9357725248994058E-3</v>
      </c>
      <c r="E14" s="8">
        <f t="shared" si="1"/>
        <v>-2.9076106709302607E-4</v>
      </c>
      <c r="K14">
        <f t="shared" si="11"/>
        <v>0.20000000000000004</v>
      </c>
      <c r="L14">
        <f t="shared" si="12"/>
        <v>0.79999999999999993</v>
      </c>
      <c r="N14">
        <f t="shared" si="2"/>
        <v>4.4444965426593578E-4</v>
      </c>
      <c r="O14">
        <f t="shared" si="3"/>
        <v>1.8918070050084074E-2</v>
      </c>
      <c r="P14">
        <f t="shared" si="4"/>
        <v>-6.1295104993468914E-3</v>
      </c>
    </row>
    <row r="15" spans="1:20" x14ac:dyDescent="0.3">
      <c r="A15" s="6">
        <v>40198</v>
      </c>
      <c r="B15" s="5">
        <v>2609.8301000000001</v>
      </c>
      <c r="C15" s="5">
        <v>130.81</v>
      </c>
      <c r="D15" s="8">
        <f t="shared" si="0"/>
        <v>3.9768805701969168E-2</v>
      </c>
      <c r="E15" s="8">
        <f t="shared" si="1"/>
        <v>-4.8862066458227327E-2</v>
      </c>
      <c r="K15">
        <f t="shared" si="11"/>
        <v>0.10000000000000003</v>
      </c>
      <c r="L15">
        <f t="shared" si="12"/>
        <v>0.89999999999999991</v>
      </c>
      <c r="N15">
        <f t="shared" si="2"/>
        <v>1.5067118982945419E-4</v>
      </c>
      <c r="O15">
        <f t="shared" si="3"/>
        <v>2.0985117191613931E-2</v>
      </c>
      <c r="P15">
        <f t="shared" si="4"/>
        <v>-1.9525122004064428E-2</v>
      </c>
    </row>
    <row r="16" spans="1:20" x14ac:dyDescent="0.3">
      <c r="A16" s="6">
        <v>40199</v>
      </c>
      <c r="B16" s="5">
        <v>2600.0100000000002</v>
      </c>
      <c r="C16" s="5">
        <v>124.32</v>
      </c>
      <c r="D16" s="8">
        <f t="shared" si="0"/>
        <v>-3.7627353596695334E-3</v>
      </c>
      <c r="E16" s="8">
        <f t="shared" si="1"/>
        <v>-4.9613943888082046E-2</v>
      </c>
      <c r="K16">
        <f t="shared" ref="K16:K19" si="13">K15-0.1</f>
        <v>0</v>
      </c>
      <c r="L16">
        <f t="shared" ref="L16:L19" si="14">L15+0.1</f>
        <v>0.99999999999999989</v>
      </c>
      <c r="N16">
        <f t="shared" si="2"/>
        <v>-1.4310727460702748E-4</v>
      </c>
      <c r="O16">
        <f t="shared" si="3"/>
        <v>2.3267972351261587E-2</v>
      </c>
      <c r="P16">
        <f t="shared" si="4"/>
        <v>-3.0235356448418207E-2</v>
      </c>
    </row>
    <row r="17" spans="1:16" x14ac:dyDescent="0.3">
      <c r="A17" s="6">
        <v>40200</v>
      </c>
      <c r="B17" s="5">
        <v>2650</v>
      </c>
      <c r="C17" s="5">
        <v>125.65</v>
      </c>
      <c r="D17" s="8">
        <f t="shared" si="0"/>
        <v>1.9226849127503165E-2</v>
      </c>
      <c r="E17" s="8">
        <f t="shared" si="1"/>
        <v>1.0698198198198394E-2</v>
      </c>
      <c r="K17">
        <f t="shared" si="13"/>
        <v>-0.1</v>
      </c>
      <c r="L17">
        <f t="shared" si="14"/>
        <v>1.0999999999999999</v>
      </c>
      <c r="N17">
        <f t="shared" si="2"/>
        <v>-4.3688573904350904E-4</v>
      </c>
      <c r="O17">
        <f t="shared" si="3"/>
        <v>2.570921149704513E-2</v>
      </c>
      <c r="P17">
        <f t="shared" si="4"/>
        <v>-3.8791306470968137E-2</v>
      </c>
    </row>
    <row r="18" spans="1:16" x14ac:dyDescent="0.3">
      <c r="A18" s="6">
        <v>40203</v>
      </c>
      <c r="B18" s="5">
        <v>2625</v>
      </c>
      <c r="C18" s="5">
        <v>125.18</v>
      </c>
      <c r="D18" s="8">
        <f t="shared" si="0"/>
        <v>-9.4339622641509413E-3</v>
      </c>
      <c r="E18" s="8">
        <f t="shared" si="1"/>
        <v>-3.7405491444488792E-3</v>
      </c>
      <c r="K18">
        <f t="shared" si="13"/>
        <v>-0.2</v>
      </c>
      <c r="L18">
        <f t="shared" si="14"/>
        <v>1.2</v>
      </c>
      <c r="N18">
        <f t="shared" si="2"/>
        <v>-7.3066420347999068E-4</v>
      </c>
      <c r="O18">
        <f t="shared" si="3"/>
        <v>2.8267829752705489E-2</v>
      </c>
      <c r="P18">
        <f t="shared" si="4"/>
        <v>-4.567285065885645E-2</v>
      </c>
    </row>
    <row r="19" spans="1:16" x14ac:dyDescent="0.3">
      <c r="A19" s="6">
        <v>40204</v>
      </c>
      <c r="B19" s="5">
        <v>2650</v>
      </c>
      <c r="C19" s="5">
        <v>124.07</v>
      </c>
      <c r="D19" s="8">
        <f t="shared" si="0"/>
        <v>9.52380952380949E-3</v>
      </c>
      <c r="E19" s="8">
        <f t="shared" si="1"/>
        <v>-8.8672311870906517E-3</v>
      </c>
      <c r="K19">
        <f t="shared" si="13"/>
        <v>-0.30000000000000004</v>
      </c>
      <c r="L19">
        <f t="shared" si="14"/>
        <v>1.3</v>
      </c>
      <c r="N19">
        <f t="shared" si="2"/>
        <v>-1.0244426679164723E-3</v>
      </c>
      <c r="O19">
        <f t="shared" si="3"/>
        <v>3.0914696613803389E-2</v>
      </c>
      <c r="P19">
        <f t="shared" si="4"/>
        <v>-5.1265288188988525E-2</v>
      </c>
    </row>
    <row r="20" spans="1:16" x14ac:dyDescent="0.3">
      <c r="A20" s="6">
        <v>40205</v>
      </c>
      <c r="B20" s="5">
        <v>2736.6698999999999</v>
      </c>
      <c r="C20" s="5">
        <v>117.87</v>
      </c>
      <c r="D20" s="8">
        <f t="shared" si="0"/>
        <v>3.2705622641509446E-2</v>
      </c>
      <c r="E20" s="8">
        <f t="shared" si="1"/>
        <v>-4.9971790118481407E-2</v>
      </c>
      <c r="M20" t="s">
        <v>47</v>
      </c>
      <c r="N20">
        <f t="array" ref="N20">INDEX(N3:N19,MATCH(MAX(P3:P19),P3:P19,0),1)</f>
        <v>3.3822342986307517E-3</v>
      </c>
      <c r="O20">
        <f t="array" ref="O20">INDEX(O3:O19,MATCH(MAX(P3:P19),P3:P19,0),1)</f>
        <v>2.3513082313239834E-2</v>
      </c>
      <c r="P20">
        <f>MAX(P3:P19)</f>
        <v>0.12001089851909894</v>
      </c>
    </row>
    <row r="21" spans="1:16" x14ac:dyDescent="0.3">
      <c r="A21" s="6">
        <v>40206</v>
      </c>
      <c r="B21" s="5">
        <v>2845.6298999999999</v>
      </c>
      <c r="C21" s="5">
        <v>116.95</v>
      </c>
      <c r="D21" s="8">
        <f t="shared" si="0"/>
        <v>3.9814812886274753E-2</v>
      </c>
      <c r="E21" s="8">
        <f t="shared" si="1"/>
        <v>-7.805209128701085E-3</v>
      </c>
    </row>
    <row r="22" spans="1:16" x14ac:dyDescent="0.3">
      <c r="A22" s="6">
        <v>40210</v>
      </c>
      <c r="B22" s="5">
        <v>2755.01</v>
      </c>
      <c r="C22" s="5">
        <v>117.06</v>
      </c>
      <c r="D22" s="8">
        <f t="shared" si="0"/>
        <v>-3.1845286697331776E-2</v>
      </c>
      <c r="E22" s="8">
        <f t="shared" si="1"/>
        <v>9.4057289439941627E-4</v>
      </c>
    </row>
    <row r="23" spans="1:16" x14ac:dyDescent="0.3">
      <c r="A23" s="6">
        <v>40211</v>
      </c>
      <c r="B23" s="5">
        <v>2878.22</v>
      </c>
      <c r="C23" s="5">
        <v>113.89</v>
      </c>
      <c r="D23" s="8">
        <f t="shared" si="0"/>
        <v>4.472216071810986E-2</v>
      </c>
      <c r="E23" s="8">
        <f t="shared" si="1"/>
        <v>-2.7080129847941281E-2</v>
      </c>
    </row>
    <row r="24" spans="1:16" x14ac:dyDescent="0.3">
      <c r="A24" s="6">
        <v>40212</v>
      </c>
      <c r="B24" s="5">
        <v>3016.8998999999999</v>
      </c>
      <c r="C24" s="5">
        <v>114.34</v>
      </c>
      <c r="D24" s="8">
        <f t="shared" si="0"/>
        <v>4.8182522531286631E-2</v>
      </c>
      <c r="E24" s="8">
        <f t="shared" si="1"/>
        <v>3.9511809640881967E-3</v>
      </c>
    </row>
    <row r="25" spans="1:16" x14ac:dyDescent="0.3">
      <c r="A25" s="6">
        <v>40213</v>
      </c>
      <c r="B25" s="5">
        <v>3044.3899000000001</v>
      </c>
      <c r="C25" s="5">
        <v>115.77</v>
      </c>
      <c r="D25" s="8">
        <f t="shared" si="0"/>
        <v>9.1120026885878058E-3</v>
      </c>
      <c r="E25" s="8">
        <f t="shared" si="1"/>
        <v>1.2506559384292348E-2</v>
      </c>
    </row>
    <row r="26" spans="1:16" x14ac:dyDescent="0.3">
      <c r="A26" s="6">
        <v>40217</v>
      </c>
      <c r="B26" s="5">
        <v>2996.7</v>
      </c>
      <c r="C26" s="5">
        <v>114.54</v>
      </c>
      <c r="D26" s="8">
        <f t="shared" si="0"/>
        <v>-1.5664846345732619E-2</v>
      </c>
      <c r="E26" s="8">
        <f t="shared" si="1"/>
        <v>-1.0624514122829609E-2</v>
      </c>
    </row>
    <row r="27" spans="1:16" x14ac:dyDescent="0.3">
      <c r="A27" s="6">
        <v>40218</v>
      </c>
      <c r="B27" s="5">
        <v>2942.6698999999999</v>
      </c>
      <c r="C27" s="5">
        <v>115.28</v>
      </c>
      <c r="D27" s="8">
        <f t="shared" si="0"/>
        <v>-1.802986618613811E-2</v>
      </c>
      <c r="E27" s="8">
        <f t="shared" si="1"/>
        <v>6.4606251091321454E-3</v>
      </c>
    </row>
    <row r="28" spans="1:16" x14ac:dyDescent="0.3">
      <c r="A28" s="6">
        <v>40219</v>
      </c>
      <c r="B28" s="5">
        <v>2900</v>
      </c>
      <c r="C28" s="5">
        <v>114.04</v>
      </c>
      <c r="D28" s="8">
        <f t="shared" si="0"/>
        <v>-1.4500403188274613E-2</v>
      </c>
      <c r="E28" s="8">
        <f t="shared" si="1"/>
        <v>-1.0756419153365671E-2</v>
      </c>
    </row>
    <row r="29" spans="1:16" x14ac:dyDescent="0.3">
      <c r="A29" s="6">
        <v>40220</v>
      </c>
      <c r="B29" s="5">
        <v>2918.46</v>
      </c>
      <c r="C29" s="5">
        <v>116.4</v>
      </c>
      <c r="D29" s="8">
        <f t="shared" si="0"/>
        <v>6.3655172413792371E-3</v>
      </c>
      <c r="E29" s="8">
        <f t="shared" si="1"/>
        <v>2.0694493160294591E-2</v>
      </c>
    </row>
    <row r="30" spans="1:16" x14ac:dyDescent="0.3">
      <c r="A30" s="6">
        <v>40221</v>
      </c>
      <c r="B30" s="5">
        <v>2999.97</v>
      </c>
      <c r="C30" s="5">
        <v>114.65</v>
      </c>
      <c r="D30" s="8">
        <f t="shared" si="0"/>
        <v>2.7929113299479891E-2</v>
      </c>
      <c r="E30" s="8">
        <f t="shared" si="1"/>
        <v>-1.5034364261168331E-2</v>
      </c>
    </row>
    <row r="31" spans="1:16" x14ac:dyDescent="0.3">
      <c r="A31" s="6">
        <v>40224</v>
      </c>
      <c r="B31" s="5">
        <v>2914</v>
      </c>
      <c r="C31" s="5">
        <v>110.87</v>
      </c>
      <c r="D31" s="8">
        <f t="shared" si="0"/>
        <v>-2.865695323619899E-2</v>
      </c>
      <c r="E31" s="8">
        <f t="shared" si="1"/>
        <v>-3.2969908416921045E-2</v>
      </c>
    </row>
    <row r="32" spans="1:16" x14ac:dyDescent="0.3">
      <c r="A32" s="6">
        <v>40225</v>
      </c>
      <c r="B32" s="5">
        <v>2884.3301000000001</v>
      </c>
      <c r="C32" s="5">
        <v>111.13</v>
      </c>
      <c r="D32" s="8">
        <f t="shared" si="0"/>
        <v>-1.0181846259437188E-2</v>
      </c>
      <c r="E32" s="8">
        <f t="shared" si="1"/>
        <v>2.3450888427887229E-3</v>
      </c>
    </row>
    <row r="33" spans="1:5" x14ac:dyDescent="0.3">
      <c r="A33" s="6">
        <v>40226</v>
      </c>
      <c r="B33" s="5">
        <v>2851.4299000000001</v>
      </c>
      <c r="C33" s="5">
        <v>112.41</v>
      </c>
      <c r="D33" s="8">
        <f t="shared" si="0"/>
        <v>-1.1406530757349875E-2</v>
      </c>
      <c r="E33" s="8">
        <f t="shared" si="1"/>
        <v>1.1518041932871315E-2</v>
      </c>
    </row>
    <row r="34" spans="1:5" x14ac:dyDescent="0.3">
      <c r="A34" s="6">
        <v>40227</v>
      </c>
      <c r="B34" s="5">
        <v>2855.2</v>
      </c>
      <c r="C34" s="5">
        <v>112.19</v>
      </c>
      <c r="D34" s="8">
        <f t="shared" si="0"/>
        <v>1.3221787426720422E-3</v>
      </c>
      <c r="E34" s="8">
        <f t="shared" si="1"/>
        <v>-1.9571212525575366E-3</v>
      </c>
    </row>
    <row r="35" spans="1:5" x14ac:dyDescent="0.3">
      <c r="A35" s="6">
        <v>40228</v>
      </c>
      <c r="B35" s="5">
        <v>2894.1399000000001</v>
      </c>
      <c r="C35" s="5">
        <v>112.52</v>
      </c>
      <c r="D35" s="8">
        <f t="shared" si="0"/>
        <v>1.3638239002521813E-2</v>
      </c>
      <c r="E35" s="8">
        <f t="shared" si="1"/>
        <v>2.9414386308939111E-3</v>
      </c>
    </row>
    <row r="36" spans="1:5" x14ac:dyDescent="0.3">
      <c r="A36" s="6">
        <v>40231</v>
      </c>
      <c r="B36" s="5">
        <v>2845</v>
      </c>
      <c r="C36" s="5">
        <v>113.54</v>
      </c>
      <c r="D36" s="8">
        <f t="shared" si="0"/>
        <v>-1.6979103187098943E-2</v>
      </c>
      <c r="E36" s="8">
        <f t="shared" si="1"/>
        <v>9.0650551013153891E-3</v>
      </c>
    </row>
    <row r="37" spans="1:5" x14ac:dyDescent="0.3">
      <c r="A37" s="6">
        <v>40232</v>
      </c>
      <c r="B37" s="5">
        <v>2736.01</v>
      </c>
      <c r="C37" s="5">
        <v>114.53</v>
      </c>
      <c r="D37" s="8">
        <f t="shared" si="0"/>
        <v>-3.8309314586994603E-2</v>
      </c>
      <c r="E37" s="8">
        <f t="shared" si="1"/>
        <v>8.7193940461511854E-3</v>
      </c>
    </row>
    <row r="38" spans="1:5" x14ac:dyDescent="0.3">
      <c r="A38" s="6">
        <v>40233</v>
      </c>
      <c r="B38" s="5">
        <v>2739.3701000000001</v>
      </c>
      <c r="C38" s="5">
        <v>112.8</v>
      </c>
      <c r="D38" s="8">
        <f t="shared" si="0"/>
        <v>1.2281022364684091E-3</v>
      </c>
      <c r="E38" s="8">
        <f t="shared" si="1"/>
        <v>-1.5105212608050311E-2</v>
      </c>
    </row>
    <row r="39" spans="1:5" x14ac:dyDescent="0.3">
      <c r="A39" s="6">
        <v>40234</v>
      </c>
      <c r="B39" s="5">
        <v>2775</v>
      </c>
      <c r="C39" s="5">
        <v>112.28</v>
      </c>
      <c r="D39" s="8">
        <f t="shared" si="0"/>
        <v>1.3006603233349123E-2</v>
      </c>
      <c r="E39" s="8">
        <f t="shared" si="1"/>
        <v>-4.6099290780141633E-3</v>
      </c>
    </row>
    <row r="40" spans="1:5" x14ac:dyDescent="0.3">
      <c r="A40" s="6">
        <v>40235</v>
      </c>
      <c r="B40" s="5">
        <v>2709.21</v>
      </c>
      <c r="C40" s="5">
        <v>111.08</v>
      </c>
      <c r="D40" s="8">
        <f t="shared" si="0"/>
        <v>-2.3708108108108084E-2</v>
      </c>
      <c r="E40" s="8">
        <f t="shared" si="1"/>
        <v>-1.0687566797292547E-2</v>
      </c>
    </row>
    <row r="41" spans="1:5" x14ac:dyDescent="0.3">
      <c r="A41" s="6">
        <v>40238</v>
      </c>
      <c r="B41" s="5">
        <v>2736.3</v>
      </c>
      <c r="C41" s="5">
        <v>106.07</v>
      </c>
      <c r="D41" s="8">
        <f t="shared" si="0"/>
        <v>9.9992248662894578E-3</v>
      </c>
      <c r="E41" s="8">
        <f t="shared" si="1"/>
        <v>-4.5102628736046091E-2</v>
      </c>
    </row>
    <row r="42" spans="1:5" x14ac:dyDescent="0.3">
      <c r="A42" s="6">
        <v>40239</v>
      </c>
      <c r="B42" s="5">
        <v>2873.1100999999999</v>
      </c>
      <c r="C42" s="5">
        <v>104.27</v>
      </c>
      <c r="D42" s="8">
        <f t="shared" si="0"/>
        <v>4.9998209260680326E-2</v>
      </c>
      <c r="E42" s="8">
        <f t="shared" si="1"/>
        <v>-1.696992552088239E-2</v>
      </c>
    </row>
    <row r="43" spans="1:5" x14ac:dyDescent="0.3">
      <c r="A43" s="6">
        <v>40240</v>
      </c>
      <c r="B43" s="5">
        <v>2784.3400999999999</v>
      </c>
      <c r="C43" s="5">
        <v>101.42</v>
      </c>
      <c r="D43" s="8">
        <f t="shared" si="0"/>
        <v>-3.0896831973129091E-2</v>
      </c>
      <c r="E43" s="8">
        <f t="shared" si="1"/>
        <v>-2.7332885777308857E-2</v>
      </c>
    </row>
    <row r="44" spans="1:5" x14ac:dyDescent="0.3">
      <c r="A44" s="6">
        <v>40241</v>
      </c>
      <c r="B44" s="5">
        <v>2819.1698999999999</v>
      </c>
      <c r="C44" s="5">
        <v>103.04</v>
      </c>
      <c r="D44" s="8">
        <f t="shared" si="0"/>
        <v>1.2509175872588152E-2</v>
      </c>
      <c r="E44" s="8">
        <f t="shared" si="1"/>
        <v>1.597318083218302E-2</v>
      </c>
    </row>
    <row r="45" spans="1:5" x14ac:dyDescent="0.3">
      <c r="A45" s="6">
        <v>40242</v>
      </c>
      <c r="B45" s="5">
        <v>2817.46</v>
      </c>
      <c r="C45" s="5">
        <v>105.88</v>
      </c>
      <c r="D45" s="8">
        <f t="shared" si="0"/>
        <v>-6.0652605577260488E-4</v>
      </c>
      <c r="E45" s="8">
        <f t="shared" si="1"/>
        <v>2.7562111801242128E-2</v>
      </c>
    </row>
    <row r="46" spans="1:5" x14ac:dyDescent="0.3">
      <c r="A46" s="6">
        <v>40245</v>
      </c>
      <c r="B46" s="5">
        <v>2701.3</v>
      </c>
      <c r="C46" s="5">
        <v>111.17</v>
      </c>
      <c r="D46" s="8">
        <f t="shared" si="0"/>
        <v>-4.1228624363788602E-2</v>
      </c>
      <c r="E46" s="8">
        <f t="shared" si="1"/>
        <v>4.9962221382697347E-2</v>
      </c>
    </row>
    <row r="47" spans="1:5" x14ac:dyDescent="0.3">
      <c r="A47" s="6">
        <v>40246</v>
      </c>
      <c r="B47" s="5">
        <v>2836.3600999999999</v>
      </c>
      <c r="C47" s="5">
        <v>116.72</v>
      </c>
      <c r="D47" s="8">
        <f t="shared" si="0"/>
        <v>4.999818605856432E-2</v>
      </c>
      <c r="E47" s="8">
        <f t="shared" si="1"/>
        <v>4.9923540523522547E-2</v>
      </c>
    </row>
    <row r="48" spans="1:5" x14ac:dyDescent="0.3">
      <c r="A48" s="6">
        <v>40247</v>
      </c>
      <c r="B48" s="5">
        <v>2978.1698999999999</v>
      </c>
      <c r="C48" s="5">
        <v>114.76</v>
      </c>
      <c r="D48" s="8">
        <f t="shared" si="0"/>
        <v>4.9997107207931712E-2</v>
      </c>
      <c r="E48" s="8">
        <f t="shared" si="1"/>
        <v>-1.679232350925286E-2</v>
      </c>
    </row>
    <row r="49" spans="1:5" x14ac:dyDescent="0.3">
      <c r="A49" s="6">
        <v>40248</v>
      </c>
      <c r="B49" s="5">
        <v>3127.0700999999999</v>
      </c>
      <c r="C49" s="5">
        <v>115.6</v>
      </c>
      <c r="D49" s="8">
        <f t="shared" si="0"/>
        <v>4.9997214732443673E-2</v>
      </c>
      <c r="E49" s="8">
        <f t="shared" si="1"/>
        <v>7.3196235622166039E-3</v>
      </c>
    </row>
    <row r="50" spans="1:5" x14ac:dyDescent="0.3">
      <c r="A50" s="6">
        <v>40249</v>
      </c>
      <c r="B50" s="5">
        <v>3050.02</v>
      </c>
      <c r="C50" s="5">
        <v>116.77</v>
      </c>
      <c r="D50" s="8">
        <f t="shared" si="0"/>
        <v>-2.4639709867712911E-2</v>
      </c>
      <c r="E50" s="8">
        <f t="shared" si="1"/>
        <v>1.0121107266436002E-2</v>
      </c>
    </row>
    <row r="51" spans="1:5" x14ac:dyDescent="0.3">
      <c r="A51" s="6">
        <v>40252</v>
      </c>
      <c r="B51" s="5">
        <v>3008.3701000000001</v>
      </c>
      <c r="C51" s="5">
        <v>116.2</v>
      </c>
      <c r="D51" s="8">
        <f t="shared" si="0"/>
        <v>-1.3655615373013963E-2</v>
      </c>
      <c r="E51" s="8">
        <f t="shared" si="1"/>
        <v>-4.8813907681767299E-3</v>
      </c>
    </row>
    <row r="52" spans="1:5" x14ac:dyDescent="0.3">
      <c r="A52" s="6">
        <v>40253</v>
      </c>
      <c r="B52" s="5">
        <v>2972.71</v>
      </c>
      <c r="C52" s="5">
        <v>113.68</v>
      </c>
      <c r="D52" s="8">
        <f t="shared" si="0"/>
        <v>-1.1853627982807091E-2</v>
      </c>
      <c r="E52" s="8">
        <f t="shared" si="1"/>
        <v>-2.168674698795181E-2</v>
      </c>
    </row>
    <row r="53" spans="1:5" x14ac:dyDescent="0.3">
      <c r="A53" s="6">
        <v>40254</v>
      </c>
      <c r="B53" s="5">
        <v>2950</v>
      </c>
      <c r="C53" s="5">
        <v>113.2</v>
      </c>
      <c r="D53" s="8">
        <f t="shared" si="0"/>
        <v>-7.6394939297812492E-3</v>
      </c>
      <c r="E53" s="8">
        <f t="shared" si="1"/>
        <v>-4.2223786066151181E-3</v>
      </c>
    </row>
    <row r="54" spans="1:5" x14ac:dyDescent="0.3">
      <c r="A54" s="6">
        <v>40255</v>
      </c>
      <c r="B54" s="5">
        <v>3000</v>
      </c>
      <c r="C54" s="5">
        <v>112.93</v>
      </c>
      <c r="D54" s="8">
        <f t="shared" si="0"/>
        <v>1.6949152542372836E-2</v>
      </c>
      <c r="E54" s="8">
        <f t="shared" si="1"/>
        <v>-2.385159010600657E-3</v>
      </c>
    </row>
    <row r="55" spans="1:5" x14ac:dyDescent="0.3">
      <c r="A55" s="6">
        <v>40256</v>
      </c>
      <c r="B55" s="5">
        <v>2998.5</v>
      </c>
      <c r="C55" s="5">
        <v>112.2</v>
      </c>
      <c r="D55" s="8">
        <f t="shared" si="0"/>
        <v>-4.9999999999994493E-4</v>
      </c>
      <c r="E55" s="8">
        <f t="shared" si="1"/>
        <v>-6.4641813512795743E-3</v>
      </c>
    </row>
    <row r="56" spans="1:5" x14ac:dyDescent="0.3">
      <c r="A56" s="6">
        <v>40259</v>
      </c>
      <c r="B56" s="5">
        <v>2952.5</v>
      </c>
      <c r="C56" s="5">
        <v>112.27</v>
      </c>
      <c r="D56" s="8">
        <f t="shared" si="0"/>
        <v>-1.5341003835250944E-2</v>
      </c>
      <c r="E56" s="8">
        <f t="shared" si="1"/>
        <v>6.2388591800344173E-4</v>
      </c>
    </row>
    <row r="57" spans="1:5" x14ac:dyDescent="0.3">
      <c r="A57" s="6">
        <v>40261</v>
      </c>
      <c r="B57" s="5">
        <v>2910.54</v>
      </c>
      <c r="C57" s="5">
        <v>117.73</v>
      </c>
      <c r="D57" s="8">
        <f t="shared" si="0"/>
        <v>-1.4211685012701092E-2</v>
      </c>
      <c r="E57" s="8">
        <f t="shared" si="1"/>
        <v>4.8632760309967216E-2</v>
      </c>
    </row>
    <row r="58" spans="1:5" x14ac:dyDescent="0.3">
      <c r="A58" s="6">
        <v>40262</v>
      </c>
      <c r="B58" s="5">
        <v>3025</v>
      </c>
      <c r="C58" s="5">
        <v>116.37</v>
      </c>
      <c r="D58" s="8">
        <f t="shared" si="0"/>
        <v>3.9326035718457719E-2</v>
      </c>
      <c r="E58" s="8">
        <f t="shared" si="1"/>
        <v>-1.1551855941561162E-2</v>
      </c>
    </row>
    <row r="59" spans="1:5" x14ac:dyDescent="0.3">
      <c r="A59" s="6">
        <v>40263</v>
      </c>
      <c r="B59" s="5">
        <v>3176.25</v>
      </c>
      <c r="C59" s="5">
        <v>115.53</v>
      </c>
      <c r="D59" s="8">
        <f t="shared" si="0"/>
        <v>5.0000000000000044E-2</v>
      </c>
      <c r="E59" s="8">
        <f t="shared" si="1"/>
        <v>-7.2183552461975165E-3</v>
      </c>
    </row>
    <row r="60" spans="1:5" x14ac:dyDescent="0.3">
      <c r="A60" s="6">
        <v>40266</v>
      </c>
      <c r="B60" s="5">
        <v>3335.0601000000001</v>
      </c>
      <c r="C60" s="5">
        <v>113.81</v>
      </c>
      <c r="D60" s="8">
        <f t="shared" si="0"/>
        <v>4.9999244391971676E-2</v>
      </c>
      <c r="E60" s="8">
        <f t="shared" si="1"/>
        <v>-1.4887907902709219E-2</v>
      </c>
    </row>
    <row r="61" spans="1:5" x14ac:dyDescent="0.3">
      <c r="A61" s="6">
        <v>40267</v>
      </c>
      <c r="B61" s="5">
        <v>3501.8101000000001</v>
      </c>
      <c r="C61" s="5">
        <v>114.76</v>
      </c>
      <c r="D61" s="8">
        <f t="shared" si="0"/>
        <v>4.9999098966762245E-2</v>
      </c>
      <c r="E61" s="8">
        <f t="shared" si="1"/>
        <v>8.3472454090149917E-3</v>
      </c>
    </row>
    <row r="62" spans="1:5" x14ac:dyDescent="0.3">
      <c r="A62" s="6">
        <v>40268</v>
      </c>
      <c r="B62" s="5">
        <v>3468.52</v>
      </c>
      <c r="C62" s="5">
        <v>115.27</v>
      </c>
      <c r="D62" s="8">
        <f t="shared" si="0"/>
        <v>-9.5065406316579004E-3</v>
      </c>
      <c r="E62" s="8">
        <f t="shared" si="1"/>
        <v>4.4440571627744063E-3</v>
      </c>
    </row>
    <row r="63" spans="1:5" x14ac:dyDescent="0.3">
      <c r="A63" s="6">
        <v>40269</v>
      </c>
      <c r="B63" s="5">
        <v>3641.9398999999999</v>
      </c>
      <c r="C63" s="5">
        <v>115.46</v>
      </c>
      <c r="D63" s="8">
        <f t="shared" si="0"/>
        <v>4.9998241324830106E-2</v>
      </c>
      <c r="E63" s="8">
        <f t="shared" si="1"/>
        <v>1.648303981955479E-3</v>
      </c>
    </row>
    <row r="64" spans="1:5" x14ac:dyDescent="0.3">
      <c r="A64" s="6">
        <v>40270</v>
      </c>
      <c r="B64" s="5">
        <v>3735.25</v>
      </c>
      <c r="C64" s="5">
        <v>121.13</v>
      </c>
      <c r="D64" s="8">
        <f t="shared" si="0"/>
        <v>2.5620988418836976E-2</v>
      </c>
      <c r="E64" s="8">
        <f t="shared" si="1"/>
        <v>4.9107916161441167E-2</v>
      </c>
    </row>
    <row r="65" spans="1:5" x14ac:dyDescent="0.3">
      <c r="A65" s="6">
        <v>40273</v>
      </c>
      <c r="B65" s="5">
        <v>3700.4299000000001</v>
      </c>
      <c r="C65" s="5">
        <v>122.66</v>
      </c>
      <c r="D65" s="8">
        <f t="shared" si="0"/>
        <v>-9.3220266381098815E-3</v>
      </c>
      <c r="E65" s="8">
        <f t="shared" si="1"/>
        <v>1.2631057541484303E-2</v>
      </c>
    </row>
    <row r="66" spans="1:5" x14ac:dyDescent="0.3">
      <c r="A66" s="6">
        <v>40274</v>
      </c>
      <c r="B66" s="5">
        <v>3608.51</v>
      </c>
      <c r="C66" s="5">
        <v>121.79</v>
      </c>
      <c r="D66" s="8">
        <f t="shared" si="0"/>
        <v>-2.4840330038409797E-2</v>
      </c>
      <c r="E66" s="8">
        <f t="shared" si="1"/>
        <v>-7.0927767813467879E-3</v>
      </c>
    </row>
    <row r="67" spans="1:5" x14ac:dyDescent="0.3">
      <c r="A67" s="6">
        <v>40275</v>
      </c>
      <c r="B67" s="5">
        <v>3492.76</v>
      </c>
      <c r="C67" s="5">
        <v>123.43</v>
      </c>
      <c r="D67" s="8">
        <f t="shared" si="0"/>
        <v>-3.2076951428706035E-2</v>
      </c>
      <c r="E67" s="8">
        <f t="shared" si="1"/>
        <v>1.3465801789966259E-2</v>
      </c>
    </row>
    <row r="68" spans="1:5" x14ac:dyDescent="0.3">
      <c r="A68" s="6">
        <v>40276</v>
      </c>
      <c r="B68" s="5">
        <v>3350.4198999999999</v>
      </c>
      <c r="C68" s="5">
        <v>124.56</v>
      </c>
      <c r="D68" s="8">
        <f t="shared" ref="D68:D131" si="15">(B68/B67)-1</f>
        <v>-4.0752900285161431E-2</v>
      </c>
      <c r="E68" s="8">
        <f t="shared" ref="E68:E131" si="16">(C68/C67)-1</f>
        <v>9.1549866320992379E-3</v>
      </c>
    </row>
    <row r="69" spans="1:5" x14ac:dyDescent="0.3">
      <c r="A69" s="6">
        <v>40277</v>
      </c>
      <c r="B69" s="5">
        <v>3517.9398999999999</v>
      </c>
      <c r="C69" s="5">
        <v>129.19999999999999</v>
      </c>
      <c r="D69" s="8">
        <f t="shared" si="15"/>
        <v>4.9999703022298725E-2</v>
      </c>
      <c r="E69" s="8">
        <f t="shared" si="16"/>
        <v>3.7251123956326238E-2</v>
      </c>
    </row>
    <row r="70" spans="1:5" x14ac:dyDescent="0.3">
      <c r="A70" s="6">
        <v>40280</v>
      </c>
      <c r="B70" s="5">
        <v>3549.98</v>
      </c>
      <c r="C70" s="5">
        <v>124.23</v>
      </c>
      <c r="D70" s="8">
        <f t="shared" si="15"/>
        <v>9.1076314294056271E-3</v>
      </c>
      <c r="E70" s="8">
        <f t="shared" si="16"/>
        <v>-3.8467492260061853E-2</v>
      </c>
    </row>
    <row r="71" spans="1:5" x14ac:dyDescent="0.3">
      <c r="A71" s="6">
        <v>40281</v>
      </c>
      <c r="B71" s="5">
        <v>3575</v>
      </c>
      <c r="C71" s="5">
        <v>122.28</v>
      </c>
      <c r="D71" s="8">
        <f t="shared" si="15"/>
        <v>7.0479270305747743E-3</v>
      </c>
      <c r="E71" s="8">
        <f t="shared" si="16"/>
        <v>-1.5696691620381564E-2</v>
      </c>
    </row>
    <row r="72" spans="1:5" x14ac:dyDescent="0.3">
      <c r="A72" s="6">
        <v>40282</v>
      </c>
      <c r="B72" s="5">
        <v>3576</v>
      </c>
      <c r="C72" s="5">
        <v>123.63</v>
      </c>
      <c r="D72" s="8">
        <f t="shared" si="15"/>
        <v>2.7972027972023028E-4</v>
      </c>
      <c r="E72" s="8">
        <f t="shared" si="16"/>
        <v>1.1040235525024533E-2</v>
      </c>
    </row>
    <row r="73" spans="1:5" x14ac:dyDescent="0.3">
      <c r="A73" s="6">
        <v>40283</v>
      </c>
      <c r="B73" s="5">
        <v>3520.28</v>
      </c>
      <c r="C73" s="5">
        <v>124.7</v>
      </c>
      <c r="D73" s="8">
        <f t="shared" si="15"/>
        <v>-1.5581655480984336E-2</v>
      </c>
      <c r="E73" s="8">
        <f t="shared" si="16"/>
        <v>8.6548572352989073E-3</v>
      </c>
    </row>
    <row r="74" spans="1:5" x14ac:dyDescent="0.3">
      <c r="A74" s="6">
        <v>40284</v>
      </c>
      <c r="B74" s="5">
        <v>3550</v>
      </c>
      <c r="C74" s="5">
        <v>122.82</v>
      </c>
      <c r="D74" s="8">
        <f t="shared" si="15"/>
        <v>8.4425102548659758E-3</v>
      </c>
      <c r="E74" s="8">
        <f t="shared" si="16"/>
        <v>-1.5076182838813179E-2</v>
      </c>
    </row>
    <row r="75" spans="1:5" x14ac:dyDescent="0.3">
      <c r="A75" s="6">
        <v>40287</v>
      </c>
      <c r="B75" s="5">
        <v>3500.01</v>
      </c>
      <c r="C75" s="5">
        <v>120.82</v>
      </c>
      <c r="D75" s="8">
        <f t="shared" si="15"/>
        <v>-1.4081690140845038E-2</v>
      </c>
      <c r="E75" s="8">
        <f t="shared" si="16"/>
        <v>-1.6283992835043115E-2</v>
      </c>
    </row>
    <row r="76" spans="1:5" x14ac:dyDescent="0.3">
      <c r="A76" s="6">
        <v>40288</v>
      </c>
      <c r="B76" s="5">
        <v>3675</v>
      </c>
      <c r="C76" s="5">
        <v>119.09</v>
      </c>
      <c r="D76" s="8">
        <f t="shared" si="15"/>
        <v>4.9997000008571435E-2</v>
      </c>
      <c r="E76" s="8">
        <f t="shared" si="16"/>
        <v>-1.431882138718743E-2</v>
      </c>
    </row>
    <row r="77" spans="1:5" x14ac:dyDescent="0.3">
      <c r="A77" s="6">
        <v>40289</v>
      </c>
      <c r="B77" s="5">
        <v>3800</v>
      </c>
      <c r="C77" s="5">
        <v>116.23</v>
      </c>
      <c r="D77" s="8">
        <f t="shared" si="15"/>
        <v>3.4013605442176909E-2</v>
      </c>
      <c r="E77" s="8">
        <f t="shared" si="16"/>
        <v>-2.4015450499622171E-2</v>
      </c>
    </row>
    <row r="78" spans="1:5" x14ac:dyDescent="0.3">
      <c r="A78" s="6">
        <v>40290</v>
      </c>
      <c r="B78" s="5">
        <v>3890</v>
      </c>
      <c r="C78" s="5">
        <v>117.7</v>
      </c>
      <c r="D78" s="8">
        <f t="shared" si="15"/>
        <v>2.3684210526315752E-2</v>
      </c>
      <c r="E78" s="8">
        <f t="shared" si="16"/>
        <v>1.2647337176288298E-2</v>
      </c>
    </row>
    <row r="79" spans="1:5" x14ac:dyDescent="0.3">
      <c r="A79" s="6">
        <v>40291</v>
      </c>
      <c r="B79" s="5">
        <v>3791.1100999999999</v>
      </c>
      <c r="C79" s="5">
        <v>117.6</v>
      </c>
      <c r="D79" s="8">
        <f t="shared" si="15"/>
        <v>-2.5421568123393357E-2</v>
      </c>
      <c r="E79" s="8">
        <f t="shared" si="16"/>
        <v>-8.4961767204760896E-4</v>
      </c>
    </row>
    <row r="80" spans="1:5" x14ac:dyDescent="0.3">
      <c r="A80" s="6">
        <v>40294</v>
      </c>
      <c r="B80" s="5">
        <v>3910.4198999999999</v>
      </c>
      <c r="C80" s="5">
        <v>115.67</v>
      </c>
      <c r="D80" s="8">
        <f t="shared" si="15"/>
        <v>3.1470940398169889E-2</v>
      </c>
      <c r="E80" s="8">
        <f t="shared" si="16"/>
        <v>-1.641156462585025E-2</v>
      </c>
    </row>
    <row r="81" spans="1:5" x14ac:dyDescent="0.3">
      <c r="A81" s="6">
        <v>40295</v>
      </c>
      <c r="B81" s="5">
        <v>3953.21</v>
      </c>
      <c r="C81" s="5">
        <v>114.13</v>
      </c>
      <c r="D81" s="8">
        <f t="shared" si="15"/>
        <v>1.0942584452375614E-2</v>
      </c>
      <c r="E81" s="8">
        <f t="shared" si="16"/>
        <v>-1.3313737356272171E-2</v>
      </c>
    </row>
    <row r="82" spans="1:5" x14ac:dyDescent="0.3">
      <c r="A82" s="6">
        <v>40296</v>
      </c>
      <c r="B82" s="5">
        <v>4150.8701000000001</v>
      </c>
      <c r="C82" s="5">
        <v>112.82</v>
      </c>
      <c r="D82" s="8">
        <f t="shared" si="15"/>
        <v>4.9999898816404986E-2</v>
      </c>
      <c r="E82" s="8">
        <f t="shared" si="16"/>
        <v>-1.1478138964338913E-2</v>
      </c>
    </row>
    <row r="83" spans="1:5" x14ac:dyDescent="0.3">
      <c r="A83" s="6">
        <v>40297</v>
      </c>
      <c r="B83" s="5">
        <v>4349</v>
      </c>
      <c r="C83" s="5">
        <v>111.07</v>
      </c>
      <c r="D83" s="8">
        <f t="shared" si="15"/>
        <v>4.7732136931965208E-2</v>
      </c>
      <c r="E83" s="8">
        <f t="shared" si="16"/>
        <v>-1.5511434142882474E-2</v>
      </c>
    </row>
    <row r="84" spans="1:5" x14ac:dyDescent="0.3">
      <c r="A84" s="6">
        <v>40298</v>
      </c>
      <c r="B84" s="5">
        <v>4450.29</v>
      </c>
      <c r="C84" s="5">
        <v>108.99</v>
      </c>
      <c r="D84" s="8">
        <f t="shared" si="15"/>
        <v>2.3290411588871018E-2</v>
      </c>
      <c r="E84" s="8">
        <f t="shared" si="16"/>
        <v>-1.8726928963716527E-2</v>
      </c>
    </row>
    <row r="85" spans="1:5" x14ac:dyDescent="0.3">
      <c r="A85" s="6">
        <v>40301</v>
      </c>
      <c r="B85" s="5">
        <v>4505.4198999999999</v>
      </c>
      <c r="C85" s="5">
        <v>109.7</v>
      </c>
      <c r="D85" s="8">
        <f t="shared" si="15"/>
        <v>1.2387934269452172E-2</v>
      </c>
      <c r="E85" s="8">
        <f t="shared" si="16"/>
        <v>6.5143591155152336E-3</v>
      </c>
    </row>
    <row r="86" spans="1:5" x14ac:dyDescent="0.3">
      <c r="A86" s="6">
        <v>40302</v>
      </c>
      <c r="B86" s="5">
        <v>4445.8798999999999</v>
      </c>
      <c r="C86" s="5">
        <v>114.82</v>
      </c>
      <c r="D86" s="8">
        <f t="shared" si="15"/>
        <v>-1.3215194437259825E-2</v>
      </c>
      <c r="E86" s="8">
        <f t="shared" si="16"/>
        <v>4.6672743846855047E-2</v>
      </c>
    </row>
    <row r="87" spans="1:5" x14ac:dyDescent="0.3">
      <c r="A87" s="6">
        <v>40303</v>
      </c>
      <c r="B87" s="5">
        <v>4518.4102000000003</v>
      </c>
      <c r="C87" s="5">
        <v>113.3</v>
      </c>
      <c r="D87" s="8">
        <f t="shared" si="15"/>
        <v>1.6314048429423522E-2</v>
      </c>
      <c r="E87" s="8">
        <f t="shared" si="16"/>
        <v>-1.3238111827207799E-2</v>
      </c>
    </row>
    <row r="88" spans="1:5" x14ac:dyDescent="0.3">
      <c r="A88" s="6">
        <v>40304</v>
      </c>
      <c r="B88" s="5">
        <v>4540</v>
      </c>
      <c r="C88" s="5">
        <v>112.44</v>
      </c>
      <c r="D88" s="8">
        <f t="shared" si="15"/>
        <v>4.7781850350814281E-3</v>
      </c>
      <c r="E88" s="8">
        <f t="shared" si="16"/>
        <v>-7.5904677846425628E-3</v>
      </c>
    </row>
    <row r="89" spans="1:5" x14ac:dyDescent="0.3">
      <c r="A89" s="6">
        <v>40305</v>
      </c>
      <c r="B89" s="5">
        <v>4315.5801000000001</v>
      </c>
      <c r="C89" s="5">
        <v>108.18</v>
      </c>
      <c r="D89" s="8">
        <f t="shared" si="15"/>
        <v>-4.9431696035242223E-2</v>
      </c>
      <c r="E89" s="8">
        <f t="shared" si="16"/>
        <v>-3.7886872998932675E-2</v>
      </c>
    </row>
    <row r="90" spans="1:5" x14ac:dyDescent="0.3">
      <c r="A90" s="6">
        <v>40308</v>
      </c>
      <c r="B90" s="5">
        <v>4239.9902000000002</v>
      </c>
      <c r="C90" s="5">
        <v>108.63</v>
      </c>
      <c r="D90" s="8">
        <f t="shared" si="15"/>
        <v>-1.751558266755382E-2</v>
      </c>
      <c r="E90" s="8">
        <f t="shared" si="16"/>
        <v>4.1597337770382659E-3</v>
      </c>
    </row>
    <row r="91" spans="1:5" x14ac:dyDescent="0.3">
      <c r="A91" s="6">
        <v>40309</v>
      </c>
      <c r="B91" s="5">
        <v>4245.8798999999999</v>
      </c>
      <c r="C91" s="5">
        <v>107.44</v>
      </c>
      <c r="D91" s="8">
        <f t="shared" si="15"/>
        <v>1.3890833992964424E-3</v>
      </c>
      <c r="E91" s="8">
        <f t="shared" si="16"/>
        <v>-1.0954616588419341E-2</v>
      </c>
    </row>
    <row r="92" spans="1:5" x14ac:dyDescent="0.3">
      <c r="A92" s="6">
        <v>40310</v>
      </c>
      <c r="B92" s="5">
        <v>4223.4301999999998</v>
      </c>
      <c r="C92" s="5">
        <v>106.94</v>
      </c>
      <c r="D92" s="8">
        <f t="shared" si="15"/>
        <v>-5.2874081530192019E-3</v>
      </c>
      <c r="E92" s="8">
        <f t="shared" si="16"/>
        <v>-4.6537602382725751E-3</v>
      </c>
    </row>
    <row r="93" spans="1:5" x14ac:dyDescent="0.3">
      <c r="A93" s="6">
        <v>40311</v>
      </c>
      <c r="B93" s="5">
        <v>4138.6099000000004</v>
      </c>
      <c r="C93" s="5">
        <v>107.4</v>
      </c>
      <c r="D93" s="8">
        <f t="shared" si="15"/>
        <v>-2.0083272596762569E-2</v>
      </c>
      <c r="E93" s="8">
        <f t="shared" si="16"/>
        <v>4.3014774639986708E-3</v>
      </c>
    </row>
    <row r="94" spans="1:5" x14ac:dyDescent="0.3">
      <c r="A94" s="6">
        <v>40312</v>
      </c>
      <c r="B94" s="5">
        <v>4050.04</v>
      </c>
      <c r="C94" s="5">
        <v>106.01</v>
      </c>
      <c r="D94" s="8">
        <f t="shared" si="15"/>
        <v>-2.1400881489217038E-2</v>
      </c>
      <c r="E94" s="8">
        <f t="shared" si="16"/>
        <v>-1.2942271880819423E-2</v>
      </c>
    </row>
    <row r="95" spans="1:5" x14ac:dyDescent="0.3">
      <c r="A95" s="6">
        <v>40315</v>
      </c>
      <c r="B95" s="5">
        <v>3902.5</v>
      </c>
      <c r="C95" s="5">
        <v>100.78</v>
      </c>
      <c r="D95" s="8">
        <f t="shared" si="15"/>
        <v>-3.6429269834372002E-2</v>
      </c>
      <c r="E95" s="8">
        <f t="shared" si="16"/>
        <v>-4.9334968399207701E-2</v>
      </c>
    </row>
    <row r="96" spans="1:5" x14ac:dyDescent="0.3">
      <c r="A96" s="6">
        <v>40316</v>
      </c>
      <c r="B96" s="5">
        <v>3910.1399000000001</v>
      </c>
      <c r="C96" s="5">
        <v>100.17</v>
      </c>
      <c r="D96" s="8">
        <f t="shared" si="15"/>
        <v>1.9576937860346089E-3</v>
      </c>
      <c r="E96" s="8">
        <f t="shared" si="16"/>
        <v>-6.0527882516372422E-3</v>
      </c>
    </row>
    <row r="97" spans="1:5" x14ac:dyDescent="0.3">
      <c r="A97" s="6">
        <v>40317</v>
      </c>
      <c r="B97" s="5">
        <v>3900</v>
      </c>
      <c r="C97" s="5">
        <v>97.96</v>
      </c>
      <c r="D97" s="8">
        <f t="shared" si="15"/>
        <v>-2.5932320222097349E-3</v>
      </c>
      <c r="E97" s="8">
        <f t="shared" si="16"/>
        <v>-2.2062493760607094E-2</v>
      </c>
    </row>
    <row r="98" spans="1:5" x14ac:dyDescent="0.3">
      <c r="A98" s="6">
        <v>40318</v>
      </c>
      <c r="B98" s="5">
        <v>3832.8</v>
      </c>
      <c r="C98" s="5">
        <v>96.66</v>
      </c>
      <c r="D98" s="8">
        <f t="shared" si="15"/>
        <v>-1.7230769230769161E-2</v>
      </c>
      <c r="E98" s="8">
        <f t="shared" si="16"/>
        <v>-1.3270722743977115E-2</v>
      </c>
    </row>
    <row r="99" spans="1:5" x14ac:dyDescent="0.3">
      <c r="A99" s="6">
        <v>40319</v>
      </c>
      <c r="B99" s="5">
        <v>3899.0801000000001</v>
      </c>
      <c r="C99" s="5">
        <v>94.07</v>
      </c>
      <c r="D99" s="8">
        <f t="shared" si="15"/>
        <v>1.7292866833646503E-2</v>
      </c>
      <c r="E99" s="8">
        <f t="shared" si="16"/>
        <v>-2.6794951375956999E-2</v>
      </c>
    </row>
    <row r="100" spans="1:5" x14ac:dyDescent="0.3">
      <c r="A100" s="6">
        <v>40322</v>
      </c>
      <c r="B100" s="5">
        <v>3869.4398999999999</v>
      </c>
      <c r="C100" s="5">
        <v>90.06</v>
      </c>
      <c r="D100" s="8">
        <f t="shared" si="15"/>
        <v>-7.6018443427208204E-3</v>
      </c>
      <c r="E100" s="8">
        <f t="shared" si="16"/>
        <v>-4.2627830339109107E-2</v>
      </c>
    </row>
    <row r="101" spans="1:5" x14ac:dyDescent="0.3">
      <c r="A101" s="6">
        <v>40323</v>
      </c>
      <c r="B101" s="5">
        <v>3898</v>
      </c>
      <c r="C101" s="5">
        <v>85.66</v>
      </c>
      <c r="D101" s="8">
        <f t="shared" si="15"/>
        <v>7.380939034613343E-3</v>
      </c>
      <c r="E101" s="8">
        <f t="shared" si="16"/>
        <v>-4.8856318010215505E-2</v>
      </c>
    </row>
    <row r="102" spans="1:5" x14ac:dyDescent="0.3">
      <c r="A102" s="6">
        <v>40324</v>
      </c>
      <c r="B102" s="5">
        <v>3885.6698999999999</v>
      </c>
      <c r="C102" s="5">
        <v>89.94</v>
      </c>
      <c r="D102" s="8">
        <f t="shared" si="15"/>
        <v>-3.1631862493586294E-3</v>
      </c>
      <c r="E102" s="8">
        <f t="shared" si="16"/>
        <v>4.9964977819285661E-2</v>
      </c>
    </row>
    <row r="103" spans="1:5" x14ac:dyDescent="0.3">
      <c r="A103" s="6">
        <v>40325</v>
      </c>
      <c r="B103" s="5">
        <v>3900.52</v>
      </c>
      <c r="C103" s="5">
        <v>90.46</v>
      </c>
      <c r="D103" s="8">
        <f t="shared" si="15"/>
        <v>3.8217605669488286E-3</v>
      </c>
      <c r="E103" s="8">
        <f t="shared" si="16"/>
        <v>5.7816321992438802E-3</v>
      </c>
    </row>
    <row r="104" spans="1:5" x14ac:dyDescent="0.3">
      <c r="A104" s="6">
        <v>40326</v>
      </c>
      <c r="B104" s="5">
        <v>3902.1298999999999</v>
      </c>
      <c r="C104" s="5">
        <v>91.2</v>
      </c>
      <c r="D104" s="8">
        <f t="shared" si="15"/>
        <v>4.1273983981615636E-4</v>
      </c>
      <c r="E104" s="8">
        <f t="shared" si="16"/>
        <v>8.1804112314836086E-3</v>
      </c>
    </row>
    <row r="105" spans="1:5" x14ac:dyDescent="0.3">
      <c r="A105" s="6">
        <v>40329</v>
      </c>
      <c r="B105" s="5">
        <v>3900</v>
      </c>
      <c r="C105" s="5">
        <v>89.03</v>
      </c>
      <c r="D105" s="8">
        <f t="shared" si="15"/>
        <v>-5.4583011190889597E-4</v>
      </c>
      <c r="E105" s="8">
        <f t="shared" si="16"/>
        <v>-2.3793859649122839E-2</v>
      </c>
    </row>
    <row r="106" spans="1:5" x14ac:dyDescent="0.3">
      <c r="A106" s="6">
        <v>40330</v>
      </c>
      <c r="B106" s="5">
        <v>3936.75</v>
      </c>
      <c r="C106" s="5">
        <v>86.81</v>
      </c>
      <c r="D106" s="8">
        <f t="shared" si="15"/>
        <v>9.4230769230769784E-3</v>
      </c>
      <c r="E106" s="8">
        <f t="shared" si="16"/>
        <v>-2.493541502864205E-2</v>
      </c>
    </row>
    <row r="107" spans="1:5" x14ac:dyDescent="0.3">
      <c r="A107" s="6">
        <v>40331</v>
      </c>
      <c r="B107" s="5">
        <v>3951.23</v>
      </c>
      <c r="C107" s="5">
        <v>90.99</v>
      </c>
      <c r="D107" s="8">
        <f t="shared" si="15"/>
        <v>3.6781609195402076E-3</v>
      </c>
      <c r="E107" s="8">
        <f t="shared" si="16"/>
        <v>4.8151134661905237E-2</v>
      </c>
    </row>
    <row r="108" spans="1:5" x14ac:dyDescent="0.3">
      <c r="A108" s="6">
        <v>40332</v>
      </c>
      <c r="B108" s="5">
        <v>3942.5</v>
      </c>
      <c r="C108" s="5">
        <v>91.4</v>
      </c>
      <c r="D108" s="8">
        <f t="shared" si="15"/>
        <v>-2.2094385798852034E-3</v>
      </c>
      <c r="E108" s="8">
        <f t="shared" si="16"/>
        <v>4.5059896691945767E-3</v>
      </c>
    </row>
    <row r="109" spans="1:5" x14ac:dyDescent="0.3">
      <c r="A109" s="6">
        <v>40333</v>
      </c>
      <c r="B109" s="5">
        <v>3997.01</v>
      </c>
      <c r="C109" s="5">
        <v>90.03</v>
      </c>
      <c r="D109" s="8">
        <f t="shared" si="15"/>
        <v>1.3826252377932891E-2</v>
      </c>
      <c r="E109" s="8">
        <f t="shared" si="16"/>
        <v>-1.4989059080962819E-2</v>
      </c>
    </row>
    <row r="110" spans="1:5" x14ac:dyDescent="0.3">
      <c r="A110" s="6">
        <v>40336</v>
      </c>
      <c r="B110" s="5">
        <v>3911.47</v>
      </c>
      <c r="C110" s="5">
        <v>92.22</v>
      </c>
      <c r="D110" s="8">
        <f t="shared" si="15"/>
        <v>-2.1400997245441089E-2</v>
      </c>
      <c r="E110" s="8">
        <f t="shared" si="16"/>
        <v>2.432522492502498E-2</v>
      </c>
    </row>
    <row r="111" spans="1:5" x14ac:dyDescent="0.3">
      <c r="A111" s="6">
        <v>40337</v>
      </c>
      <c r="B111" s="5">
        <v>3904</v>
      </c>
      <c r="C111" s="5">
        <v>91.76</v>
      </c>
      <c r="D111" s="8">
        <f t="shared" si="15"/>
        <v>-1.909767938907847E-3</v>
      </c>
      <c r="E111" s="8">
        <f t="shared" si="16"/>
        <v>-4.9880720017349001E-3</v>
      </c>
    </row>
    <row r="112" spans="1:5" x14ac:dyDescent="0.3">
      <c r="A112" s="6">
        <v>40338</v>
      </c>
      <c r="B112" s="5">
        <v>3949.0900999999999</v>
      </c>
      <c r="C112" s="5">
        <v>90.13</v>
      </c>
      <c r="D112" s="8">
        <f t="shared" si="15"/>
        <v>1.1549718237704898E-2</v>
      </c>
      <c r="E112" s="8">
        <f t="shared" si="16"/>
        <v>-1.7763731473409039E-2</v>
      </c>
    </row>
    <row r="113" spans="1:5" x14ac:dyDescent="0.3">
      <c r="A113" s="6">
        <v>40339</v>
      </c>
      <c r="B113" s="5">
        <v>3910</v>
      </c>
      <c r="C113" s="5">
        <v>85.63</v>
      </c>
      <c r="D113" s="8">
        <f t="shared" si="15"/>
        <v>-9.898508013276297E-3</v>
      </c>
      <c r="E113" s="8">
        <f t="shared" si="16"/>
        <v>-4.9927881948296893E-2</v>
      </c>
    </row>
    <row r="114" spans="1:5" x14ac:dyDescent="0.3">
      <c r="A114" s="6">
        <v>40340</v>
      </c>
      <c r="B114" s="5">
        <v>3987.1399000000001</v>
      </c>
      <c r="C114" s="5">
        <v>86.12</v>
      </c>
      <c r="D114" s="8">
        <f t="shared" si="15"/>
        <v>1.972887468030704E-2</v>
      </c>
      <c r="E114" s="8">
        <f t="shared" si="16"/>
        <v>5.7222935886955817E-3</v>
      </c>
    </row>
    <row r="115" spans="1:5" x14ac:dyDescent="0.3">
      <c r="A115" s="6">
        <v>40343</v>
      </c>
      <c r="B115" s="5">
        <v>4003.45</v>
      </c>
      <c r="C115" s="5">
        <v>81.84</v>
      </c>
      <c r="D115" s="8">
        <f t="shared" si="15"/>
        <v>4.0906766276247453E-3</v>
      </c>
      <c r="E115" s="8">
        <f t="shared" si="16"/>
        <v>-4.969809568044592E-2</v>
      </c>
    </row>
    <row r="116" spans="1:5" x14ac:dyDescent="0.3">
      <c r="A116" s="6">
        <v>40344</v>
      </c>
      <c r="B116" s="5">
        <v>4050</v>
      </c>
      <c r="C116" s="5">
        <v>82.75</v>
      </c>
      <c r="D116" s="8">
        <f t="shared" si="15"/>
        <v>1.1627471305998727E-2</v>
      </c>
      <c r="E116" s="8">
        <f t="shared" si="16"/>
        <v>1.1119257086998902E-2</v>
      </c>
    </row>
    <row r="117" spans="1:5" x14ac:dyDescent="0.3">
      <c r="A117" s="6">
        <v>40345</v>
      </c>
      <c r="B117" s="5">
        <v>4002.5</v>
      </c>
      <c r="C117" s="5">
        <v>85.45</v>
      </c>
      <c r="D117" s="8">
        <f t="shared" si="15"/>
        <v>-1.1728395061728403E-2</v>
      </c>
      <c r="E117" s="8">
        <f t="shared" si="16"/>
        <v>3.262839879154078E-2</v>
      </c>
    </row>
    <row r="118" spans="1:5" x14ac:dyDescent="0.3">
      <c r="A118" s="6">
        <v>40346</v>
      </c>
      <c r="B118" s="5">
        <v>3985</v>
      </c>
      <c r="C118" s="5">
        <v>87.3</v>
      </c>
      <c r="D118" s="8">
        <f t="shared" si="15"/>
        <v>-4.372267332916957E-3</v>
      </c>
      <c r="E118" s="8">
        <f t="shared" si="16"/>
        <v>2.1650087770626048E-2</v>
      </c>
    </row>
    <row r="119" spans="1:5" x14ac:dyDescent="0.3">
      <c r="A119" s="6">
        <v>40347</v>
      </c>
      <c r="B119" s="5">
        <v>3951.3600999999999</v>
      </c>
      <c r="C119" s="5">
        <v>86.4</v>
      </c>
      <c r="D119" s="8">
        <f t="shared" si="15"/>
        <v>-8.441631116687609E-3</v>
      </c>
      <c r="E119" s="8">
        <f t="shared" si="16"/>
        <v>-1.0309278350515316E-2</v>
      </c>
    </row>
    <row r="120" spans="1:5" x14ac:dyDescent="0.3">
      <c r="A120" s="6">
        <v>40350</v>
      </c>
      <c r="B120" s="5">
        <v>3996.3798999999999</v>
      </c>
      <c r="C120" s="5">
        <v>85.8</v>
      </c>
      <c r="D120" s="8">
        <f t="shared" si="15"/>
        <v>1.1393494609615473E-2</v>
      </c>
      <c r="E120" s="8">
        <f t="shared" si="16"/>
        <v>-6.9444444444445308E-3</v>
      </c>
    </row>
    <row r="121" spans="1:5" x14ac:dyDescent="0.3">
      <c r="A121" s="6">
        <v>40351</v>
      </c>
      <c r="B121" s="5">
        <v>3910.8600999999999</v>
      </c>
      <c r="C121" s="5">
        <v>85.66</v>
      </c>
      <c r="D121" s="8">
        <f t="shared" si="15"/>
        <v>-2.1399316916792643E-2</v>
      </c>
      <c r="E121" s="8">
        <f t="shared" si="16"/>
        <v>-1.6317016317016764E-3</v>
      </c>
    </row>
    <row r="122" spans="1:5" x14ac:dyDescent="0.3">
      <c r="A122" s="6">
        <v>40352</v>
      </c>
      <c r="B122" s="5">
        <v>3998.6399000000001</v>
      </c>
      <c r="C122" s="5">
        <v>84.81</v>
      </c>
      <c r="D122" s="8">
        <f t="shared" si="15"/>
        <v>2.244513936972603E-2</v>
      </c>
      <c r="E122" s="8">
        <f t="shared" si="16"/>
        <v>-9.922951202428143E-3</v>
      </c>
    </row>
    <row r="123" spans="1:5" x14ac:dyDescent="0.3">
      <c r="A123" s="6">
        <v>40353</v>
      </c>
      <c r="B123" s="5">
        <v>4024.27</v>
      </c>
      <c r="C123" s="5">
        <v>84.25</v>
      </c>
      <c r="D123" s="8">
        <f t="shared" si="15"/>
        <v>6.4097044597588582E-3</v>
      </c>
      <c r="E123" s="8">
        <f t="shared" si="16"/>
        <v>-6.6029949298431756E-3</v>
      </c>
    </row>
    <row r="124" spans="1:5" x14ac:dyDescent="0.3">
      <c r="A124" s="6">
        <v>40354</v>
      </c>
      <c r="B124" s="5">
        <v>4083.3200999999999</v>
      </c>
      <c r="C124" s="5">
        <v>82.61</v>
      </c>
      <c r="D124" s="8">
        <f t="shared" si="15"/>
        <v>1.4673493577717078E-2</v>
      </c>
      <c r="E124" s="8">
        <f t="shared" si="16"/>
        <v>-1.9465875370919927E-2</v>
      </c>
    </row>
    <row r="125" spans="1:5" x14ac:dyDescent="0.3">
      <c r="A125" s="6">
        <v>40358</v>
      </c>
      <c r="B125" s="5">
        <v>3830</v>
      </c>
      <c r="C125" s="5">
        <v>80.59</v>
      </c>
      <c r="D125" s="8">
        <f t="shared" si="15"/>
        <v>-6.2037776563243163E-2</v>
      </c>
      <c r="E125" s="8">
        <f t="shared" si="16"/>
        <v>-2.4452245490860669E-2</v>
      </c>
    </row>
    <row r="126" spans="1:5" x14ac:dyDescent="0.3">
      <c r="A126" s="6">
        <v>40359</v>
      </c>
      <c r="B126" s="5">
        <v>3885</v>
      </c>
      <c r="C126" s="5">
        <v>80.56</v>
      </c>
      <c r="D126" s="8">
        <f t="shared" si="15"/>
        <v>1.4360313315926909E-2</v>
      </c>
      <c r="E126" s="8">
        <f t="shared" si="16"/>
        <v>-3.7225462216161631E-4</v>
      </c>
    </row>
    <row r="127" spans="1:5" x14ac:dyDescent="0.3">
      <c r="A127" s="6">
        <v>40360</v>
      </c>
      <c r="B127" s="5">
        <v>3900</v>
      </c>
      <c r="C127" s="5">
        <v>80.819999999999993</v>
      </c>
      <c r="D127" s="8">
        <f t="shared" si="15"/>
        <v>3.8610038610038533E-3</v>
      </c>
      <c r="E127" s="8">
        <f t="shared" si="16"/>
        <v>3.2274081429988222E-3</v>
      </c>
    </row>
    <row r="128" spans="1:5" x14ac:dyDescent="0.3">
      <c r="A128" s="6">
        <v>40361</v>
      </c>
      <c r="B128" s="5">
        <v>3909.8200999999999</v>
      </c>
      <c r="C128" s="5">
        <v>80.400000000000006</v>
      </c>
      <c r="D128" s="8">
        <f t="shared" si="15"/>
        <v>2.5179743589742731E-3</v>
      </c>
      <c r="E128" s="8">
        <f t="shared" si="16"/>
        <v>-5.1967334818112665E-3</v>
      </c>
    </row>
    <row r="129" spans="1:5" x14ac:dyDescent="0.3">
      <c r="A129" s="6">
        <v>40364</v>
      </c>
      <c r="B129" s="5">
        <v>3900</v>
      </c>
      <c r="C129" s="5">
        <v>79.78</v>
      </c>
      <c r="D129" s="8">
        <f t="shared" si="15"/>
        <v>-2.5116500884528881E-3</v>
      </c>
      <c r="E129" s="8">
        <f t="shared" si="16"/>
        <v>-7.7114427860697221E-3</v>
      </c>
    </row>
    <row r="130" spans="1:5" x14ac:dyDescent="0.3">
      <c r="A130" s="6">
        <v>40365</v>
      </c>
      <c r="B130" s="5">
        <v>3909.6498999999999</v>
      </c>
      <c r="C130" s="5">
        <v>78.75</v>
      </c>
      <c r="D130" s="8">
        <f t="shared" si="15"/>
        <v>2.4743333333332451E-3</v>
      </c>
      <c r="E130" s="8">
        <f t="shared" si="16"/>
        <v>-1.2910503885685598E-2</v>
      </c>
    </row>
    <row r="131" spans="1:5" x14ac:dyDescent="0.3">
      <c r="A131" s="6">
        <v>40366</v>
      </c>
      <c r="B131" s="5">
        <v>3940</v>
      </c>
      <c r="C131" s="5">
        <v>81.290000000000006</v>
      </c>
      <c r="D131" s="8">
        <f t="shared" si="15"/>
        <v>7.7628689975539622E-3</v>
      </c>
      <c r="E131" s="8">
        <f t="shared" si="16"/>
        <v>3.2253968253968424E-2</v>
      </c>
    </row>
    <row r="132" spans="1:5" x14ac:dyDescent="0.3">
      <c r="A132" s="6">
        <v>40367</v>
      </c>
      <c r="B132" s="5">
        <v>3949.48</v>
      </c>
      <c r="C132" s="5">
        <v>82.6</v>
      </c>
      <c r="D132" s="8">
        <f t="shared" ref="D132:D195" si="17">(B132/B131)-1</f>
        <v>2.4060913705583609E-3</v>
      </c>
      <c r="E132" s="8">
        <f t="shared" ref="E132:E195" si="18">(C132/C131)-1</f>
        <v>1.611514331406072E-2</v>
      </c>
    </row>
    <row r="133" spans="1:5" x14ac:dyDescent="0.3">
      <c r="A133" s="6">
        <v>40368</v>
      </c>
      <c r="B133" s="5">
        <v>3999.99</v>
      </c>
      <c r="C133" s="5">
        <v>84.93</v>
      </c>
      <c r="D133" s="8">
        <f t="shared" si="17"/>
        <v>1.2789025390684383E-2</v>
      </c>
      <c r="E133" s="8">
        <f t="shared" si="18"/>
        <v>2.8208232445520842E-2</v>
      </c>
    </row>
    <row r="134" spans="1:5" x14ac:dyDescent="0.3">
      <c r="A134" s="6">
        <v>40371</v>
      </c>
      <c r="B134" s="5">
        <v>4000</v>
      </c>
      <c r="C134" s="5">
        <v>84.27</v>
      </c>
      <c r="D134" s="8">
        <f t="shared" si="17"/>
        <v>2.5000062500168951E-6</v>
      </c>
      <c r="E134" s="8">
        <f t="shared" si="18"/>
        <v>-7.7711056163900505E-3</v>
      </c>
    </row>
    <row r="135" spans="1:5" x14ac:dyDescent="0.3">
      <c r="A135" s="6">
        <v>40372</v>
      </c>
      <c r="B135" s="5">
        <v>3999.99</v>
      </c>
      <c r="C135" s="5">
        <v>86.59</v>
      </c>
      <c r="D135" s="8">
        <f t="shared" si="17"/>
        <v>-2.500000000016378E-6</v>
      </c>
      <c r="E135" s="8">
        <f t="shared" si="18"/>
        <v>2.7530556544440588E-2</v>
      </c>
    </row>
    <row r="136" spans="1:5" x14ac:dyDescent="0.3">
      <c r="A136" s="6">
        <v>40373</v>
      </c>
      <c r="B136" s="5">
        <v>3997.8200999999999</v>
      </c>
      <c r="C136" s="5">
        <v>90.91</v>
      </c>
      <c r="D136" s="8">
        <f t="shared" si="17"/>
        <v>-5.4247635619086854E-4</v>
      </c>
      <c r="E136" s="8">
        <f t="shared" si="18"/>
        <v>4.9890287562074143E-2</v>
      </c>
    </row>
    <row r="137" spans="1:5" x14ac:dyDescent="0.3">
      <c r="A137" s="6">
        <v>40374</v>
      </c>
      <c r="B137" s="5">
        <v>3999.77</v>
      </c>
      <c r="C137" s="5">
        <v>91.6</v>
      </c>
      <c r="D137" s="8">
        <f t="shared" si="17"/>
        <v>4.8774080654601093E-4</v>
      </c>
      <c r="E137" s="8">
        <f t="shared" si="18"/>
        <v>7.5899241007588714E-3</v>
      </c>
    </row>
    <row r="138" spans="1:5" x14ac:dyDescent="0.3">
      <c r="A138" s="6">
        <v>40375</v>
      </c>
      <c r="B138" s="5">
        <v>3982.97</v>
      </c>
      <c r="C138" s="5">
        <v>91.6</v>
      </c>
      <c r="D138" s="8">
        <f t="shared" si="17"/>
        <v>-4.200241513887093E-3</v>
      </c>
      <c r="E138" s="8">
        <f t="shared" si="18"/>
        <v>0</v>
      </c>
    </row>
    <row r="139" spans="1:5" x14ac:dyDescent="0.3">
      <c r="A139" s="6">
        <v>40378</v>
      </c>
      <c r="B139" s="5">
        <v>3947.3400999999999</v>
      </c>
      <c r="C139" s="5">
        <v>91.75</v>
      </c>
      <c r="D139" s="8">
        <f t="shared" si="17"/>
        <v>-8.945560724785806E-3</v>
      </c>
      <c r="E139" s="8">
        <f t="shared" si="18"/>
        <v>1.6375545851528006E-3</v>
      </c>
    </row>
    <row r="140" spans="1:5" x14ac:dyDescent="0.3">
      <c r="A140" s="6">
        <v>40379</v>
      </c>
      <c r="B140" s="5">
        <v>3977.3301000000001</v>
      </c>
      <c r="C140" s="5">
        <v>90.45</v>
      </c>
      <c r="D140" s="8">
        <f t="shared" si="17"/>
        <v>7.5975211763485984E-3</v>
      </c>
      <c r="E140" s="8">
        <f t="shared" si="18"/>
        <v>-1.416893732970026E-2</v>
      </c>
    </row>
    <row r="141" spans="1:5" x14ac:dyDescent="0.3">
      <c r="A141" s="6">
        <v>40380</v>
      </c>
      <c r="B141" s="5">
        <v>3952.3301000000001</v>
      </c>
      <c r="C141" s="5">
        <v>90.06</v>
      </c>
      <c r="D141" s="8">
        <f t="shared" si="17"/>
        <v>-6.2856236146956457E-3</v>
      </c>
      <c r="E141" s="8">
        <f t="shared" si="18"/>
        <v>-4.3117744610281505E-3</v>
      </c>
    </row>
    <row r="142" spans="1:5" x14ac:dyDescent="0.3">
      <c r="A142" s="6">
        <v>40381</v>
      </c>
      <c r="B142" s="5">
        <v>3963.25</v>
      </c>
      <c r="C142" s="5">
        <v>89.03</v>
      </c>
      <c r="D142" s="8">
        <f t="shared" si="17"/>
        <v>2.7629018132873107E-3</v>
      </c>
      <c r="E142" s="8">
        <f t="shared" si="18"/>
        <v>-1.143681989784584E-2</v>
      </c>
    </row>
    <row r="143" spans="1:5" x14ac:dyDescent="0.3">
      <c r="A143" s="6">
        <v>40382</v>
      </c>
      <c r="B143" s="5">
        <v>4008</v>
      </c>
      <c r="C143" s="5">
        <v>88.85</v>
      </c>
      <c r="D143" s="8">
        <f t="shared" si="17"/>
        <v>1.1291238251434965E-2</v>
      </c>
      <c r="E143" s="8">
        <f t="shared" si="18"/>
        <v>-2.0217904077277637E-3</v>
      </c>
    </row>
    <row r="144" spans="1:5" x14ac:dyDescent="0.3">
      <c r="A144" s="6">
        <v>40385</v>
      </c>
      <c r="B144" s="5">
        <v>3952</v>
      </c>
      <c r="C144" s="5">
        <v>87.78</v>
      </c>
      <c r="D144" s="8">
        <f t="shared" si="17"/>
        <v>-1.3972055888223589E-2</v>
      </c>
      <c r="E144" s="8">
        <f t="shared" si="18"/>
        <v>-1.2042768711311158E-2</v>
      </c>
    </row>
    <row r="145" spans="1:5" x14ac:dyDescent="0.3">
      <c r="A145" s="6">
        <v>40386</v>
      </c>
      <c r="B145" s="5">
        <v>3996.5</v>
      </c>
      <c r="C145" s="5">
        <v>88.31</v>
      </c>
      <c r="D145" s="8">
        <f t="shared" si="17"/>
        <v>1.1260121457489891E-2</v>
      </c>
      <c r="E145" s="8">
        <f t="shared" si="18"/>
        <v>6.0378218272956197E-3</v>
      </c>
    </row>
    <row r="146" spans="1:5" x14ac:dyDescent="0.3">
      <c r="A146" s="6">
        <v>40387</v>
      </c>
      <c r="B146" s="5">
        <v>3961.1698999999999</v>
      </c>
      <c r="C146" s="5">
        <v>91.06</v>
      </c>
      <c r="D146" s="8">
        <f t="shared" si="17"/>
        <v>-8.840260227699237E-3</v>
      </c>
      <c r="E146" s="8">
        <f t="shared" si="18"/>
        <v>3.1140301211640908E-2</v>
      </c>
    </row>
    <row r="147" spans="1:5" x14ac:dyDescent="0.3">
      <c r="A147" s="6">
        <v>40388</v>
      </c>
      <c r="B147" s="5">
        <v>3999.46</v>
      </c>
      <c r="C147" s="5">
        <v>89.97</v>
      </c>
      <c r="D147" s="8">
        <f t="shared" si="17"/>
        <v>9.6663614453902369E-3</v>
      </c>
      <c r="E147" s="8">
        <f t="shared" si="18"/>
        <v>-1.1970129584889078E-2</v>
      </c>
    </row>
    <row r="148" spans="1:5" x14ac:dyDescent="0.3">
      <c r="A148" s="6">
        <v>40389</v>
      </c>
      <c r="B148" s="5">
        <v>3991.6799000000001</v>
      </c>
      <c r="C148" s="5">
        <v>91.5</v>
      </c>
      <c r="D148" s="8">
        <f t="shared" si="17"/>
        <v>-1.9452876138278397E-3</v>
      </c>
      <c r="E148" s="8">
        <f t="shared" si="18"/>
        <v>1.700566855618546E-2</v>
      </c>
    </row>
    <row r="149" spans="1:5" x14ac:dyDescent="0.3">
      <c r="A149" s="6">
        <v>40392</v>
      </c>
      <c r="B149" s="5">
        <v>3965.25</v>
      </c>
      <c r="C149" s="5">
        <v>88.98</v>
      </c>
      <c r="D149" s="8">
        <f t="shared" si="17"/>
        <v>-6.6212473600401056E-3</v>
      </c>
      <c r="E149" s="8">
        <f t="shared" si="18"/>
        <v>-2.7540983606557323E-2</v>
      </c>
    </row>
    <row r="150" spans="1:5" x14ac:dyDescent="0.3">
      <c r="A150" s="6">
        <v>40393</v>
      </c>
      <c r="B150" s="5">
        <v>4000</v>
      </c>
      <c r="C150" s="5">
        <v>88.81</v>
      </c>
      <c r="D150" s="8">
        <f t="shared" si="17"/>
        <v>8.7636340709917881E-3</v>
      </c>
      <c r="E150" s="8">
        <f t="shared" si="18"/>
        <v>-1.9105416947629017E-3</v>
      </c>
    </row>
    <row r="151" spans="1:5" x14ac:dyDescent="0.3">
      <c r="A151" s="6">
        <v>40394</v>
      </c>
      <c r="B151" s="5">
        <v>3987.52</v>
      </c>
      <c r="C151" s="5">
        <v>92.02</v>
      </c>
      <c r="D151" s="8">
        <f t="shared" si="17"/>
        <v>-3.1200000000000117E-3</v>
      </c>
      <c r="E151" s="8">
        <f t="shared" si="18"/>
        <v>3.6144578313253017E-2</v>
      </c>
    </row>
    <row r="152" spans="1:5" x14ac:dyDescent="0.3">
      <c r="A152" s="6">
        <v>40395</v>
      </c>
      <c r="B152" s="5">
        <v>3999.7</v>
      </c>
      <c r="C152" s="5">
        <v>89.29</v>
      </c>
      <c r="D152" s="8">
        <f t="shared" si="17"/>
        <v>3.0545301340181297E-3</v>
      </c>
      <c r="E152" s="8">
        <f t="shared" si="18"/>
        <v>-2.9667463594870602E-2</v>
      </c>
    </row>
    <row r="153" spans="1:5" x14ac:dyDescent="0.3">
      <c r="A153" s="6">
        <v>40396</v>
      </c>
      <c r="B153" s="5">
        <v>3958.1298999999999</v>
      </c>
      <c r="C153" s="5">
        <v>86.98</v>
      </c>
      <c r="D153" s="8">
        <f t="shared" si="17"/>
        <v>-1.0393304497837264E-2</v>
      </c>
      <c r="E153" s="8">
        <f t="shared" si="18"/>
        <v>-2.5870758203606292E-2</v>
      </c>
    </row>
    <row r="154" spans="1:5" x14ac:dyDescent="0.3">
      <c r="A154" s="6">
        <v>40399</v>
      </c>
      <c r="B154" s="5">
        <v>3960.3400999999999</v>
      </c>
      <c r="C154" s="5">
        <v>82.81</v>
      </c>
      <c r="D154" s="8">
        <f t="shared" si="17"/>
        <v>5.5839501376642176E-4</v>
      </c>
      <c r="E154" s="8">
        <f t="shared" si="18"/>
        <v>-4.7942055644975889E-2</v>
      </c>
    </row>
    <row r="155" spans="1:5" x14ac:dyDescent="0.3">
      <c r="A155" s="6">
        <v>40400</v>
      </c>
      <c r="B155" s="5">
        <v>3932.6298999999999</v>
      </c>
      <c r="C155" s="5">
        <v>81.08</v>
      </c>
      <c r="D155" s="8">
        <f t="shared" si="17"/>
        <v>-6.9969243298069195E-3</v>
      </c>
      <c r="E155" s="8">
        <f t="shared" si="18"/>
        <v>-2.089119671537254E-2</v>
      </c>
    </row>
    <row r="156" spans="1:5" x14ac:dyDescent="0.3">
      <c r="A156" s="6">
        <v>40401</v>
      </c>
      <c r="B156" s="5">
        <v>3901.75</v>
      </c>
      <c r="C156" s="5">
        <v>82.8</v>
      </c>
      <c r="D156" s="8">
        <f t="shared" si="17"/>
        <v>-7.852226318067701E-3</v>
      </c>
      <c r="E156" s="8">
        <f t="shared" si="18"/>
        <v>2.1213616181549044E-2</v>
      </c>
    </row>
    <row r="157" spans="1:5" x14ac:dyDescent="0.3">
      <c r="A157" s="6">
        <v>40402</v>
      </c>
      <c r="B157" s="5">
        <v>3939.49</v>
      </c>
      <c r="C157" s="5">
        <v>81.53</v>
      </c>
      <c r="D157" s="8">
        <f t="shared" si="17"/>
        <v>9.6725828154033966E-3</v>
      </c>
      <c r="E157" s="8">
        <f t="shared" si="18"/>
        <v>-1.5338164251207709E-2</v>
      </c>
    </row>
    <row r="158" spans="1:5" x14ac:dyDescent="0.3">
      <c r="A158" s="6">
        <v>40403</v>
      </c>
      <c r="B158" s="5">
        <v>3900</v>
      </c>
      <c r="C158" s="5">
        <v>81.39</v>
      </c>
      <c r="D158" s="8">
        <f t="shared" si="17"/>
        <v>-1.0024140180581731E-2</v>
      </c>
      <c r="E158" s="8">
        <f t="shared" si="18"/>
        <v>-1.717159327854767E-3</v>
      </c>
    </row>
    <row r="159" spans="1:5" x14ac:dyDescent="0.3">
      <c r="A159" s="6">
        <v>40406</v>
      </c>
      <c r="B159" s="5">
        <v>3838.3400999999999</v>
      </c>
      <c r="C159" s="5">
        <v>77.33</v>
      </c>
      <c r="D159" s="8">
        <f t="shared" si="17"/>
        <v>-1.5810230769230826E-2</v>
      </c>
      <c r="E159" s="8">
        <f t="shared" si="18"/>
        <v>-4.9883278043985735E-2</v>
      </c>
    </row>
    <row r="160" spans="1:5" x14ac:dyDescent="0.3">
      <c r="A160" s="6">
        <v>40407</v>
      </c>
      <c r="B160" s="5">
        <v>3813.3301000000001</v>
      </c>
      <c r="C160" s="5">
        <v>76.12</v>
      </c>
      <c r="D160" s="8">
        <f t="shared" si="17"/>
        <v>-6.5158374058619239E-3</v>
      </c>
      <c r="E160" s="8">
        <f t="shared" si="18"/>
        <v>-1.5647226173541862E-2</v>
      </c>
    </row>
    <row r="161" spans="1:5" x14ac:dyDescent="0.3">
      <c r="A161" s="6">
        <v>40408</v>
      </c>
      <c r="B161" s="5">
        <v>3874.29</v>
      </c>
      <c r="C161" s="5">
        <v>76.38</v>
      </c>
      <c r="D161" s="8">
        <f t="shared" si="17"/>
        <v>1.5986001316801834E-2</v>
      </c>
      <c r="E161" s="8">
        <f t="shared" si="18"/>
        <v>3.4156594850234256E-3</v>
      </c>
    </row>
    <row r="162" spans="1:5" x14ac:dyDescent="0.3">
      <c r="A162" s="6">
        <v>40409</v>
      </c>
      <c r="B162" s="5">
        <v>3922.3798999999999</v>
      </c>
      <c r="C162" s="5">
        <v>80.040000000000006</v>
      </c>
      <c r="D162" s="8">
        <f t="shared" si="17"/>
        <v>1.2412571077539347E-2</v>
      </c>
      <c r="E162" s="8">
        <f t="shared" si="18"/>
        <v>4.7918303220738645E-2</v>
      </c>
    </row>
    <row r="163" spans="1:5" x14ac:dyDescent="0.3">
      <c r="A163" s="6">
        <v>40410</v>
      </c>
      <c r="B163" s="5">
        <v>3970.5900999999999</v>
      </c>
      <c r="C163" s="5">
        <v>82.12</v>
      </c>
      <c r="D163" s="8">
        <f t="shared" si="17"/>
        <v>1.2291058293460999E-2</v>
      </c>
      <c r="E163" s="8">
        <f t="shared" si="18"/>
        <v>2.5987006496751563E-2</v>
      </c>
    </row>
    <row r="164" spans="1:5" x14ac:dyDescent="0.3">
      <c r="A164" s="6">
        <v>40413</v>
      </c>
      <c r="B164" s="5">
        <v>3970</v>
      </c>
      <c r="C164" s="5">
        <v>82.93</v>
      </c>
      <c r="D164" s="8">
        <f t="shared" si="17"/>
        <v>-1.4861770798246798E-4</v>
      </c>
      <c r="E164" s="8">
        <f t="shared" si="18"/>
        <v>9.8636142230881241E-3</v>
      </c>
    </row>
    <row r="165" spans="1:5" x14ac:dyDescent="0.3">
      <c r="A165" s="6">
        <v>40414</v>
      </c>
      <c r="B165" s="5">
        <v>3952.72</v>
      </c>
      <c r="C165" s="5">
        <v>80.239999999999995</v>
      </c>
      <c r="D165" s="8">
        <f t="shared" si="17"/>
        <v>-4.3526448362720682E-3</v>
      </c>
      <c r="E165" s="8">
        <f t="shared" si="18"/>
        <v>-3.243699505607156E-2</v>
      </c>
    </row>
    <row r="166" spans="1:5" x14ac:dyDescent="0.3">
      <c r="A166" s="6">
        <v>40415</v>
      </c>
      <c r="B166" s="5">
        <v>3993.0700999999999</v>
      </c>
      <c r="C166" s="5">
        <v>77.510000000000005</v>
      </c>
      <c r="D166" s="8">
        <f t="shared" si="17"/>
        <v>1.0208185755631538E-2</v>
      </c>
      <c r="E166" s="8">
        <f t="shared" si="18"/>
        <v>-3.402293120638078E-2</v>
      </c>
    </row>
    <row r="167" spans="1:5" x14ac:dyDescent="0.3">
      <c r="A167" s="6">
        <v>40416</v>
      </c>
      <c r="B167" s="5">
        <v>3999.03</v>
      </c>
      <c r="C167" s="5">
        <v>79.86</v>
      </c>
      <c r="D167" s="8">
        <f t="shared" si="17"/>
        <v>1.4925608243141486E-3</v>
      </c>
      <c r="E167" s="8">
        <f t="shared" si="18"/>
        <v>3.0318668558895645E-2</v>
      </c>
    </row>
    <row r="168" spans="1:5" x14ac:dyDescent="0.3">
      <c r="A168" s="6">
        <v>40417</v>
      </c>
      <c r="B168" s="5">
        <v>4042.3301000000001</v>
      </c>
      <c r="C168" s="5">
        <v>79.849999999999994</v>
      </c>
      <c r="D168" s="8">
        <f t="shared" si="17"/>
        <v>1.082765070529601E-2</v>
      </c>
      <c r="E168" s="8">
        <f t="shared" si="18"/>
        <v>-1.2521913348362279E-4</v>
      </c>
    </row>
    <row r="169" spans="1:5" x14ac:dyDescent="0.3">
      <c r="A169" s="6">
        <v>40420</v>
      </c>
      <c r="B169" s="5">
        <v>3971.8</v>
      </c>
      <c r="C169" s="5">
        <v>77.44</v>
      </c>
      <c r="D169" s="8">
        <f t="shared" si="17"/>
        <v>-1.7447882348846311E-2</v>
      </c>
      <c r="E169" s="8">
        <f t="shared" si="18"/>
        <v>-3.0181590482153964E-2</v>
      </c>
    </row>
    <row r="170" spans="1:5" x14ac:dyDescent="0.3">
      <c r="A170" s="6">
        <v>40421</v>
      </c>
      <c r="B170" s="5">
        <v>3930.04</v>
      </c>
      <c r="C170" s="5">
        <v>80.180000000000007</v>
      </c>
      <c r="D170" s="8">
        <f t="shared" si="17"/>
        <v>-1.051412457827694E-2</v>
      </c>
      <c r="E170" s="8">
        <f t="shared" si="18"/>
        <v>3.5382231404958775E-2</v>
      </c>
    </row>
    <row r="171" spans="1:5" x14ac:dyDescent="0.3">
      <c r="A171" s="6">
        <v>40422</v>
      </c>
      <c r="B171" s="5">
        <v>3984.3301000000001</v>
      </c>
      <c r="C171" s="5">
        <v>79.02</v>
      </c>
      <c r="D171" s="8">
        <f t="shared" si="17"/>
        <v>1.38141342072855E-2</v>
      </c>
      <c r="E171" s="8">
        <f t="shared" si="18"/>
        <v>-1.4467448241456848E-2</v>
      </c>
    </row>
    <row r="172" spans="1:5" x14ac:dyDescent="0.3">
      <c r="A172" s="6">
        <v>40423</v>
      </c>
      <c r="B172" s="5">
        <v>4014.75</v>
      </c>
      <c r="C172" s="5">
        <v>81.23</v>
      </c>
      <c r="D172" s="8">
        <f t="shared" si="17"/>
        <v>7.6348844690352635E-3</v>
      </c>
      <c r="E172" s="8">
        <f t="shared" si="18"/>
        <v>2.7967603138446151E-2</v>
      </c>
    </row>
    <row r="173" spans="1:5" x14ac:dyDescent="0.3">
      <c r="A173" s="6">
        <v>40424</v>
      </c>
      <c r="B173" s="5">
        <v>3996.2</v>
      </c>
      <c r="C173" s="5">
        <v>80.22</v>
      </c>
      <c r="D173" s="8">
        <f t="shared" si="17"/>
        <v>-4.6204620462046986E-3</v>
      </c>
      <c r="E173" s="8">
        <f t="shared" si="18"/>
        <v>-1.2433829865813206E-2</v>
      </c>
    </row>
    <row r="174" spans="1:5" x14ac:dyDescent="0.3">
      <c r="A174" s="6">
        <v>40427</v>
      </c>
      <c r="B174" s="5">
        <v>3931.6100999999999</v>
      </c>
      <c r="C174" s="5">
        <v>79.739999999999995</v>
      </c>
      <c r="D174" s="8">
        <f t="shared" si="17"/>
        <v>-1.6162829688203817E-2</v>
      </c>
      <c r="E174" s="8">
        <f t="shared" si="18"/>
        <v>-5.9835452505609954E-3</v>
      </c>
    </row>
    <row r="175" spans="1:5" x14ac:dyDescent="0.3">
      <c r="A175" s="6">
        <v>40428</v>
      </c>
      <c r="B175" s="5">
        <v>3959.71</v>
      </c>
      <c r="C175" s="5">
        <v>80.069999999999993</v>
      </c>
      <c r="D175" s="8">
        <f t="shared" si="17"/>
        <v>7.1471736223285287E-3</v>
      </c>
      <c r="E175" s="8">
        <f t="shared" si="18"/>
        <v>4.1384499623777771E-3</v>
      </c>
    </row>
    <row r="176" spans="1:5" x14ac:dyDescent="0.3">
      <c r="A176" s="6">
        <v>40429</v>
      </c>
      <c r="B176" s="5">
        <v>3991.73</v>
      </c>
      <c r="C176" s="5">
        <v>81.650000000000006</v>
      </c>
      <c r="D176" s="8">
        <f t="shared" si="17"/>
        <v>8.0864507754354609E-3</v>
      </c>
      <c r="E176" s="8">
        <f t="shared" si="18"/>
        <v>1.9732733857874551E-2</v>
      </c>
    </row>
    <row r="177" spans="1:5" x14ac:dyDescent="0.3">
      <c r="A177" s="6">
        <v>40430</v>
      </c>
      <c r="B177" s="5">
        <v>4039.99</v>
      </c>
      <c r="C177" s="5">
        <v>81.11</v>
      </c>
      <c r="D177" s="8">
        <f t="shared" si="17"/>
        <v>1.2089996066868114E-2</v>
      </c>
      <c r="E177" s="8">
        <f t="shared" si="18"/>
        <v>-6.6135946111451904E-3</v>
      </c>
    </row>
    <row r="178" spans="1:5" x14ac:dyDescent="0.3">
      <c r="A178" s="6">
        <v>40435</v>
      </c>
      <c r="B178" s="5">
        <v>4138.8301000000001</v>
      </c>
      <c r="C178" s="5">
        <v>83</v>
      </c>
      <c r="D178" s="8">
        <f t="shared" si="17"/>
        <v>2.4465431845128505E-2</v>
      </c>
      <c r="E178" s="8">
        <f t="shared" si="18"/>
        <v>2.3301689064233688E-2</v>
      </c>
    </row>
    <row r="179" spans="1:5" x14ac:dyDescent="0.3">
      <c r="A179" s="6">
        <v>40436</v>
      </c>
      <c r="B179" s="5">
        <v>4068.5601000000001</v>
      </c>
      <c r="C179" s="5">
        <v>81.52</v>
      </c>
      <c r="D179" s="8">
        <f t="shared" si="17"/>
        <v>-1.69782277363838E-2</v>
      </c>
      <c r="E179" s="8">
        <f t="shared" si="18"/>
        <v>-1.7831325301204903E-2</v>
      </c>
    </row>
    <row r="180" spans="1:5" x14ac:dyDescent="0.3">
      <c r="A180" s="6">
        <v>40437</v>
      </c>
      <c r="B180" s="5">
        <v>4071</v>
      </c>
      <c r="C180" s="5">
        <v>81.510000000000005</v>
      </c>
      <c r="D180" s="8">
        <f t="shared" si="17"/>
        <v>5.9969619227207005E-4</v>
      </c>
      <c r="E180" s="8">
        <f t="shared" si="18"/>
        <v>-1.2266928361126528E-4</v>
      </c>
    </row>
    <row r="181" spans="1:5" x14ac:dyDescent="0.3">
      <c r="A181" s="6">
        <v>40438</v>
      </c>
      <c r="B181" s="5">
        <v>4048.26</v>
      </c>
      <c r="C181" s="5">
        <v>85.52</v>
      </c>
      <c r="D181" s="8">
        <f t="shared" si="17"/>
        <v>-5.5858511422254287E-3</v>
      </c>
      <c r="E181" s="8">
        <f t="shared" si="18"/>
        <v>4.9196417617470178E-2</v>
      </c>
    </row>
    <row r="182" spans="1:5" x14ac:dyDescent="0.3">
      <c r="A182" s="6">
        <v>40441</v>
      </c>
      <c r="B182" s="5">
        <v>4000</v>
      </c>
      <c r="C182" s="5">
        <v>85.43</v>
      </c>
      <c r="D182" s="8">
        <f t="shared" si="17"/>
        <v>-1.192117107102808E-2</v>
      </c>
      <c r="E182" s="8">
        <f t="shared" si="18"/>
        <v>-1.0523854069222072E-3</v>
      </c>
    </row>
    <row r="183" spans="1:5" x14ac:dyDescent="0.3">
      <c r="A183" s="6">
        <v>40442</v>
      </c>
      <c r="B183" s="5">
        <v>3972</v>
      </c>
      <c r="C183" s="5">
        <v>84</v>
      </c>
      <c r="D183" s="8">
        <f t="shared" si="17"/>
        <v>-7.0000000000000062E-3</v>
      </c>
      <c r="E183" s="8">
        <f t="shared" si="18"/>
        <v>-1.6738850520894411E-2</v>
      </c>
    </row>
    <row r="184" spans="1:5" x14ac:dyDescent="0.3">
      <c r="A184" s="6">
        <v>40443</v>
      </c>
      <c r="B184" s="5">
        <v>4000</v>
      </c>
      <c r="C184" s="5">
        <v>83.62</v>
      </c>
      <c r="D184" s="8">
        <f t="shared" si="17"/>
        <v>7.0493454179254567E-3</v>
      </c>
      <c r="E184" s="8">
        <f t="shared" si="18"/>
        <v>-4.5238095238094855E-3</v>
      </c>
    </row>
    <row r="185" spans="1:5" x14ac:dyDescent="0.3">
      <c r="A185" s="6">
        <v>40444</v>
      </c>
      <c r="B185" s="5">
        <v>3981</v>
      </c>
      <c r="C185" s="5">
        <v>81.93</v>
      </c>
      <c r="D185" s="8">
        <f t="shared" si="17"/>
        <v>-4.750000000000032E-3</v>
      </c>
      <c r="E185" s="8">
        <f t="shared" si="18"/>
        <v>-2.0210475962688323E-2</v>
      </c>
    </row>
    <row r="186" spans="1:5" x14ac:dyDescent="0.3">
      <c r="A186" s="6">
        <v>40445</v>
      </c>
      <c r="B186" s="5">
        <v>3998.98</v>
      </c>
      <c r="C186" s="5">
        <v>81.819999999999993</v>
      </c>
      <c r="D186" s="8">
        <f t="shared" si="17"/>
        <v>4.5164531524741758E-3</v>
      </c>
      <c r="E186" s="8">
        <f t="shared" si="18"/>
        <v>-1.3426095447335307E-3</v>
      </c>
    </row>
    <row r="187" spans="1:5" x14ac:dyDescent="0.3">
      <c r="A187" s="6">
        <v>40448</v>
      </c>
      <c r="B187" s="5">
        <v>3990</v>
      </c>
      <c r="C187" s="5">
        <v>81.66</v>
      </c>
      <c r="D187" s="8">
        <f t="shared" si="17"/>
        <v>-2.2455726210183213E-3</v>
      </c>
      <c r="E187" s="8">
        <f t="shared" si="18"/>
        <v>-1.9555120997311048E-3</v>
      </c>
    </row>
    <row r="188" spans="1:5" x14ac:dyDescent="0.3">
      <c r="A188" s="6">
        <v>40449</v>
      </c>
      <c r="B188" s="5">
        <v>4028.55</v>
      </c>
      <c r="C188" s="5">
        <v>81.95</v>
      </c>
      <c r="D188" s="8">
        <f t="shared" si="17"/>
        <v>9.6616541353384822E-3</v>
      </c>
      <c r="E188" s="8">
        <f t="shared" si="18"/>
        <v>3.5513103110458299E-3</v>
      </c>
    </row>
    <row r="189" spans="1:5" x14ac:dyDescent="0.3">
      <c r="A189" s="6">
        <v>40451</v>
      </c>
      <c r="B189" s="5">
        <v>4024.95</v>
      </c>
      <c r="C189" s="5">
        <v>79.48</v>
      </c>
      <c r="D189" s="8">
        <f t="shared" si="17"/>
        <v>-8.9362177458396364E-4</v>
      </c>
      <c r="E189" s="8">
        <f t="shared" si="18"/>
        <v>-3.0140329469188543E-2</v>
      </c>
    </row>
    <row r="190" spans="1:5" x14ac:dyDescent="0.3">
      <c r="A190" s="6">
        <v>40455</v>
      </c>
      <c r="B190" s="5">
        <v>4019</v>
      </c>
      <c r="C190" s="5">
        <v>80.900000000000006</v>
      </c>
      <c r="D190" s="8">
        <f t="shared" si="17"/>
        <v>-1.4782792332823647E-3</v>
      </c>
      <c r="E190" s="8">
        <f t="shared" si="18"/>
        <v>1.7866129843985945E-2</v>
      </c>
    </row>
    <row r="191" spans="1:5" x14ac:dyDescent="0.3">
      <c r="A191" s="6">
        <v>40456</v>
      </c>
      <c r="B191" s="5">
        <v>4000</v>
      </c>
      <c r="C191" s="5">
        <v>79.92</v>
      </c>
      <c r="D191" s="8">
        <f t="shared" si="17"/>
        <v>-4.7275441652152583E-3</v>
      </c>
      <c r="E191" s="8">
        <f t="shared" si="18"/>
        <v>-1.2113720642768944E-2</v>
      </c>
    </row>
    <row r="192" spans="1:5" x14ac:dyDescent="0.3">
      <c r="A192" s="6">
        <v>40457</v>
      </c>
      <c r="B192" s="5">
        <v>3950</v>
      </c>
      <c r="C192" s="5">
        <v>80.849999999999994</v>
      </c>
      <c r="D192" s="8">
        <f t="shared" si="17"/>
        <v>-1.2499999999999956E-2</v>
      </c>
      <c r="E192" s="8">
        <f t="shared" si="18"/>
        <v>1.1636636636636499E-2</v>
      </c>
    </row>
    <row r="193" spans="1:5" x14ac:dyDescent="0.3">
      <c r="A193" s="6">
        <v>40458</v>
      </c>
      <c r="B193" s="5">
        <v>3961</v>
      </c>
      <c r="C193" s="5">
        <v>82.1</v>
      </c>
      <c r="D193" s="8">
        <f t="shared" si="17"/>
        <v>2.7848101265823821E-3</v>
      </c>
      <c r="E193" s="8">
        <f t="shared" si="18"/>
        <v>1.5460729746443969E-2</v>
      </c>
    </row>
    <row r="194" spans="1:5" x14ac:dyDescent="0.3">
      <c r="A194" s="6">
        <v>40459</v>
      </c>
      <c r="B194" s="5">
        <v>3990</v>
      </c>
      <c r="C194" s="5">
        <v>86.13</v>
      </c>
      <c r="D194" s="8">
        <f t="shared" si="17"/>
        <v>7.3213834890180074E-3</v>
      </c>
      <c r="E194" s="8">
        <f t="shared" si="18"/>
        <v>4.9086479902557878E-2</v>
      </c>
    </row>
    <row r="195" spans="1:5" x14ac:dyDescent="0.3">
      <c r="A195" s="6">
        <v>40463</v>
      </c>
      <c r="B195" s="5">
        <v>3940</v>
      </c>
      <c r="C195" s="5">
        <v>86.85</v>
      </c>
      <c r="D195" s="8">
        <f t="shared" si="17"/>
        <v>-1.253132832080206E-2</v>
      </c>
      <c r="E195" s="8">
        <f t="shared" si="18"/>
        <v>8.3594566353186739E-3</v>
      </c>
    </row>
    <row r="196" spans="1:5" x14ac:dyDescent="0.3">
      <c r="A196" s="6">
        <v>40464</v>
      </c>
      <c r="B196" s="5">
        <v>4002</v>
      </c>
      <c r="C196" s="5">
        <v>87.85</v>
      </c>
      <c r="D196" s="8">
        <f t="shared" ref="D196:D247" si="19">(B196/B195)-1</f>
        <v>1.5736040609137136E-2</v>
      </c>
      <c r="E196" s="8">
        <f t="shared" ref="E196:E247" si="20">(C196/C195)-1</f>
        <v>1.1514104778353573E-2</v>
      </c>
    </row>
    <row r="197" spans="1:5" x14ac:dyDescent="0.3">
      <c r="A197" s="6">
        <v>40465</v>
      </c>
      <c r="B197" s="5">
        <v>4075</v>
      </c>
      <c r="C197" s="5">
        <v>91.02</v>
      </c>
      <c r="D197" s="8">
        <f t="shared" si="19"/>
        <v>1.8240879560219803E-2</v>
      </c>
      <c r="E197" s="8">
        <f t="shared" si="20"/>
        <v>3.6084234490608935E-2</v>
      </c>
    </row>
    <row r="198" spans="1:5" x14ac:dyDescent="0.3">
      <c r="A198" s="6">
        <v>40466</v>
      </c>
      <c r="B198" s="5">
        <v>4064.99</v>
      </c>
      <c r="C198" s="5">
        <v>90.5</v>
      </c>
      <c r="D198" s="8">
        <f t="shared" si="19"/>
        <v>-2.4564417177914688E-3</v>
      </c>
      <c r="E198" s="8">
        <f t="shared" si="20"/>
        <v>-5.7130301032739528E-3</v>
      </c>
    </row>
    <row r="199" spans="1:5" x14ac:dyDescent="0.3">
      <c r="A199" s="6">
        <v>40469</v>
      </c>
      <c r="B199" s="5">
        <v>4000</v>
      </c>
      <c r="C199" s="5">
        <v>91.3</v>
      </c>
      <c r="D199" s="8">
        <f t="shared" si="19"/>
        <v>-1.5987739207230511E-2</v>
      </c>
      <c r="E199" s="8">
        <f t="shared" si="20"/>
        <v>8.8397790055247949E-3</v>
      </c>
    </row>
    <row r="200" spans="1:5" x14ac:dyDescent="0.3">
      <c r="A200" s="6">
        <v>40470</v>
      </c>
      <c r="B200" s="5">
        <v>4000</v>
      </c>
      <c r="C200" s="5">
        <v>94.37</v>
      </c>
      <c r="D200" s="8">
        <f t="shared" si="19"/>
        <v>0</v>
      </c>
      <c r="E200" s="8">
        <f t="shared" si="20"/>
        <v>3.3625410733844507E-2</v>
      </c>
    </row>
    <row r="201" spans="1:5" x14ac:dyDescent="0.3">
      <c r="A201" s="6">
        <v>40471</v>
      </c>
      <c r="B201" s="5">
        <v>4089.98</v>
      </c>
      <c r="C201" s="5">
        <v>93.7</v>
      </c>
      <c r="D201" s="8">
        <f t="shared" si="19"/>
        <v>2.2494999999999932E-2</v>
      </c>
      <c r="E201" s="8">
        <f t="shared" si="20"/>
        <v>-7.0997138921267133E-3</v>
      </c>
    </row>
    <row r="202" spans="1:5" x14ac:dyDescent="0.3">
      <c r="A202" s="6">
        <v>40472</v>
      </c>
      <c r="B202" s="5">
        <v>4000.1001000000001</v>
      </c>
      <c r="C202" s="5">
        <v>97.1</v>
      </c>
      <c r="D202" s="8">
        <f t="shared" si="19"/>
        <v>-2.1975633132680361E-2</v>
      </c>
      <c r="E202" s="8">
        <f t="shared" si="20"/>
        <v>3.6286019210245435E-2</v>
      </c>
    </row>
    <row r="203" spans="1:5" x14ac:dyDescent="0.3">
      <c r="A203" s="6">
        <v>40473</v>
      </c>
      <c r="B203" s="5">
        <v>4000</v>
      </c>
      <c r="C203" s="5">
        <v>99.49</v>
      </c>
      <c r="D203" s="8">
        <f t="shared" si="19"/>
        <v>-2.502437376505906E-5</v>
      </c>
      <c r="E203" s="8">
        <f t="shared" si="20"/>
        <v>2.4613800205973257E-2</v>
      </c>
    </row>
    <row r="204" spans="1:5" x14ac:dyDescent="0.3">
      <c r="A204" s="6">
        <v>40476</v>
      </c>
      <c r="B204" s="5">
        <v>4020</v>
      </c>
      <c r="C204" s="5">
        <v>102.37</v>
      </c>
      <c r="D204" s="8">
        <f t="shared" si="19"/>
        <v>4.9999999999998934E-3</v>
      </c>
      <c r="E204" s="8">
        <f t="shared" si="20"/>
        <v>2.8947632927932565E-2</v>
      </c>
    </row>
    <row r="205" spans="1:5" x14ac:dyDescent="0.3">
      <c r="A205" s="6">
        <v>40477</v>
      </c>
      <c r="B205" s="5">
        <v>4050</v>
      </c>
      <c r="C205" s="5">
        <v>98.2</v>
      </c>
      <c r="D205" s="8">
        <f t="shared" si="19"/>
        <v>7.4626865671640896E-3</v>
      </c>
      <c r="E205" s="8">
        <f t="shared" si="20"/>
        <v>-4.0734590211976229E-2</v>
      </c>
    </row>
    <row r="206" spans="1:5" x14ac:dyDescent="0.3">
      <c r="A206" s="6">
        <v>40478</v>
      </c>
      <c r="B206" s="5">
        <v>4050</v>
      </c>
      <c r="C206" s="5">
        <v>98.3</v>
      </c>
      <c r="D206" s="8">
        <f t="shared" si="19"/>
        <v>0</v>
      </c>
      <c r="E206" s="8">
        <f t="shared" si="20"/>
        <v>1.0183299389001643E-3</v>
      </c>
    </row>
    <row r="207" spans="1:5" x14ac:dyDescent="0.3">
      <c r="A207" s="6">
        <v>40479</v>
      </c>
      <c r="B207" s="5">
        <v>4025</v>
      </c>
      <c r="C207" s="5">
        <v>101.85</v>
      </c>
      <c r="D207" s="8">
        <f t="shared" si="19"/>
        <v>-6.1728395061728669E-3</v>
      </c>
      <c r="E207" s="8">
        <f t="shared" si="20"/>
        <v>3.6113936927772095E-2</v>
      </c>
    </row>
    <row r="208" spans="1:5" x14ac:dyDescent="0.3">
      <c r="A208" s="6">
        <v>40480</v>
      </c>
      <c r="B208" s="5">
        <v>4088.6698999999999</v>
      </c>
      <c r="C208" s="5">
        <v>100.36</v>
      </c>
      <c r="D208" s="8">
        <f t="shared" si="19"/>
        <v>1.5818608695652214E-2</v>
      </c>
      <c r="E208" s="8">
        <f t="shared" si="20"/>
        <v>-1.4629356897398083E-2</v>
      </c>
    </row>
    <row r="209" spans="1:5" x14ac:dyDescent="0.3">
      <c r="A209" s="6">
        <v>40483</v>
      </c>
      <c r="B209" s="5">
        <v>4037.5</v>
      </c>
      <c r="C209" s="5">
        <v>100.8</v>
      </c>
      <c r="D209" s="8">
        <f t="shared" si="19"/>
        <v>-1.2515047986632499E-2</v>
      </c>
      <c r="E209" s="8">
        <f t="shared" si="20"/>
        <v>4.3842168194498932E-3</v>
      </c>
    </row>
    <row r="210" spans="1:5" x14ac:dyDescent="0.3">
      <c r="A210" s="6">
        <v>40484</v>
      </c>
      <c r="B210" s="5">
        <v>4069.99</v>
      </c>
      <c r="C210" s="5">
        <v>105.84</v>
      </c>
      <c r="D210" s="8">
        <f t="shared" si="19"/>
        <v>8.0470588235292961E-3</v>
      </c>
      <c r="E210" s="8">
        <f t="shared" si="20"/>
        <v>5.0000000000000044E-2</v>
      </c>
    </row>
    <row r="211" spans="1:5" x14ac:dyDescent="0.3">
      <c r="A211" s="6">
        <v>40485</v>
      </c>
      <c r="B211" s="5">
        <v>4052.46</v>
      </c>
      <c r="C211" s="5">
        <v>109.27</v>
      </c>
      <c r="D211" s="8">
        <f t="shared" si="19"/>
        <v>-4.3071358897687206E-3</v>
      </c>
      <c r="E211" s="8">
        <f t="shared" si="20"/>
        <v>3.240740740740744E-2</v>
      </c>
    </row>
    <row r="212" spans="1:5" x14ac:dyDescent="0.3">
      <c r="A212" s="6">
        <v>40486</v>
      </c>
      <c r="B212" s="5">
        <v>4050</v>
      </c>
      <c r="C212" s="5">
        <v>114.5</v>
      </c>
      <c r="D212" s="8">
        <f t="shared" si="19"/>
        <v>-6.0703868761202706E-4</v>
      </c>
      <c r="E212" s="8">
        <f t="shared" si="20"/>
        <v>4.7863091424910742E-2</v>
      </c>
    </row>
    <row r="213" spans="1:5" x14ac:dyDescent="0.3">
      <c r="A213" s="6">
        <v>40487</v>
      </c>
      <c r="B213" s="5">
        <v>4100</v>
      </c>
      <c r="C213" s="5">
        <v>120.22</v>
      </c>
      <c r="D213" s="8">
        <f t="shared" si="19"/>
        <v>1.2345679012345734E-2</v>
      </c>
      <c r="E213" s="8">
        <f t="shared" si="20"/>
        <v>4.9956331877729188E-2</v>
      </c>
    </row>
    <row r="214" spans="1:5" x14ac:dyDescent="0.3">
      <c r="A214" s="6">
        <v>40490</v>
      </c>
      <c r="B214" s="5">
        <v>4088.99</v>
      </c>
      <c r="C214" s="5">
        <v>125.58</v>
      </c>
      <c r="D214" s="8">
        <f t="shared" si="19"/>
        <v>-2.6853658536586389E-3</v>
      </c>
      <c r="E214" s="8">
        <f t="shared" si="20"/>
        <v>4.4584927632673521E-2</v>
      </c>
    </row>
    <row r="215" spans="1:5" x14ac:dyDescent="0.3">
      <c r="A215" s="6">
        <v>40492</v>
      </c>
      <c r="B215" s="5">
        <v>4060.01</v>
      </c>
      <c r="C215" s="5">
        <v>125.39</v>
      </c>
      <c r="D215" s="8">
        <f t="shared" si="19"/>
        <v>-7.0873247427848396E-3</v>
      </c>
      <c r="E215" s="8">
        <f t="shared" si="20"/>
        <v>-1.5129797738493433E-3</v>
      </c>
    </row>
    <row r="216" spans="1:5" x14ac:dyDescent="0.3">
      <c r="A216" s="6">
        <v>40493</v>
      </c>
      <c r="B216" s="5">
        <v>4088.99</v>
      </c>
      <c r="C216" s="5">
        <v>123.96</v>
      </c>
      <c r="D216" s="8">
        <f t="shared" si="19"/>
        <v>7.137913453415079E-3</v>
      </c>
      <c r="E216" s="8">
        <f t="shared" si="20"/>
        <v>-1.1404418215168688E-2</v>
      </c>
    </row>
    <row r="217" spans="1:5" x14ac:dyDescent="0.3">
      <c r="A217" s="6">
        <v>40494</v>
      </c>
      <c r="B217" s="5">
        <v>4050</v>
      </c>
      <c r="C217" s="5">
        <v>122.94</v>
      </c>
      <c r="D217" s="8">
        <f t="shared" si="19"/>
        <v>-9.5353620331670719E-3</v>
      </c>
      <c r="E217" s="8">
        <f t="shared" si="20"/>
        <v>-8.2284607938044596E-3</v>
      </c>
    </row>
    <row r="218" spans="1:5" x14ac:dyDescent="0.3">
      <c r="A218" s="6">
        <v>40497</v>
      </c>
      <c r="B218" s="5">
        <v>4053.5</v>
      </c>
      <c r="C218" s="5">
        <v>121.52</v>
      </c>
      <c r="D218" s="8">
        <f t="shared" si="19"/>
        <v>8.6419753086430795E-4</v>
      </c>
      <c r="E218" s="8">
        <f t="shared" si="20"/>
        <v>-1.1550349764112622E-2</v>
      </c>
    </row>
    <row r="219" spans="1:5" x14ac:dyDescent="0.3">
      <c r="A219" s="6">
        <v>40498</v>
      </c>
      <c r="B219" s="5">
        <v>4076.3301000000001</v>
      </c>
      <c r="C219" s="5">
        <v>127.23</v>
      </c>
      <c r="D219" s="8">
        <f t="shared" si="19"/>
        <v>5.6321943999013691E-3</v>
      </c>
      <c r="E219" s="8">
        <f t="shared" si="20"/>
        <v>4.6988150098749237E-2</v>
      </c>
    </row>
    <row r="220" spans="1:5" x14ac:dyDescent="0.3">
      <c r="A220" s="6">
        <v>40504</v>
      </c>
      <c r="B220" s="5">
        <v>4050.01</v>
      </c>
      <c r="C220" s="5">
        <v>127.75</v>
      </c>
      <c r="D220" s="8">
        <f t="shared" si="19"/>
        <v>-6.4568127100402828E-3</v>
      </c>
      <c r="E220" s="8">
        <f t="shared" si="20"/>
        <v>4.0870863789985723E-3</v>
      </c>
    </row>
    <row r="221" spans="1:5" x14ac:dyDescent="0.3">
      <c r="A221" s="6">
        <v>40505</v>
      </c>
      <c r="B221" s="5">
        <v>4125</v>
      </c>
      <c r="C221" s="5">
        <v>126.91</v>
      </c>
      <c r="D221" s="8">
        <f t="shared" si="19"/>
        <v>1.8516003664188485E-2</v>
      </c>
      <c r="E221" s="8">
        <f t="shared" si="20"/>
        <v>-6.5753424657534199E-3</v>
      </c>
    </row>
    <row r="222" spans="1:5" x14ac:dyDescent="0.3">
      <c r="A222" s="6">
        <v>40506</v>
      </c>
      <c r="B222" s="5">
        <v>4179.6298999999999</v>
      </c>
      <c r="C222" s="5">
        <v>124.3</v>
      </c>
      <c r="D222" s="8">
        <f t="shared" si="19"/>
        <v>1.3243612121212056E-2</v>
      </c>
      <c r="E222" s="8">
        <f t="shared" si="20"/>
        <v>-2.0565755259632779E-2</v>
      </c>
    </row>
    <row r="223" spans="1:5" x14ac:dyDescent="0.3">
      <c r="A223" s="6">
        <v>40507</v>
      </c>
      <c r="B223" s="5">
        <v>4138.9902000000002</v>
      </c>
      <c r="C223" s="5">
        <v>125.92</v>
      </c>
      <c r="D223" s="8">
        <f t="shared" si="19"/>
        <v>-9.7232771734167001E-3</v>
      </c>
      <c r="E223" s="8">
        <f t="shared" si="20"/>
        <v>1.3032984714400619E-2</v>
      </c>
    </row>
    <row r="224" spans="1:5" x14ac:dyDescent="0.3">
      <c r="A224" s="6">
        <v>40508</v>
      </c>
      <c r="B224" s="5">
        <v>4133</v>
      </c>
      <c r="C224" s="5">
        <v>127.1</v>
      </c>
      <c r="D224" s="8">
        <f t="shared" si="19"/>
        <v>-1.4472612184489586E-3</v>
      </c>
      <c r="E224" s="8">
        <f t="shared" si="20"/>
        <v>9.3710292249047367E-3</v>
      </c>
    </row>
    <row r="225" spans="1:5" x14ac:dyDescent="0.3">
      <c r="A225" s="6">
        <v>40511</v>
      </c>
      <c r="B225" s="5">
        <v>4131.1201000000001</v>
      </c>
      <c r="C225" s="5">
        <v>128.34</v>
      </c>
      <c r="D225" s="8">
        <f t="shared" si="19"/>
        <v>-4.5485119767718629E-4</v>
      </c>
      <c r="E225" s="8">
        <f t="shared" si="20"/>
        <v>9.7560975609756184E-3</v>
      </c>
    </row>
    <row r="226" spans="1:5" x14ac:dyDescent="0.3">
      <c r="A226" s="6">
        <v>40512</v>
      </c>
      <c r="B226" s="5">
        <v>4124</v>
      </c>
      <c r="C226" s="5">
        <v>134.75</v>
      </c>
      <c r="D226" s="8">
        <f t="shared" si="19"/>
        <v>-1.7235277183057507E-3</v>
      </c>
      <c r="E226" s="8">
        <f t="shared" si="20"/>
        <v>4.9945457378837377E-2</v>
      </c>
    </row>
    <row r="227" spans="1:5" x14ac:dyDescent="0.3">
      <c r="A227" s="6">
        <v>40513</v>
      </c>
      <c r="B227" s="5">
        <v>4137.0097999999998</v>
      </c>
      <c r="C227" s="5">
        <v>128.02000000000001</v>
      </c>
      <c r="D227" s="8">
        <f t="shared" si="19"/>
        <v>3.1546556741026688E-3</v>
      </c>
      <c r="E227" s="8">
        <f t="shared" si="20"/>
        <v>-4.9944341372912704E-2</v>
      </c>
    </row>
    <row r="228" spans="1:5" x14ac:dyDescent="0.3">
      <c r="A228" s="6">
        <v>40514</v>
      </c>
      <c r="B228" s="5">
        <v>4109.6000999999997</v>
      </c>
      <c r="C228" s="5">
        <v>129.61000000000001</v>
      </c>
      <c r="D228" s="8">
        <f t="shared" si="19"/>
        <v>-6.6254858762965219E-3</v>
      </c>
      <c r="E228" s="8">
        <f t="shared" si="20"/>
        <v>1.241993438525224E-2</v>
      </c>
    </row>
    <row r="229" spans="1:5" x14ac:dyDescent="0.3">
      <c r="A229" s="6">
        <v>40515</v>
      </c>
      <c r="B229" s="5">
        <v>4105</v>
      </c>
      <c r="C229" s="5">
        <v>123.5</v>
      </c>
      <c r="D229" s="8">
        <f t="shared" si="19"/>
        <v>-1.1193546544832067E-3</v>
      </c>
      <c r="E229" s="8">
        <f t="shared" si="20"/>
        <v>-4.7141424272818533E-2</v>
      </c>
    </row>
    <row r="230" spans="1:5" x14ac:dyDescent="0.3">
      <c r="A230" s="6">
        <v>40518</v>
      </c>
      <c r="B230" s="5">
        <v>4085.5</v>
      </c>
      <c r="C230" s="5">
        <v>118.1</v>
      </c>
      <c r="D230" s="8">
        <f t="shared" si="19"/>
        <v>-4.7503045066991101E-3</v>
      </c>
      <c r="E230" s="8">
        <f t="shared" si="20"/>
        <v>-4.3724696356275294E-2</v>
      </c>
    </row>
    <row r="231" spans="1:5" x14ac:dyDescent="0.3">
      <c r="A231" s="6">
        <v>40519</v>
      </c>
      <c r="B231" s="5">
        <v>4099.6801999999998</v>
      </c>
      <c r="C231" s="5">
        <v>117.96</v>
      </c>
      <c r="D231" s="8">
        <f t="shared" si="19"/>
        <v>3.470860359809036E-3</v>
      </c>
      <c r="E231" s="8">
        <f t="shared" si="20"/>
        <v>-1.1854360711262002E-3</v>
      </c>
    </row>
    <row r="232" spans="1:5" x14ac:dyDescent="0.3">
      <c r="A232" s="6">
        <v>40520</v>
      </c>
      <c r="B232" s="5">
        <v>4070.8701000000001</v>
      </c>
      <c r="C232" s="5">
        <v>117.59</v>
      </c>
      <c r="D232" s="8">
        <f t="shared" si="19"/>
        <v>-7.0274017958765755E-3</v>
      </c>
      <c r="E232" s="8">
        <f t="shared" si="20"/>
        <v>-3.1366564937266306E-3</v>
      </c>
    </row>
    <row r="233" spans="1:5" x14ac:dyDescent="0.3">
      <c r="A233" s="6">
        <v>40521</v>
      </c>
      <c r="B233" s="5">
        <v>4049.6001000000001</v>
      </c>
      <c r="C233" s="5">
        <v>117.28</v>
      </c>
      <c r="D233" s="8">
        <f t="shared" si="19"/>
        <v>-5.2249272213328313E-3</v>
      </c>
      <c r="E233" s="8">
        <f t="shared" si="20"/>
        <v>-2.636278595118613E-3</v>
      </c>
    </row>
    <row r="234" spans="1:5" x14ac:dyDescent="0.3">
      <c r="A234" s="6">
        <v>40522</v>
      </c>
      <c r="B234" s="5">
        <v>4045.1100999999999</v>
      </c>
      <c r="C234" s="5">
        <v>119.61</v>
      </c>
      <c r="D234" s="8">
        <f t="shared" si="19"/>
        <v>-1.1087514542486021E-3</v>
      </c>
      <c r="E234" s="8">
        <f t="shared" si="20"/>
        <v>1.9866984993178738E-2</v>
      </c>
    </row>
    <row r="235" spans="1:5" x14ac:dyDescent="0.3">
      <c r="A235" s="6">
        <v>40525</v>
      </c>
      <c r="B235" s="5">
        <v>4069.99</v>
      </c>
      <c r="C235" s="5">
        <v>121.61</v>
      </c>
      <c r="D235" s="8">
        <f t="shared" si="19"/>
        <v>6.1506113269944596E-3</v>
      </c>
      <c r="E235" s="8">
        <f t="shared" si="20"/>
        <v>1.6721009949000942E-2</v>
      </c>
    </row>
    <row r="236" spans="1:5" x14ac:dyDescent="0.3">
      <c r="A236" s="6">
        <v>40526</v>
      </c>
      <c r="B236" s="5">
        <v>4262.54</v>
      </c>
      <c r="C236" s="5">
        <v>120.16</v>
      </c>
      <c r="D236" s="8">
        <f t="shared" si="19"/>
        <v>4.7309698549627965E-2</v>
      </c>
      <c r="E236" s="8">
        <f t="shared" si="20"/>
        <v>-1.1923361565660762E-2</v>
      </c>
    </row>
    <row r="237" spans="1:5" x14ac:dyDescent="0.3">
      <c r="A237" s="6">
        <v>40527</v>
      </c>
      <c r="B237" s="5">
        <v>4455.1000999999997</v>
      </c>
      <c r="C237" s="5">
        <v>120</v>
      </c>
      <c r="D237" s="8">
        <f t="shared" si="19"/>
        <v>4.5174966100024694E-2</v>
      </c>
      <c r="E237" s="8">
        <f t="shared" si="20"/>
        <v>-1.3315579227696217E-3</v>
      </c>
    </row>
    <row r="238" spans="1:5" x14ac:dyDescent="0.3">
      <c r="A238" s="6">
        <v>40532</v>
      </c>
      <c r="B238" s="5">
        <v>4548.5097999999998</v>
      </c>
      <c r="C238" s="5">
        <v>121.41</v>
      </c>
      <c r="D238" s="8">
        <f t="shared" si="19"/>
        <v>2.0966913852283664E-2</v>
      </c>
      <c r="E238" s="8">
        <f t="shared" si="20"/>
        <v>1.1749999999999927E-2</v>
      </c>
    </row>
    <row r="239" spans="1:5" x14ac:dyDescent="0.3">
      <c r="A239" s="6">
        <v>40533</v>
      </c>
      <c r="B239" s="5">
        <v>4469</v>
      </c>
      <c r="C239" s="5">
        <v>121.71</v>
      </c>
      <c r="D239" s="8">
        <f t="shared" si="19"/>
        <v>-1.7480406439928875E-2</v>
      </c>
      <c r="E239" s="8">
        <f t="shared" si="20"/>
        <v>2.4709661477637646E-3</v>
      </c>
    </row>
    <row r="240" spans="1:5" x14ac:dyDescent="0.3">
      <c r="A240" s="6">
        <v>40534</v>
      </c>
      <c r="B240" s="5">
        <v>4433.0600999999997</v>
      </c>
      <c r="C240" s="5">
        <v>121.1</v>
      </c>
      <c r="D240" s="8">
        <f t="shared" si="19"/>
        <v>-8.0420452002686327E-3</v>
      </c>
      <c r="E240" s="8">
        <f t="shared" si="20"/>
        <v>-5.0119135650316116E-3</v>
      </c>
    </row>
    <row r="241" spans="1:5" x14ac:dyDescent="0.3">
      <c r="A241" s="6">
        <v>40535</v>
      </c>
      <c r="B241" s="5">
        <v>4453.2201999999997</v>
      </c>
      <c r="C241" s="5">
        <v>120.28</v>
      </c>
      <c r="D241" s="8">
        <f t="shared" si="19"/>
        <v>4.5476712576038025E-3</v>
      </c>
      <c r="E241" s="8">
        <f t="shared" si="20"/>
        <v>-6.7712634186621878E-3</v>
      </c>
    </row>
    <row r="242" spans="1:5" x14ac:dyDescent="0.3">
      <c r="A242" s="6">
        <v>40536</v>
      </c>
      <c r="B242" s="5">
        <v>4362.2402000000002</v>
      </c>
      <c r="C242" s="5">
        <v>119.56</v>
      </c>
      <c r="D242" s="8">
        <f t="shared" si="19"/>
        <v>-2.0430159730255304E-2</v>
      </c>
      <c r="E242" s="8">
        <f t="shared" si="20"/>
        <v>-5.9860325906219147E-3</v>
      </c>
    </row>
    <row r="243" spans="1:5" x14ac:dyDescent="0.3">
      <c r="A243" s="6">
        <v>40539</v>
      </c>
      <c r="B243" s="5">
        <v>4390.0097999999998</v>
      </c>
      <c r="C243" s="5">
        <v>121.73</v>
      </c>
      <c r="D243" s="8">
        <f t="shared" si="19"/>
        <v>6.3659034640044521E-3</v>
      </c>
      <c r="E243" s="8">
        <f t="shared" si="20"/>
        <v>1.8149882903981229E-2</v>
      </c>
    </row>
    <row r="244" spans="1:5" x14ac:dyDescent="0.3">
      <c r="A244" s="6">
        <v>40540</v>
      </c>
      <c r="B244" s="5">
        <v>4393.4301999999998</v>
      </c>
      <c r="C244" s="5">
        <v>122.35</v>
      </c>
      <c r="D244" s="8">
        <f t="shared" si="19"/>
        <v>7.7913265706142099E-4</v>
      </c>
      <c r="E244" s="8">
        <f t="shared" si="20"/>
        <v>5.0932391357922935E-3</v>
      </c>
    </row>
    <row r="245" spans="1:5" x14ac:dyDescent="0.3">
      <c r="A245" s="6">
        <v>40541</v>
      </c>
      <c r="B245" s="5">
        <v>4355.96</v>
      </c>
      <c r="C245" s="5">
        <v>122</v>
      </c>
      <c r="D245" s="8">
        <f t="shared" si="19"/>
        <v>-8.5286890411960803E-3</v>
      </c>
      <c r="E245" s="8">
        <f t="shared" si="20"/>
        <v>-2.860645688598229E-3</v>
      </c>
    </row>
    <row r="246" spans="1:5" x14ac:dyDescent="0.3">
      <c r="A246" s="6">
        <v>40542</v>
      </c>
      <c r="B246" s="5">
        <v>4343.5</v>
      </c>
      <c r="C246" s="5">
        <v>125.66</v>
      </c>
      <c r="D246" s="8">
        <f t="shared" si="19"/>
        <v>-2.8604486726232503E-3</v>
      </c>
      <c r="E246" s="8">
        <f t="shared" si="20"/>
        <v>3.0000000000000027E-2</v>
      </c>
    </row>
    <row r="247" spans="1:5" x14ac:dyDescent="0.3">
      <c r="A247" s="6">
        <v>40543</v>
      </c>
      <c r="B247" s="5">
        <v>4360.1698999999999</v>
      </c>
      <c r="C247" s="5">
        <v>124.68</v>
      </c>
      <c r="D247" s="8">
        <f t="shared" si="19"/>
        <v>3.837895706227723E-3</v>
      </c>
      <c r="E247" s="8">
        <f t="shared" si="20"/>
        <v>-7.7988222186852196E-3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4104-D0EB-4E82-9B0E-49DAD40E1812}">
  <dimension ref="A1:D247"/>
  <sheetViews>
    <sheetView workbookViewId="0">
      <selection activeCell="D2" sqref="D2"/>
    </sheetView>
  </sheetViews>
  <sheetFormatPr defaultRowHeight="14.4" x14ac:dyDescent="0.3"/>
  <cols>
    <col min="1" max="1" width="10.33203125" bestFit="1" customWidth="1"/>
    <col min="2" max="2" width="11" bestFit="1" customWidth="1"/>
    <col min="3" max="3" width="7.5546875" bestFit="1" customWidth="1"/>
    <col min="4" max="4" width="7.88671875" bestFit="1" customWidth="1"/>
  </cols>
  <sheetData>
    <row r="1" spans="1:4" x14ac:dyDescent="0.3">
      <c r="A1" s="4" t="s">
        <v>1</v>
      </c>
      <c r="B1" s="4" t="s">
        <v>8</v>
      </c>
      <c r="C1" s="4" t="s">
        <v>25</v>
      </c>
      <c r="D1" s="4" t="s">
        <v>26</v>
      </c>
    </row>
    <row r="2" spans="1:4" x14ac:dyDescent="0.3">
      <c r="A2" s="6">
        <v>40178</v>
      </c>
      <c r="B2" s="5">
        <v>2300</v>
      </c>
      <c r="C2" s="5">
        <v>137.93</v>
      </c>
      <c r="D2" s="5">
        <v>121.22</v>
      </c>
    </row>
    <row r="3" spans="1:4" x14ac:dyDescent="0.3">
      <c r="A3" s="6">
        <v>40182</v>
      </c>
      <c r="B3" s="5">
        <v>2325</v>
      </c>
      <c r="C3" s="5">
        <v>138.79</v>
      </c>
      <c r="D3" s="5">
        <v>118.08</v>
      </c>
    </row>
    <row r="4" spans="1:4" x14ac:dyDescent="0.3">
      <c r="A4" s="6">
        <v>40183</v>
      </c>
      <c r="B4" s="5">
        <v>2360</v>
      </c>
      <c r="C4" s="5">
        <v>138.9</v>
      </c>
      <c r="D4" s="5">
        <v>118</v>
      </c>
    </row>
    <row r="5" spans="1:4" x14ac:dyDescent="0.3">
      <c r="A5" s="6">
        <v>40184</v>
      </c>
      <c r="B5" s="5">
        <v>2352.3101000000001</v>
      </c>
      <c r="C5" s="5">
        <v>140.54</v>
      </c>
      <c r="D5" s="5">
        <v>112.6</v>
      </c>
    </row>
    <row r="6" spans="1:4" x14ac:dyDescent="0.3">
      <c r="A6" s="6">
        <v>40185</v>
      </c>
      <c r="B6" s="5">
        <v>2401.6698999999999</v>
      </c>
      <c r="C6" s="5">
        <v>138.94</v>
      </c>
      <c r="D6" s="5">
        <v>109.54</v>
      </c>
    </row>
    <row r="7" spans="1:4" x14ac:dyDescent="0.3">
      <c r="A7" s="6">
        <v>40186</v>
      </c>
      <c r="B7" s="5">
        <v>2428.5500000000002</v>
      </c>
      <c r="C7" s="5">
        <v>138.58000000000001</v>
      </c>
      <c r="D7" s="5">
        <v>109.11</v>
      </c>
    </row>
    <row r="8" spans="1:4" x14ac:dyDescent="0.3">
      <c r="A8" s="6">
        <v>40189</v>
      </c>
      <c r="B8" s="5">
        <v>2439.9899999999998</v>
      </c>
      <c r="C8" s="5">
        <v>143.15</v>
      </c>
      <c r="D8" s="5">
        <v>107.33</v>
      </c>
    </row>
    <row r="9" spans="1:4" x14ac:dyDescent="0.3">
      <c r="A9" s="6">
        <v>40190</v>
      </c>
      <c r="B9" s="5">
        <v>2435</v>
      </c>
      <c r="C9" s="5">
        <v>140.38</v>
      </c>
      <c r="D9" s="5">
        <v>107.02</v>
      </c>
    </row>
    <row r="10" spans="1:4" x14ac:dyDescent="0.3">
      <c r="A10" s="6">
        <v>40191</v>
      </c>
      <c r="B10" s="5">
        <v>2442</v>
      </c>
      <c r="C10" s="5">
        <v>139.12</v>
      </c>
      <c r="D10" s="5">
        <v>106.5</v>
      </c>
    </row>
    <row r="11" spans="1:4" x14ac:dyDescent="0.3">
      <c r="A11" s="6">
        <v>40192</v>
      </c>
      <c r="B11" s="5">
        <v>2500</v>
      </c>
      <c r="C11" s="5">
        <v>138.29</v>
      </c>
      <c r="D11" s="5">
        <v>108.92</v>
      </c>
    </row>
    <row r="12" spans="1:4" x14ac:dyDescent="0.3">
      <c r="A12" s="6">
        <v>40193</v>
      </c>
      <c r="B12" s="5">
        <v>2549.5601000000001</v>
      </c>
      <c r="C12" s="5">
        <v>137.78</v>
      </c>
      <c r="D12" s="5">
        <v>108.53</v>
      </c>
    </row>
    <row r="13" spans="1:4" x14ac:dyDescent="0.3">
      <c r="A13" s="6">
        <v>40196</v>
      </c>
      <c r="B13" s="5">
        <v>2500.1698999999999</v>
      </c>
      <c r="C13" s="5">
        <v>137.57</v>
      </c>
      <c r="D13" s="5">
        <v>107.3</v>
      </c>
    </row>
    <row r="14" spans="1:4" x14ac:dyDescent="0.3">
      <c r="A14" s="6">
        <v>40197</v>
      </c>
      <c r="B14" s="5">
        <v>2510.0100000000002</v>
      </c>
      <c r="C14" s="5">
        <v>137.53</v>
      </c>
      <c r="D14" s="5">
        <v>107.8</v>
      </c>
    </row>
    <row r="15" spans="1:4" x14ac:dyDescent="0.3">
      <c r="A15" s="6">
        <v>40198</v>
      </c>
      <c r="B15" s="5">
        <v>2609.8301000000001</v>
      </c>
      <c r="C15" s="5">
        <v>130.81</v>
      </c>
      <c r="D15" s="5">
        <v>106.09</v>
      </c>
    </row>
    <row r="16" spans="1:4" x14ac:dyDescent="0.3">
      <c r="A16" s="6">
        <v>40199</v>
      </c>
      <c r="B16" s="5">
        <v>2600.0100000000002</v>
      </c>
      <c r="C16" s="5">
        <v>124.32</v>
      </c>
      <c r="D16" s="5">
        <v>110.12</v>
      </c>
    </row>
    <row r="17" spans="1:4" x14ac:dyDescent="0.3">
      <c r="A17" s="6">
        <v>40200</v>
      </c>
      <c r="B17" s="5">
        <v>2650</v>
      </c>
      <c r="C17" s="5">
        <v>125.65</v>
      </c>
      <c r="D17" s="5">
        <v>108</v>
      </c>
    </row>
    <row r="18" spans="1:4" x14ac:dyDescent="0.3">
      <c r="A18" s="6">
        <v>40203</v>
      </c>
      <c r="B18" s="5">
        <v>2625</v>
      </c>
      <c r="C18" s="5">
        <v>125.18</v>
      </c>
      <c r="D18" s="5">
        <v>108.38</v>
      </c>
    </row>
    <row r="19" spans="1:4" x14ac:dyDescent="0.3">
      <c r="A19" s="6">
        <v>40204</v>
      </c>
      <c r="B19" s="5">
        <v>2650</v>
      </c>
      <c r="C19" s="5">
        <v>124.07</v>
      </c>
      <c r="D19" s="5">
        <v>107.76</v>
      </c>
    </row>
    <row r="20" spans="1:4" x14ac:dyDescent="0.3">
      <c r="A20" s="6">
        <v>40205</v>
      </c>
      <c r="B20" s="5">
        <v>2736.6698999999999</v>
      </c>
      <c r="C20" s="5">
        <v>117.87</v>
      </c>
      <c r="D20" s="5">
        <v>105.09</v>
      </c>
    </row>
    <row r="21" spans="1:4" x14ac:dyDescent="0.3">
      <c r="A21" s="6">
        <v>40206</v>
      </c>
      <c r="B21" s="5">
        <v>2845.6298999999999</v>
      </c>
      <c r="C21" s="5">
        <v>116.95</v>
      </c>
      <c r="D21" s="5">
        <v>100.17</v>
      </c>
    </row>
    <row r="22" spans="1:4" x14ac:dyDescent="0.3">
      <c r="A22" s="6">
        <v>40210</v>
      </c>
      <c r="B22" s="5">
        <v>2755.01</v>
      </c>
      <c r="C22" s="5">
        <v>117.06</v>
      </c>
      <c r="D22" s="5">
        <v>98.21</v>
      </c>
    </row>
    <row r="23" spans="1:4" x14ac:dyDescent="0.3">
      <c r="A23" s="6">
        <v>40211</v>
      </c>
      <c r="B23" s="5">
        <v>2878.22</v>
      </c>
      <c r="C23" s="5">
        <v>113.89</v>
      </c>
      <c r="D23" s="5">
        <v>98.45</v>
      </c>
    </row>
    <row r="24" spans="1:4" x14ac:dyDescent="0.3">
      <c r="A24" s="6">
        <v>40212</v>
      </c>
      <c r="B24" s="5">
        <v>3016.8998999999999</v>
      </c>
      <c r="C24" s="5">
        <v>114.34</v>
      </c>
      <c r="D24" s="5">
        <v>97.92</v>
      </c>
    </row>
    <row r="25" spans="1:4" x14ac:dyDescent="0.3">
      <c r="A25" s="6">
        <v>40213</v>
      </c>
      <c r="B25" s="5">
        <v>3044.3899000000001</v>
      </c>
      <c r="C25" s="5">
        <v>115.77</v>
      </c>
      <c r="D25" s="5">
        <v>97.67</v>
      </c>
    </row>
    <row r="26" spans="1:4" x14ac:dyDescent="0.3">
      <c r="A26" s="6">
        <v>40217</v>
      </c>
      <c r="B26" s="5">
        <v>2996.7</v>
      </c>
      <c r="C26" s="5">
        <v>114.54</v>
      </c>
      <c r="D26" s="5">
        <v>99.66</v>
      </c>
    </row>
    <row r="27" spans="1:4" x14ac:dyDescent="0.3">
      <c r="A27" s="6">
        <v>40218</v>
      </c>
      <c r="B27" s="5">
        <v>2942.6698999999999</v>
      </c>
      <c r="C27" s="5">
        <v>115.28</v>
      </c>
      <c r="D27" s="5">
        <v>97.58</v>
      </c>
    </row>
    <row r="28" spans="1:4" x14ac:dyDescent="0.3">
      <c r="A28" s="6">
        <v>40219</v>
      </c>
      <c r="B28" s="5">
        <v>2900</v>
      </c>
      <c r="C28" s="5">
        <v>114.04</v>
      </c>
      <c r="D28" s="5">
        <v>98.09</v>
      </c>
    </row>
    <row r="29" spans="1:4" x14ac:dyDescent="0.3">
      <c r="A29" s="6">
        <v>40220</v>
      </c>
      <c r="B29" s="5">
        <v>2918.46</v>
      </c>
      <c r="C29" s="5">
        <v>116.4</v>
      </c>
      <c r="D29" s="5">
        <v>98</v>
      </c>
    </row>
    <row r="30" spans="1:4" x14ac:dyDescent="0.3">
      <c r="A30" s="6">
        <v>40221</v>
      </c>
      <c r="B30" s="5">
        <v>2999.97</v>
      </c>
      <c r="C30" s="5">
        <v>114.65</v>
      </c>
      <c r="D30" s="5">
        <v>98.53</v>
      </c>
    </row>
    <row r="31" spans="1:4" x14ac:dyDescent="0.3">
      <c r="A31" s="6">
        <v>40224</v>
      </c>
      <c r="B31" s="5">
        <v>2914</v>
      </c>
      <c r="C31" s="5">
        <v>110.87</v>
      </c>
      <c r="D31" s="5">
        <v>97.44</v>
      </c>
    </row>
    <row r="32" spans="1:4" x14ac:dyDescent="0.3">
      <c r="A32" s="6">
        <v>40225</v>
      </c>
      <c r="B32" s="5">
        <v>2884.3301000000001</v>
      </c>
      <c r="C32" s="5">
        <v>111.13</v>
      </c>
      <c r="D32" s="5">
        <v>97.05</v>
      </c>
    </row>
    <row r="33" spans="1:4" x14ac:dyDescent="0.3">
      <c r="A33" s="6">
        <v>40226</v>
      </c>
      <c r="B33" s="5">
        <v>2851.4299000000001</v>
      </c>
      <c r="C33" s="5">
        <v>112.41</v>
      </c>
      <c r="D33" s="5">
        <v>96.82</v>
      </c>
    </row>
    <row r="34" spans="1:4" x14ac:dyDescent="0.3">
      <c r="A34" s="6">
        <v>40227</v>
      </c>
      <c r="B34" s="5">
        <v>2855.2</v>
      </c>
      <c r="C34" s="5">
        <v>112.19</v>
      </c>
      <c r="D34" s="5">
        <v>97.4</v>
      </c>
    </row>
    <row r="35" spans="1:4" x14ac:dyDescent="0.3">
      <c r="A35" s="6">
        <v>40228</v>
      </c>
      <c r="B35" s="5">
        <v>2894.1399000000001</v>
      </c>
      <c r="C35" s="5">
        <v>112.52</v>
      </c>
      <c r="D35" s="5">
        <v>102.27</v>
      </c>
    </row>
    <row r="36" spans="1:4" x14ac:dyDescent="0.3">
      <c r="A36" s="6">
        <v>40231</v>
      </c>
      <c r="B36" s="5">
        <v>2845</v>
      </c>
      <c r="C36" s="5">
        <v>113.54</v>
      </c>
      <c r="D36" s="5">
        <v>99.83</v>
      </c>
    </row>
    <row r="37" spans="1:4" x14ac:dyDescent="0.3">
      <c r="A37" s="6">
        <v>40232</v>
      </c>
      <c r="B37" s="5">
        <v>2736.01</v>
      </c>
      <c r="C37" s="5">
        <v>114.53</v>
      </c>
      <c r="D37" s="5">
        <v>98.69</v>
      </c>
    </row>
    <row r="38" spans="1:4" x14ac:dyDescent="0.3">
      <c r="A38" s="6">
        <v>40233</v>
      </c>
      <c r="B38" s="5">
        <v>2739.3701000000001</v>
      </c>
      <c r="C38" s="5">
        <v>112.8</v>
      </c>
      <c r="D38" s="5">
        <v>97.8</v>
      </c>
    </row>
    <row r="39" spans="1:4" x14ac:dyDescent="0.3">
      <c r="A39" s="6">
        <v>40234</v>
      </c>
      <c r="B39" s="5">
        <v>2775</v>
      </c>
      <c r="C39" s="5">
        <v>112.28</v>
      </c>
      <c r="D39" s="5">
        <v>97.99</v>
      </c>
    </row>
    <row r="40" spans="1:4" x14ac:dyDescent="0.3">
      <c r="A40" s="6">
        <v>40235</v>
      </c>
      <c r="B40" s="5">
        <v>2709.21</v>
      </c>
      <c r="C40" s="5">
        <v>111.08</v>
      </c>
      <c r="D40" s="5">
        <v>98</v>
      </c>
    </row>
    <row r="41" spans="1:4" x14ac:dyDescent="0.3">
      <c r="A41" s="6">
        <v>40238</v>
      </c>
      <c r="B41" s="5">
        <v>2736.3</v>
      </c>
      <c r="C41" s="5">
        <v>106.07</v>
      </c>
      <c r="D41" s="5">
        <v>97.77</v>
      </c>
    </row>
    <row r="42" spans="1:4" x14ac:dyDescent="0.3">
      <c r="A42" s="6">
        <v>40239</v>
      </c>
      <c r="B42" s="5">
        <v>2873.1100999999999</v>
      </c>
      <c r="C42" s="5">
        <v>104.27</v>
      </c>
      <c r="D42" s="5">
        <v>97.24</v>
      </c>
    </row>
    <row r="43" spans="1:4" x14ac:dyDescent="0.3">
      <c r="A43" s="6">
        <v>40240</v>
      </c>
      <c r="B43" s="5">
        <v>2784.3400999999999</v>
      </c>
      <c r="C43" s="5">
        <v>101.42</v>
      </c>
      <c r="D43" s="5">
        <v>94.15</v>
      </c>
    </row>
    <row r="44" spans="1:4" x14ac:dyDescent="0.3">
      <c r="A44" s="6">
        <v>40241</v>
      </c>
      <c r="B44" s="5">
        <v>2819.1698999999999</v>
      </c>
      <c r="C44" s="5">
        <v>103.04</v>
      </c>
      <c r="D44" s="5">
        <v>95.56</v>
      </c>
    </row>
    <row r="45" spans="1:4" x14ac:dyDescent="0.3">
      <c r="A45" s="6">
        <v>40242</v>
      </c>
      <c r="B45" s="5">
        <v>2817.46</v>
      </c>
      <c r="C45" s="5">
        <v>105.88</v>
      </c>
      <c r="D45" s="5">
        <v>91.92</v>
      </c>
    </row>
    <row r="46" spans="1:4" x14ac:dyDescent="0.3">
      <c r="A46" s="6">
        <v>40245</v>
      </c>
      <c r="B46" s="5">
        <v>2701.3</v>
      </c>
      <c r="C46" s="5">
        <v>111.17</v>
      </c>
      <c r="D46" s="5">
        <v>93.46</v>
      </c>
    </row>
    <row r="47" spans="1:4" x14ac:dyDescent="0.3">
      <c r="A47" s="6">
        <v>40246</v>
      </c>
      <c r="B47" s="5">
        <v>2836.3600999999999</v>
      </c>
      <c r="C47" s="5">
        <v>116.72</v>
      </c>
      <c r="D47" s="5">
        <v>94.04</v>
      </c>
    </row>
    <row r="48" spans="1:4" x14ac:dyDescent="0.3">
      <c r="A48" s="6">
        <v>40247</v>
      </c>
      <c r="B48" s="5">
        <v>2978.1698999999999</v>
      </c>
      <c r="C48" s="5">
        <v>114.76</v>
      </c>
      <c r="D48" s="5">
        <v>93.96</v>
      </c>
    </row>
    <row r="49" spans="1:4" x14ac:dyDescent="0.3">
      <c r="A49" s="6">
        <v>40248</v>
      </c>
      <c r="B49" s="5">
        <v>3127.0700999999999</v>
      </c>
      <c r="C49" s="5">
        <v>115.6</v>
      </c>
      <c r="D49" s="5">
        <v>94.04</v>
      </c>
    </row>
    <row r="50" spans="1:4" x14ac:dyDescent="0.3">
      <c r="A50" s="6">
        <v>40249</v>
      </c>
      <c r="B50" s="5">
        <v>3050.02</v>
      </c>
      <c r="C50" s="5">
        <v>116.77</v>
      </c>
      <c r="D50" s="5">
        <v>93.08</v>
      </c>
    </row>
    <row r="51" spans="1:4" x14ac:dyDescent="0.3">
      <c r="A51" s="6">
        <v>40252</v>
      </c>
      <c r="B51" s="5">
        <v>3008.3701000000001</v>
      </c>
      <c r="C51" s="5">
        <v>116.2</v>
      </c>
      <c r="D51" s="5">
        <v>95.02</v>
      </c>
    </row>
    <row r="52" spans="1:4" x14ac:dyDescent="0.3">
      <c r="A52" s="6">
        <v>40253</v>
      </c>
      <c r="B52" s="5">
        <v>2972.71</v>
      </c>
      <c r="C52" s="5">
        <v>113.68</v>
      </c>
      <c r="D52" s="5">
        <v>94.25</v>
      </c>
    </row>
    <row r="53" spans="1:4" x14ac:dyDescent="0.3">
      <c r="A53" s="6">
        <v>40254</v>
      </c>
      <c r="B53" s="5">
        <v>2950</v>
      </c>
      <c r="C53" s="5">
        <v>113.2</v>
      </c>
      <c r="D53" s="5">
        <v>94</v>
      </c>
    </row>
    <row r="54" spans="1:4" x14ac:dyDescent="0.3">
      <c r="A54" s="6">
        <v>40255</v>
      </c>
      <c r="B54" s="5">
        <v>3000</v>
      </c>
      <c r="C54" s="5">
        <v>112.93</v>
      </c>
      <c r="D54" s="5">
        <v>94</v>
      </c>
    </row>
    <row r="55" spans="1:4" x14ac:dyDescent="0.3">
      <c r="A55" s="6">
        <v>40256</v>
      </c>
      <c r="B55" s="5">
        <v>2998.5</v>
      </c>
      <c r="C55" s="5">
        <v>112.2</v>
      </c>
      <c r="D55" s="5">
        <v>93.76</v>
      </c>
    </row>
    <row r="56" spans="1:4" x14ac:dyDescent="0.3">
      <c r="A56" s="6">
        <v>40259</v>
      </c>
      <c r="B56" s="5">
        <v>2952.5</v>
      </c>
      <c r="C56" s="5">
        <v>112.27</v>
      </c>
      <c r="D56" s="5">
        <v>93.61</v>
      </c>
    </row>
    <row r="57" spans="1:4" x14ac:dyDescent="0.3">
      <c r="A57" s="6">
        <v>40261</v>
      </c>
      <c r="B57" s="5">
        <v>2910.54</v>
      </c>
      <c r="C57" s="5">
        <v>117.73</v>
      </c>
      <c r="D57" s="5">
        <v>97.28</v>
      </c>
    </row>
    <row r="58" spans="1:4" x14ac:dyDescent="0.3">
      <c r="A58" s="6">
        <v>40262</v>
      </c>
      <c r="B58" s="5">
        <v>3025</v>
      </c>
      <c r="C58" s="5">
        <v>116.37</v>
      </c>
      <c r="D58" s="5">
        <v>97.04</v>
      </c>
    </row>
    <row r="59" spans="1:4" x14ac:dyDescent="0.3">
      <c r="A59" s="6">
        <v>40263</v>
      </c>
      <c r="B59" s="5">
        <v>3176.25</v>
      </c>
      <c r="C59" s="5">
        <v>115.53</v>
      </c>
      <c r="D59" s="5">
        <v>96.99</v>
      </c>
    </row>
    <row r="60" spans="1:4" x14ac:dyDescent="0.3">
      <c r="A60" s="6">
        <v>40266</v>
      </c>
      <c r="B60" s="5">
        <v>3335.0601000000001</v>
      </c>
      <c r="C60" s="5">
        <v>113.81</v>
      </c>
      <c r="D60" s="5">
        <v>98</v>
      </c>
    </row>
    <row r="61" spans="1:4" x14ac:dyDescent="0.3">
      <c r="A61" s="6">
        <v>40267</v>
      </c>
      <c r="B61" s="5">
        <v>3501.8101000000001</v>
      </c>
      <c r="C61" s="5">
        <v>114.76</v>
      </c>
      <c r="D61" s="5">
        <v>97.73</v>
      </c>
    </row>
    <row r="62" spans="1:4" x14ac:dyDescent="0.3">
      <c r="A62" s="6">
        <v>40268</v>
      </c>
      <c r="B62" s="5">
        <v>3468.52</v>
      </c>
      <c r="C62" s="5">
        <v>115.27</v>
      </c>
      <c r="D62" s="5">
        <v>98</v>
      </c>
    </row>
    <row r="63" spans="1:4" x14ac:dyDescent="0.3">
      <c r="A63" s="6">
        <v>40269</v>
      </c>
      <c r="B63" s="5">
        <v>3641.9398999999999</v>
      </c>
      <c r="C63" s="5">
        <v>115.46</v>
      </c>
      <c r="D63" s="5">
        <v>97.47</v>
      </c>
    </row>
    <row r="64" spans="1:4" x14ac:dyDescent="0.3">
      <c r="A64" s="6">
        <v>40270</v>
      </c>
      <c r="B64" s="5">
        <v>3735.25</v>
      </c>
      <c r="C64" s="5">
        <v>121.13</v>
      </c>
      <c r="D64" s="5">
        <v>97.5</v>
      </c>
    </row>
    <row r="65" spans="1:4" x14ac:dyDescent="0.3">
      <c r="A65" s="6">
        <v>40273</v>
      </c>
      <c r="B65" s="5">
        <v>3700.4299000000001</v>
      </c>
      <c r="C65" s="5">
        <v>122.66</v>
      </c>
      <c r="D65" s="5">
        <v>100</v>
      </c>
    </row>
    <row r="66" spans="1:4" x14ac:dyDescent="0.3">
      <c r="A66" s="6">
        <v>40274</v>
      </c>
      <c r="B66" s="5">
        <v>3608.51</v>
      </c>
      <c r="C66" s="5">
        <v>121.79</v>
      </c>
      <c r="D66" s="5">
        <v>105</v>
      </c>
    </row>
    <row r="67" spans="1:4" x14ac:dyDescent="0.3">
      <c r="A67" s="6">
        <v>40275</v>
      </c>
      <c r="B67" s="5">
        <v>3492.76</v>
      </c>
      <c r="C67" s="5">
        <v>123.43</v>
      </c>
      <c r="D67" s="5">
        <v>103.19</v>
      </c>
    </row>
    <row r="68" spans="1:4" x14ac:dyDescent="0.3">
      <c r="A68" s="6">
        <v>40276</v>
      </c>
      <c r="B68" s="5">
        <v>3350.4198999999999</v>
      </c>
      <c r="C68" s="5">
        <v>124.56</v>
      </c>
      <c r="D68" s="5">
        <v>101.24</v>
      </c>
    </row>
    <row r="69" spans="1:4" x14ac:dyDescent="0.3">
      <c r="A69" s="6">
        <v>40277</v>
      </c>
      <c r="B69" s="5">
        <v>3517.9398999999999</v>
      </c>
      <c r="C69" s="5">
        <v>129.19999999999999</v>
      </c>
      <c r="D69" s="5">
        <v>100.42</v>
      </c>
    </row>
    <row r="70" spans="1:4" x14ac:dyDescent="0.3">
      <c r="A70" s="6">
        <v>40280</v>
      </c>
      <c r="B70" s="5">
        <v>3549.98</v>
      </c>
      <c r="C70" s="5">
        <v>124.23</v>
      </c>
      <c r="D70" s="5">
        <v>100.07</v>
      </c>
    </row>
    <row r="71" spans="1:4" x14ac:dyDescent="0.3">
      <c r="A71" s="6">
        <v>40281</v>
      </c>
      <c r="B71" s="5">
        <v>3575</v>
      </c>
      <c r="C71" s="5">
        <v>122.28</v>
      </c>
      <c r="D71" s="5">
        <v>99.99</v>
      </c>
    </row>
    <row r="72" spans="1:4" x14ac:dyDescent="0.3">
      <c r="A72" s="6">
        <v>40282</v>
      </c>
      <c r="B72" s="5">
        <v>3576</v>
      </c>
      <c r="C72" s="5">
        <v>123.63</v>
      </c>
      <c r="D72" s="5">
        <v>100.95</v>
      </c>
    </row>
    <row r="73" spans="1:4" x14ac:dyDescent="0.3">
      <c r="A73" s="6">
        <v>40283</v>
      </c>
      <c r="B73" s="5">
        <v>3520.28</v>
      </c>
      <c r="C73" s="5">
        <v>124.7</v>
      </c>
      <c r="D73" s="5">
        <v>101</v>
      </c>
    </row>
    <row r="74" spans="1:4" x14ac:dyDescent="0.3">
      <c r="A74" s="6">
        <v>40284</v>
      </c>
      <c r="B74" s="5">
        <v>3550</v>
      </c>
      <c r="C74" s="5">
        <v>122.82</v>
      </c>
      <c r="D74" s="5">
        <v>102.17</v>
      </c>
    </row>
    <row r="75" spans="1:4" x14ac:dyDescent="0.3">
      <c r="A75" s="6">
        <v>40287</v>
      </c>
      <c r="B75" s="5">
        <v>3500.01</v>
      </c>
      <c r="C75" s="5">
        <v>120.82</v>
      </c>
      <c r="D75" s="5">
        <v>102.29</v>
      </c>
    </row>
    <row r="76" spans="1:4" x14ac:dyDescent="0.3">
      <c r="A76" s="6">
        <v>40288</v>
      </c>
      <c r="B76" s="5">
        <v>3675</v>
      </c>
      <c r="C76" s="5">
        <v>119.09</v>
      </c>
      <c r="D76" s="5">
        <v>101.66</v>
      </c>
    </row>
    <row r="77" spans="1:4" x14ac:dyDescent="0.3">
      <c r="A77" s="6">
        <v>40289</v>
      </c>
      <c r="B77" s="5">
        <v>3800</v>
      </c>
      <c r="C77" s="5">
        <v>116.23</v>
      </c>
      <c r="D77" s="5">
        <v>101.66</v>
      </c>
    </row>
    <row r="78" spans="1:4" x14ac:dyDescent="0.3">
      <c r="A78" s="6">
        <v>40290</v>
      </c>
      <c r="B78" s="5">
        <v>3890</v>
      </c>
      <c r="C78" s="5">
        <v>117.7</v>
      </c>
      <c r="D78" s="5">
        <v>101.35</v>
      </c>
    </row>
    <row r="79" spans="1:4" x14ac:dyDescent="0.3">
      <c r="A79" s="6">
        <v>40291</v>
      </c>
      <c r="B79" s="5">
        <v>3791.1100999999999</v>
      </c>
      <c r="C79" s="5">
        <v>117.6</v>
      </c>
      <c r="D79" s="5">
        <v>101.89</v>
      </c>
    </row>
    <row r="80" spans="1:4" x14ac:dyDescent="0.3">
      <c r="A80" s="6">
        <v>40294</v>
      </c>
      <c r="B80" s="5">
        <v>3910.4198999999999</v>
      </c>
      <c r="C80" s="5">
        <v>115.67</v>
      </c>
      <c r="D80" s="5">
        <v>101.03</v>
      </c>
    </row>
    <row r="81" spans="1:4" x14ac:dyDescent="0.3">
      <c r="A81" s="6">
        <v>40295</v>
      </c>
      <c r="B81" s="5">
        <v>3953.21</v>
      </c>
      <c r="C81" s="5">
        <v>114.13</v>
      </c>
      <c r="D81" s="5">
        <v>100.68</v>
      </c>
    </row>
    <row r="82" spans="1:4" x14ac:dyDescent="0.3">
      <c r="A82" s="6">
        <v>40296</v>
      </c>
      <c r="B82" s="5">
        <v>4150.8701000000001</v>
      </c>
      <c r="C82" s="5">
        <v>112.82</v>
      </c>
      <c r="D82" s="5">
        <v>99.12</v>
      </c>
    </row>
    <row r="83" spans="1:4" x14ac:dyDescent="0.3">
      <c r="A83" s="6">
        <v>40297</v>
      </c>
      <c r="B83" s="5">
        <v>4349</v>
      </c>
      <c r="C83" s="5">
        <v>111.07</v>
      </c>
      <c r="D83" s="5">
        <v>98.15</v>
      </c>
    </row>
    <row r="84" spans="1:4" x14ac:dyDescent="0.3">
      <c r="A84" s="6">
        <v>40298</v>
      </c>
      <c r="B84" s="5">
        <v>4450.29</v>
      </c>
      <c r="C84" s="5">
        <v>108.99</v>
      </c>
      <c r="D84" s="5">
        <v>98.8</v>
      </c>
    </row>
    <row r="85" spans="1:4" x14ac:dyDescent="0.3">
      <c r="A85" s="6">
        <v>40301</v>
      </c>
      <c r="B85" s="5">
        <v>4505.4198999999999</v>
      </c>
      <c r="C85" s="5">
        <v>109.7</v>
      </c>
      <c r="D85" s="5">
        <v>98.75</v>
      </c>
    </row>
    <row r="86" spans="1:4" x14ac:dyDescent="0.3">
      <c r="A86" s="6">
        <v>40302</v>
      </c>
      <c r="B86" s="5">
        <v>4445.8798999999999</v>
      </c>
      <c r="C86" s="5">
        <v>114.82</v>
      </c>
      <c r="D86" s="5">
        <v>98.88</v>
      </c>
    </row>
    <row r="87" spans="1:4" x14ac:dyDescent="0.3">
      <c r="A87" s="6">
        <v>40303</v>
      </c>
      <c r="B87" s="5">
        <v>4518.4102000000003</v>
      </c>
      <c r="C87" s="5">
        <v>113.3</v>
      </c>
      <c r="D87" s="5">
        <v>98.83</v>
      </c>
    </row>
    <row r="88" spans="1:4" x14ac:dyDescent="0.3">
      <c r="A88" s="6">
        <v>40304</v>
      </c>
      <c r="B88" s="5">
        <v>4540</v>
      </c>
      <c r="C88" s="5">
        <v>112.44</v>
      </c>
      <c r="D88" s="5">
        <v>99.47</v>
      </c>
    </row>
    <row r="89" spans="1:4" x14ac:dyDescent="0.3">
      <c r="A89" s="6">
        <v>40305</v>
      </c>
      <c r="B89" s="5">
        <v>4315.5801000000001</v>
      </c>
      <c r="C89" s="5">
        <v>108.18</v>
      </c>
      <c r="D89" s="5">
        <v>98.61</v>
      </c>
    </row>
    <row r="90" spans="1:4" x14ac:dyDescent="0.3">
      <c r="A90" s="6">
        <v>40308</v>
      </c>
      <c r="B90" s="5">
        <v>4239.9902000000002</v>
      </c>
      <c r="C90" s="5">
        <v>108.63</v>
      </c>
      <c r="D90" s="5">
        <v>99.08</v>
      </c>
    </row>
    <row r="91" spans="1:4" x14ac:dyDescent="0.3">
      <c r="A91" s="6">
        <v>40309</v>
      </c>
      <c r="B91" s="5">
        <v>4245.8798999999999</v>
      </c>
      <c r="C91" s="5">
        <v>107.44</v>
      </c>
      <c r="D91" s="5">
        <v>98.04</v>
      </c>
    </row>
    <row r="92" spans="1:4" x14ac:dyDescent="0.3">
      <c r="A92" s="6">
        <v>40310</v>
      </c>
      <c r="B92" s="5">
        <v>4223.4301999999998</v>
      </c>
      <c r="C92" s="5">
        <v>106.94</v>
      </c>
      <c r="D92" s="5">
        <v>99.12</v>
      </c>
    </row>
    <row r="93" spans="1:4" x14ac:dyDescent="0.3">
      <c r="A93" s="6">
        <v>40311</v>
      </c>
      <c r="B93" s="5">
        <v>4138.6099000000004</v>
      </c>
      <c r="C93" s="5">
        <v>107.4</v>
      </c>
      <c r="D93" s="5">
        <v>99.15</v>
      </c>
    </row>
    <row r="94" spans="1:4" x14ac:dyDescent="0.3">
      <c r="A94" s="6">
        <v>40312</v>
      </c>
      <c r="B94" s="5">
        <v>4050.04</v>
      </c>
      <c r="C94" s="5">
        <v>106.01</v>
      </c>
      <c r="D94" s="5">
        <v>99</v>
      </c>
    </row>
    <row r="95" spans="1:4" x14ac:dyDescent="0.3">
      <c r="A95" s="6">
        <v>40315</v>
      </c>
      <c r="B95" s="5">
        <v>3902.5</v>
      </c>
      <c r="C95" s="5">
        <v>100.78</v>
      </c>
      <c r="D95" s="5">
        <v>98.06</v>
      </c>
    </row>
    <row r="96" spans="1:4" x14ac:dyDescent="0.3">
      <c r="A96" s="6">
        <v>40316</v>
      </c>
      <c r="B96" s="5">
        <v>3910.1399000000001</v>
      </c>
      <c r="C96" s="5">
        <v>100.17</v>
      </c>
      <c r="D96" s="5">
        <v>97.5</v>
      </c>
    </row>
    <row r="97" spans="1:4" x14ac:dyDescent="0.3">
      <c r="A97" s="6">
        <v>40317</v>
      </c>
      <c r="B97" s="5">
        <v>3900</v>
      </c>
      <c r="C97" s="5">
        <v>97.96</v>
      </c>
      <c r="D97" s="5">
        <v>95.9</v>
      </c>
    </row>
    <row r="98" spans="1:4" x14ac:dyDescent="0.3">
      <c r="A98" s="6">
        <v>40318</v>
      </c>
      <c r="B98" s="5">
        <v>3832.8</v>
      </c>
      <c r="C98" s="5">
        <v>96.66</v>
      </c>
      <c r="D98" s="5">
        <v>97.17</v>
      </c>
    </row>
    <row r="99" spans="1:4" x14ac:dyDescent="0.3">
      <c r="A99" s="6">
        <v>40319</v>
      </c>
      <c r="B99" s="5">
        <v>3899.0801000000001</v>
      </c>
      <c r="C99" s="5">
        <v>94.07</v>
      </c>
      <c r="D99" s="5">
        <v>95.51</v>
      </c>
    </row>
    <row r="100" spans="1:4" x14ac:dyDescent="0.3">
      <c r="A100" s="6">
        <v>40322</v>
      </c>
      <c r="B100" s="5">
        <v>3869.4398999999999</v>
      </c>
      <c r="C100" s="5">
        <v>90.06</v>
      </c>
      <c r="D100" s="5">
        <v>94.37</v>
      </c>
    </row>
    <row r="101" spans="1:4" x14ac:dyDescent="0.3">
      <c r="A101" s="6">
        <v>40323</v>
      </c>
      <c r="B101" s="5">
        <v>3898</v>
      </c>
      <c r="C101" s="5">
        <v>85.66</v>
      </c>
      <c r="D101" s="5">
        <v>89.69</v>
      </c>
    </row>
    <row r="102" spans="1:4" x14ac:dyDescent="0.3">
      <c r="A102" s="6">
        <v>40324</v>
      </c>
      <c r="B102" s="5">
        <v>3885.6698999999999</v>
      </c>
      <c r="C102" s="5">
        <v>89.94</v>
      </c>
      <c r="D102" s="5">
        <v>91</v>
      </c>
    </row>
    <row r="103" spans="1:4" x14ac:dyDescent="0.3">
      <c r="A103" s="6">
        <v>40325</v>
      </c>
      <c r="B103" s="5">
        <v>3900.52</v>
      </c>
      <c r="C103" s="5">
        <v>90.46</v>
      </c>
      <c r="D103" s="5">
        <v>90</v>
      </c>
    </row>
    <row r="104" spans="1:4" x14ac:dyDescent="0.3">
      <c r="A104" s="6">
        <v>40326</v>
      </c>
      <c r="B104" s="5">
        <v>3902.1298999999999</v>
      </c>
      <c r="C104" s="5">
        <v>91.2</v>
      </c>
      <c r="D104" s="5">
        <v>88.65</v>
      </c>
    </row>
    <row r="105" spans="1:4" x14ac:dyDescent="0.3">
      <c r="A105" s="6">
        <v>40329</v>
      </c>
      <c r="B105" s="5">
        <v>3900</v>
      </c>
      <c r="C105" s="5">
        <v>89.03</v>
      </c>
      <c r="D105" s="5">
        <v>84.31</v>
      </c>
    </row>
    <row r="106" spans="1:4" x14ac:dyDescent="0.3">
      <c r="A106" s="6">
        <v>40330</v>
      </c>
      <c r="B106" s="5">
        <v>3936.75</v>
      </c>
      <c r="C106" s="5">
        <v>86.81</v>
      </c>
      <c r="D106" s="5">
        <v>82.24</v>
      </c>
    </row>
    <row r="107" spans="1:4" x14ac:dyDescent="0.3">
      <c r="A107" s="6">
        <v>40331</v>
      </c>
      <c r="B107" s="5">
        <v>3951.23</v>
      </c>
      <c r="C107" s="5">
        <v>90.99</v>
      </c>
      <c r="D107" s="5">
        <v>84.03</v>
      </c>
    </row>
    <row r="108" spans="1:4" x14ac:dyDescent="0.3">
      <c r="A108" s="6">
        <v>40332</v>
      </c>
      <c r="B108" s="5">
        <v>3942.5</v>
      </c>
      <c r="C108" s="5">
        <v>91.4</v>
      </c>
      <c r="D108" s="5">
        <v>86</v>
      </c>
    </row>
    <row r="109" spans="1:4" x14ac:dyDescent="0.3">
      <c r="A109" s="6">
        <v>40333</v>
      </c>
      <c r="B109" s="5">
        <v>3997.01</v>
      </c>
      <c r="C109" s="5">
        <v>90.03</v>
      </c>
      <c r="D109" s="5">
        <v>86.52</v>
      </c>
    </row>
    <row r="110" spans="1:4" x14ac:dyDescent="0.3">
      <c r="A110" s="6">
        <v>40336</v>
      </c>
      <c r="B110" s="5">
        <v>3911.47</v>
      </c>
      <c r="C110" s="5">
        <v>92.22</v>
      </c>
      <c r="D110" s="5">
        <v>90.44</v>
      </c>
    </row>
    <row r="111" spans="1:4" x14ac:dyDescent="0.3">
      <c r="A111" s="6">
        <v>40337</v>
      </c>
      <c r="B111" s="5">
        <v>3904</v>
      </c>
      <c r="C111" s="5">
        <v>91.76</v>
      </c>
      <c r="D111" s="5">
        <v>90</v>
      </c>
    </row>
    <row r="112" spans="1:4" x14ac:dyDescent="0.3">
      <c r="A112" s="6">
        <v>40338</v>
      </c>
      <c r="B112" s="5">
        <v>3949.0900999999999</v>
      </c>
      <c r="C112" s="5">
        <v>90.13</v>
      </c>
      <c r="D112" s="5">
        <v>90.8</v>
      </c>
    </row>
    <row r="113" spans="1:4" x14ac:dyDescent="0.3">
      <c r="A113" s="6">
        <v>40339</v>
      </c>
      <c r="B113" s="5">
        <v>3910</v>
      </c>
      <c r="C113" s="5">
        <v>85.63</v>
      </c>
      <c r="D113" s="5">
        <v>87.91</v>
      </c>
    </row>
    <row r="114" spans="1:4" x14ac:dyDescent="0.3">
      <c r="A114" s="6">
        <v>40340</v>
      </c>
      <c r="B114" s="5">
        <v>3987.1399000000001</v>
      </c>
      <c r="C114" s="5">
        <v>86.12</v>
      </c>
      <c r="D114" s="5">
        <v>89.71</v>
      </c>
    </row>
    <row r="115" spans="1:4" x14ac:dyDescent="0.3">
      <c r="A115" s="6">
        <v>40343</v>
      </c>
      <c r="B115" s="5">
        <v>4003.45</v>
      </c>
      <c r="C115" s="5">
        <v>81.84</v>
      </c>
      <c r="D115" s="5">
        <v>86.9</v>
      </c>
    </row>
    <row r="116" spans="1:4" x14ac:dyDescent="0.3">
      <c r="A116" s="6">
        <v>40344</v>
      </c>
      <c r="B116" s="5">
        <v>4050</v>
      </c>
      <c r="C116" s="5">
        <v>82.75</v>
      </c>
      <c r="D116" s="5">
        <v>90.78</v>
      </c>
    </row>
    <row r="117" spans="1:4" x14ac:dyDescent="0.3">
      <c r="A117" s="6">
        <v>40345</v>
      </c>
      <c r="B117" s="5">
        <v>4002.5</v>
      </c>
      <c r="C117" s="5">
        <v>85.45</v>
      </c>
      <c r="D117" s="5">
        <v>91.2</v>
      </c>
    </row>
    <row r="118" spans="1:4" x14ac:dyDescent="0.3">
      <c r="A118" s="6">
        <v>40346</v>
      </c>
      <c r="B118" s="5">
        <v>3985</v>
      </c>
      <c r="C118" s="5">
        <v>87.3</v>
      </c>
      <c r="D118" s="5">
        <v>91.01</v>
      </c>
    </row>
    <row r="119" spans="1:4" x14ac:dyDescent="0.3">
      <c r="A119" s="6">
        <v>40347</v>
      </c>
      <c r="B119" s="5">
        <v>3951.3600999999999</v>
      </c>
      <c r="C119" s="5">
        <v>86.4</v>
      </c>
      <c r="D119" s="5">
        <v>90.16</v>
      </c>
    </row>
    <row r="120" spans="1:4" x14ac:dyDescent="0.3">
      <c r="A120" s="6">
        <v>40350</v>
      </c>
      <c r="B120" s="5">
        <v>3996.3798999999999</v>
      </c>
      <c r="C120" s="5">
        <v>85.8</v>
      </c>
      <c r="D120" s="5">
        <v>92.62</v>
      </c>
    </row>
    <row r="121" spans="1:4" x14ac:dyDescent="0.3">
      <c r="A121" s="6">
        <v>40351</v>
      </c>
      <c r="B121" s="5">
        <v>3910.8600999999999</v>
      </c>
      <c r="C121" s="5">
        <v>85.66</v>
      </c>
      <c r="D121" s="5">
        <v>92.1</v>
      </c>
    </row>
    <row r="122" spans="1:4" x14ac:dyDescent="0.3">
      <c r="A122" s="6">
        <v>40352</v>
      </c>
      <c r="B122" s="5">
        <v>3998.6399000000001</v>
      </c>
      <c r="C122" s="5">
        <v>84.81</v>
      </c>
      <c r="D122" s="5">
        <v>91.99</v>
      </c>
    </row>
    <row r="123" spans="1:4" x14ac:dyDescent="0.3">
      <c r="A123" s="6">
        <v>40353</v>
      </c>
      <c r="B123" s="5">
        <v>4024.27</v>
      </c>
      <c r="C123" s="5">
        <v>84.25</v>
      </c>
      <c r="D123" s="5">
        <v>91.04</v>
      </c>
    </row>
    <row r="124" spans="1:4" x14ac:dyDescent="0.3">
      <c r="A124" s="6">
        <v>40354</v>
      </c>
      <c r="B124" s="5">
        <v>4083.3200999999999</v>
      </c>
      <c r="C124" s="5">
        <v>82.61</v>
      </c>
      <c r="D124" s="5">
        <v>91</v>
      </c>
    </row>
    <row r="125" spans="1:4" x14ac:dyDescent="0.3">
      <c r="A125" s="6">
        <v>40358</v>
      </c>
      <c r="B125" s="5">
        <v>3830</v>
      </c>
      <c r="C125" s="5">
        <v>80.59</v>
      </c>
      <c r="D125" s="5">
        <v>89.25</v>
      </c>
    </row>
    <row r="126" spans="1:4" x14ac:dyDescent="0.3">
      <c r="A126" s="6">
        <v>40359</v>
      </c>
      <c r="B126" s="5">
        <v>3885</v>
      </c>
      <c r="C126" s="5">
        <v>80.56</v>
      </c>
      <c r="D126" s="5">
        <v>92.65</v>
      </c>
    </row>
    <row r="127" spans="1:4" x14ac:dyDescent="0.3">
      <c r="A127" s="6">
        <v>40360</v>
      </c>
      <c r="B127" s="5">
        <v>3900</v>
      </c>
      <c r="C127" s="5">
        <v>80.819999999999993</v>
      </c>
      <c r="D127" s="5">
        <v>91.5</v>
      </c>
    </row>
    <row r="128" spans="1:4" x14ac:dyDescent="0.3">
      <c r="A128" s="6">
        <v>40361</v>
      </c>
      <c r="B128" s="5">
        <v>3909.8200999999999</v>
      </c>
      <c r="C128" s="5">
        <v>80.400000000000006</v>
      </c>
      <c r="D128" s="5">
        <v>91.5</v>
      </c>
    </row>
    <row r="129" spans="1:4" x14ac:dyDescent="0.3">
      <c r="A129" s="6">
        <v>40364</v>
      </c>
      <c r="B129" s="5">
        <v>3900</v>
      </c>
      <c r="C129" s="5">
        <v>79.78</v>
      </c>
      <c r="D129" s="5">
        <v>87.47</v>
      </c>
    </row>
    <row r="130" spans="1:4" x14ac:dyDescent="0.3">
      <c r="A130" s="6">
        <v>40365</v>
      </c>
      <c r="B130" s="5">
        <v>3909.6498999999999</v>
      </c>
      <c r="C130" s="5">
        <v>78.75</v>
      </c>
      <c r="D130" s="5">
        <v>87.55</v>
      </c>
    </row>
    <row r="131" spans="1:4" x14ac:dyDescent="0.3">
      <c r="A131" s="6">
        <v>40366</v>
      </c>
      <c r="B131" s="5">
        <v>3940</v>
      </c>
      <c r="C131" s="5">
        <v>81.290000000000006</v>
      </c>
      <c r="D131" s="5">
        <v>89.79</v>
      </c>
    </row>
    <row r="132" spans="1:4" x14ac:dyDescent="0.3">
      <c r="A132" s="6">
        <v>40367</v>
      </c>
      <c r="B132" s="5">
        <v>3949.48</v>
      </c>
      <c r="C132" s="5">
        <v>82.6</v>
      </c>
      <c r="D132" s="5">
        <v>89.36</v>
      </c>
    </row>
    <row r="133" spans="1:4" x14ac:dyDescent="0.3">
      <c r="A133" s="6">
        <v>40368</v>
      </c>
      <c r="B133" s="5">
        <v>3999.99</v>
      </c>
      <c r="C133" s="5">
        <v>84.93</v>
      </c>
      <c r="D133" s="5">
        <v>89.84</v>
      </c>
    </row>
    <row r="134" spans="1:4" x14ac:dyDescent="0.3">
      <c r="A134" s="6">
        <v>40371</v>
      </c>
      <c r="B134" s="5">
        <v>4000</v>
      </c>
      <c r="C134" s="5">
        <v>84.27</v>
      </c>
      <c r="D134" s="5">
        <v>89.52</v>
      </c>
    </row>
    <row r="135" spans="1:4" x14ac:dyDescent="0.3">
      <c r="A135" s="6">
        <v>40372</v>
      </c>
      <c r="B135" s="5">
        <v>3999.99</v>
      </c>
      <c r="C135" s="5">
        <v>86.59</v>
      </c>
      <c r="D135" s="5">
        <v>90.38</v>
      </c>
    </row>
    <row r="136" spans="1:4" x14ac:dyDescent="0.3">
      <c r="A136" s="6">
        <v>40373</v>
      </c>
      <c r="B136" s="5">
        <v>3997.8200999999999</v>
      </c>
      <c r="C136" s="5">
        <v>90.91</v>
      </c>
      <c r="D136" s="5">
        <v>92.9</v>
      </c>
    </row>
    <row r="137" spans="1:4" x14ac:dyDescent="0.3">
      <c r="A137" s="6">
        <v>40374</v>
      </c>
      <c r="B137" s="5">
        <v>3999.77</v>
      </c>
      <c r="C137" s="5">
        <v>91.6</v>
      </c>
      <c r="D137" s="5">
        <v>92.89</v>
      </c>
    </row>
    <row r="138" spans="1:4" x14ac:dyDescent="0.3">
      <c r="A138" s="6">
        <v>40375</v>
      </c>
      <c r="B138" s="5">
        <v>3982.97</v>
      </c>
      <c r="C138" s="5">
        <v>91.6</v>
      </c>
      <c r="D138" s="5">
        <v>92.5</v>
      </c>
    </row>
    <row r="139" spans="1:4" x14ac:dyDescent="0.3">
      <c r="A139" s="6">
        <v>40378</v>
      </c>
      <c r="B139" s="5">
        <v>3947.3400999999999</v>
      </c>
      <c r="C139" s="5">
        <v>91.75</v>
      </c>
      <c r="D139" s="5">
        <v>93.38</v>
      </c>
    </row>
    <row r="140" spans="1:4" x14ac:dyDescent="0.3">
      <c r="A140" s="6">
        <v>40379</v>
      </c>
      <c r="B140" s="5">
        <v>3977.3301000000001</v>
      </c>
      <c r="C140" s="5">
        <v>90.45</v>
      </c>
      <c r="D140" s="5">
        <v>92.72</v>
      </c>
    </row>
    <row r="141" spans="1:4" x14ac:dyDescent="0.3">
      <c r="A141" s="6">
        <v>40380</v>
      </c>
      <c r="B141" s="5">
        <v>3952.3301000000001</v>
      </c>
      <c r="C141" s="5">
        <v>90.06</v>
      </c>
      <c r="D141" s="5">
        <v>94.75</v>
      </c>
    </row>
    <row r="142" spans="1:4" x14ac:dyDescent="0.3">
      <c r="A142" s="6">
        <v>40381</v>
      </c>
      <c r="B142" s="5">
        <v>3963.25</v>
      </c>
      <c r="C142" s="5">
        <v>89.03</v>
      </c>
      <c r="D142" s="5">
        <v>91.53</v>
      </c>
    </row>
    <row r="143" spans="1:4" x14ac:dyDescent="0.3">
      <c r="A143" s="6">
        <v>40382</v>
      </c>
      <c r="B143" s="5">
        <v>4008</v>
      </c>
      <c r="C143" s="5">
        <v>88.85</v>
      </c>
      <c r="D143" s="5">
        <v>92.5</v>
      </c>
    </row>
    <row r="144" spans="1:4" x14ac:dyDescent="0.3">
      <c r="A144" s="6">
        <v>40385</v>
      </c>
      <c r="B144" s="5">
        <v>3952</v>
      </c>
      <c r="C144" s="5">
        <v>87.78</v>
      </c>
      <c r="D144" s="5">
        <v>91.15</v>
      </c>
    </row>
    <row r="145" spans="1:4" x14ac:dyDescent="0.3">
      <c r="A145" s="6">
        <v>40386</v>
      </c>
      <c r="B145" s="5">
        <v>3996.5</v>
      </c>
      <c r="C145" s="5">
        <v>88.31</v>
      </c>
      <c r="D145" s="5">
        <v>91.69</v>
      </c>
    </row>
    <row r="146" spans="1:4" x14ac:dyDescent="0.3">
      <c r="A146" s="6">
        <v>40387</v>
      </c>
      <c r="B146" s="5">
        <v>3961.1698999999999</v>
      </c>
      <c r="C146" s="5">
        <v>91.06</v>
      </c>
      <c r="D146" s="5">
        <v>92.5</v>
      </c>
    </row>
    <row r="147" spans="1:4" x14ac:dyDescent="0.3">
      <c r="A147" s="6">
        <v>40388</v>
      </c>
      <c r="B147" s="5">
        <v>3999.46</v>
      </c>
      <c r="C147" s="5">
        <v>89.97</v>
      </c>
      <c r="D147" s="5">
        <v>92.71</v>
      </c>
    </row>
    <row r="148" spans="1:4" x14ac:dyDescent="0.3">
      <c r="A148" s="6">
        <v>40389</v>
      </c>
      <c r="B148" s="5">
        <v>3991.6799000000001</v>
      </c>
      <c r="C148" s="5">
        <v>91.5</v>
      </c>
      <c r="D148" s="5">
        <v>93.63</v>
      </c>
    </row>
    <row r="149" spans="1:4" x14ac:dyDescent="0.3">
      <c r="A149" s="6">
        <v>40392</v>
      </c>
      <c r="B149" s="5">
        <v>3965.25</v>
      </c>
      <c r="C149" s="5">
        <v>88.98</v>
      </c>
      <c r="D149" s="5">
        <v>92.63</v>
      </c>
    </row>
    <row r="150" spans="1:4" x14ac:dyDescent="0.3">
      <c r="A150" s="6">
        <v>40393</v>
      </c>
      <c r="B150" s="5">
        <v>4000</v>
      </c>
      <c r="C150" s="5">
        <v>88.81</v>
      </c>
      <c r="D150" s="5">
        <v>92.33</v>
      </c>
    </row>
    <row r="151" spans="1:4" x14ac:dyDescent="0.3">
      <c r="A151" s="6">
        <v>40394</v>
      </c>
      <c r="B151" s="5">
        <v>3987.52</v>
      </c>
      <c r="C151" s="5">
        <v>92.02</v>
      </c>
      <c r="D151" s="5">
        <v>92.93</v>
      </c>
    </row>
    <row r="152" spans="1:4" x14ac:dyDescent="0.3">
      <c r="A152" s="6">
        <v>40395</v>
      </c>
      <c r="B152" s="5">
        <v>3999.7</v>
      </c>
      <c r="C152" s="5">
        <v>89.29</v>
      </c>
      <c r="D152" s="5">
        <v>92.22</v>
      </c>
    </row>
    <row r="153" spans="1:4" x14ac:dyDescent="0.3">
      <c r="A153" s="6">
        <v>40396</v>
      </c>
      <c r="B153" s="5">
        <v>3958.1298999999999</v>
      </c>
      <c r="C153" s="5">
        <v>86.98</v>
      </c>
      <c r="D153" s="5">
        <v>91.84</v>
      </c>
    </row>
    <row r="154" spans="1:4" x14ac:dyDescent="0.3">
      <c r="A154" s="6">
        <v>40399</v>
      </c>
      <c r="B154" s="5">
        <v>3960.3400999999999</v>
      </c>
      <c r="C154" s="5">
        <v>82.81</v>
      </c>
      <c r="D154" s="5">
        <v>89.26</v>
      </c>
    </row>
    <row r="155" spans="1:4" x14ac:dyDescent="0.3">
      <c r="A155" s="6">
        <v>40400</v>
      </c>
      <c r="B155" s="5">
        <v>3932.6298999999999</v>
      </c>
      <c r="C155" s="5">
        <v>81.08</v>
      </c>
      <c r="D155" s="5">
        <v>89</v>
      </c>
    </row>
    <row r="156" spans="1:4" x14ac:dyDescent="0.3">
      <c r="A156" s="6">
        <v>40401</v>
      </c>
      <c r="B156" s="5">
        <v>3901.75</v>
      </c>
      <c r="C156" s="5">
        <v>82.8</v>
      </c>
      <c r="D156" s="5">
        <v>88.8</v>
      </c>
    </row>
    <row r="157" spans="1:4" x14ac:dyDescent="0.3">
      <c r="A157" s="6">
        <v>40402</v>
      </c>
      <c r="B157" s="5">
        <v>3939.49</v>
      </c>
      <c r="C157" s="5">
        <v>81.53</v>
      </c>
      <c r="D157" s="5">
        <v>89</v>
      </c>
    </row>
    <row r="158" spans="1:4" x14ac:dyDescent="0.3">
      <c r="A158" s="6">
        <v>40403</v>
      </c>
      <c r="B158" s="5">
        <v>3900</v>
      </c>
      <c r="C158" s="5">
        <v>81.39</v>
      </c>
      <c r="D158" s="5">
        <v>88</v>
      </c>
    </row>
    <row r="159" spans="1:4" x14ac:dyDescent="0.3">
      <c r="A159" s="6">
        <v>40406</v>
      </c>
      <c r="B159" s="5">
        <v>3838.3400999999999</v>
      </c>
      <c r="C159" s="5">
        <v>77.33</v>
      </c>
      <c r="D159" s="5">
        <v>85</v>
      </c>
    </row>
    <row r="160" spans="1:4" x14ac:dyDescent="0.3">
      <c r="A160" s="6">
        <v>40407</v>
      </c>
      <c r="B160" s="5">
        <v>3813.3301000000001</v>
      </c>
      <c r="C160" s="5">
        <v>76.12</v>
      </c>
      <c r="D160" s="5">
        <v>83.32</v>
      </c>
    </row>
    <row r="161" spans="1:4" x14ac:dyDescent="0.3">
      <c r="A161" s="6">
        <v>40408</v>
      </c>
      <c r="B161" s="5">
        <v>3874.29</v>
      </c>
      <c r="C161" s="5">
        <v>76.38</v>
      </c>
      <c r="D161" s="5">
        <v>83.8</v>
      </c>
    </row>
    <row r="162" spans="1:4" x14ac:dyDescent="0.3">
      <c r="A162" s="6">
        <v>40409</v>
      </c>
      <c r="B162" s="5">
        <v>3922.3798999999999</v>
      </c>
      <c r="C162" s="5">
        <v>80.040000000000006</v>
      </c>
      <c r="D162" s="5">
        <v>86.17</v>
      </c>
    </row>
    <row r="163" spans="1:4" x14ac:dyDescent="0.3">
      <c r="A163" s="6">
        <v>40410</v>
      </c>
      <c r="B163" s="5">
        <v>3970.5900999999999</v>
      </c>
      <c r="C163" s="5">
        <v>82.12</v>
      </c>
      <c r="D163" s="5">
        <v>86.23</v>
      </c>
    </row>
    <row r="164" spans="1:4" x14ac:dyDescent="0.3">
      <c r="A164" s="6">
        <v>40413</v>
      </c>
      <c r="B164" s="5">
        <v>3970</v>
      </c>
      <c r="C164" s="5">
        <v>82.93</v>
      </c>
      <c r="D164" s="5">
        <v>84.5</v>
      </c>
    </row>
    <row r="165" spans="1:4" x14ac:dyDescent="0.3">
      <c r="A165" s="6">
        <v>40414</v>
      </c>
      <c r="B165" s="5">
        <v>3952.72</v>
      </c>
      <c r="C165" s="5">
        <v>80.239999999999995</v>
      </c>
      <c r="D165" s="5">
        <v>84.5</v>
      </c>
    </row>
    <row r="166" spans="1:4" x14ac:dyDescent="0.3">
      <c r="A166" s="6">
        <v>40415</v>
      </c>
      <c r="B166" s="5">
        <v>3993.0700999999999</v>
      </c>
      <c r="C166" s="5">
        <v>77.510000000000005</v>
      </c>
      <c r="D166" s="5">
        <v>81</v>
      </c>
    </row>
    <row r="167" spans="1:4" x14ac:dyDescent="0.3">
      <c r="A167" s="6">
        <v>40416</v>
      </c>
      <c r="B167" s="5">
        <v>3999.03</v>
      </c>
      <c r="C167" s="5">
        <v>79.86</v>
      </c>
      <c r="D167" s="5">
        <v>79.510000000000005</v>
      </c>
    </row>
    <row r="168" spans="1:4" x14ac:dyDescent="0.3">
      <c r="A168" s="6">
        <v>40417</v>
      </c>
      <c r="B168" s="5">
        <v>4042.3301000000001</v>
      </c>
      <c r="C168" s="5">
        <v>79.849999999999994</v>
      </c>
      <c r="D168" s="5">
        <v>80</v>
      </c>
    </row>
    <row r="169" spans="1:4" x14ac:dyDescent="0.3">
      <c r="A169" s="6">
        <v>40420</v>
      </c>
      <c r="B169" s="5">
        <v>3971.8</v>
      </c>
      <c r="C169" s="5">
        <v>77.44</v>
      </c>
      <c r="D169" s="5">
        <v>79</v>
      </c>
    </row>
    <row r="170" spans="1:4" x14ac:dyDescent="0.3">
      <c r="A170" s="6">
        <v>40421</v>
      </c>
      <c r="B170" s="5">
        <v>3930.04</v>
      </c>
      <c r="C170" s="5">
        <v>80.180000000000007</v>
      </c>
      <c r="D170" s="5">
        <v>80.900000000000006</v>
      </c>
    </row>
    <row r="171" spans="1:4" x14ac:dyDescent="0.3">
      <c r="A171" s="6">
        <v>40422</v>
      </c>
      <c r="B171" s="5">
        <v>3984.3301000000001</v>
      </c>
      <c r="C171" s="5">
        <v>79.02</v>
      </c>
      <c r="D171" s="5">
        <v>78.39</v>
      </c>
    </row>
    <row r="172" spans="1:4" x14ac:dyDescent="0.3">
      <c r="A172" s="6">
        <v>40423</v>
      </c>
      <c r="B172" s="5">
        <v>4014.75</v>
      </c>
      <c r="C172" s="5">
        <v>81.23</v>
      </c>
      <c r="D172" s="5">
        <v>78.52</v>
      </c>
    </row>
    <row r="173" spans="1:4" x14ac:dyDescent="0.3">
      <c r="A173" s="6">
        <v>40424</v>
      </c>
      <c r="B173" s="5">
        <v>3996.2</v>
      </c>
      <c r="C173" s="5">
        <v>80.22</v>
      </c>
      <c r="D173" s="5">
        <v>78.92</v>
      </c>
    </row>
    <row r="174" spans="1:4" x14ac:dyDescent="0.3">
      <c r="A174" s="6">
        <v>40427</v>
      </c>
      <c r="B174" s="5">
        <v>3931.6100999999999</v>
      </c>
      <c r="C174" s="5">
        <v>79.739999999999995</v>
      </c>
      <c r="D174" s="5">
        <v>79.099999999999994</v>
      </c>
    </row>
    <row r="175" spans="1:4" x14ac:dyDescent="0.3">
      <c r="A175" s="6">
        <v>40428</v>
      </c>
      <c r="B175" s="5">
        <v>3959.71</v>
      </c>
      <c r="C175" s="5">
        <v>80.069999999999993</v>
      </c>
      <c r="D175" s="5">
        <v>78.989999999999995</v>
      </c>
    </row>
    <row r="176" spans="1:4" x14ac:dyDescent="0.3">
      <c r="A176" s="6">
        <v>40429</v>
      </c>
      <c r="B176" s="5">
        <v>3991.73</v>
      </c>
      <c r="C176" s="5">
        <v>81.650000000000006</v>
      </c>
      <c r="D176" s="5">
        <v>79.12</v>
      </c>
    </row>
    <row r="177" spans="1:4" x14ac:dyDescent="0.3">
      <c r="A177" s="6">
        <v>40430</v>
      </c>
      <c r="B177" s="5">
        <v>4039.99</v>
      </c>
      <c r="C177" s="5">
        <v>81.11</v>
      </c>
      <c r="D177" s="5">
        <v>80.569999999999993</v>
      </c>
    </row>
    <row r="178" spans="1:4" x14ac:dyDescent="0.3">
      <c r="A178" s="6">
        <v>40435</v>
      </c>
      <c r="B178" s="5">
        <v>4138.8301000000001</v>
      </c>
      <c r="C178" s="5">
        <v>83</v>
      </c>
      <c r="D178" s="5">
        <v>83.31</v>
      </c>
    </row>
    <row r="179" spans="1:4" x14ac:dyDescent="0.3">
      <c r="A179" s="6">
        <v>40436</v>
      </c>
      <c r="B179" s="5">
        <v>4068.5601000000001</v>
      </c>
      <c r="C179" s="5">
        <v>81.52</v>
      </c>
      <c r="D179" s="5">
        <v>83.3</v>
      </c>
    </row>
    <row r="180" spans="1:4" x14ac:dyDescent="0.3">
      <c r="A180" s="6">
        <v>40437</v>
      </c>
      <c r="B180" s="5">
        <v>4071</v>
      </c>
      <c r="C180" s="5">
        <v>81.510000000000005</v>
      </c>
      <c r="D180" s="5">
        <v>84.01</v>
      </c>
    </row>
    <row r="181" spans="1:4" x14ac:dyDescent="0.3">
      <c r="A181" s="6">
        <v>40438</v>
      </c>
      <c r="B181" s="5">
        <v>4048.26</v>
      </c>
      <c r="C181" s="5">
        <v>85.52</v>
      </c>
      <c r="D181" s="5">
        <v>88.13</v>
      </c>
    </row>
    <row r="182" spans="1:4" x14ac:dyDescent="0.3">
      <c r="A182" s="6">
        <v>40441</v>
      </c>
      <c r="B182" s="5">
        <v>4000</v>
      </c>
      <c r="C182" s="5">
        <v>85.43</v>
      </c>
      <c r="D182" s="5">
        <v>89.26</v>
      </c>
    </row>
    <row r="183" spans="1:4" x14ac:dyDescent="0.3">
      <c r="A183" s="6">
        <v>40442</v>
      </c>
      <c r="B183" s="5">
        <v>3972</v>
      </c>
      <c r="C183" s="5">
        <v>84</v>
      </c>
      <c r="D183" s="5">
        <v>89.5</v>
      </c>
    </row>
    <row r="184" spans="1:4" x14ac:dyDescent="0.3">
      <c r="A184" s="6">
        <v>40443</v>
      </c>
      <c r="B184" s="5">
        <v>4000</v>
      </c>
      <c r="C184" s="5">
        <v>83.62</v>
      </c>
      <c r="D184" s="5">
        <v>89.4</v>
      </c>
    </row>
    <row r="185" spans="1:4" x14ac:dyDescent="0.3">
      <c r="A185" s="6">
        <v>40444</v>
      </c>
      <c r="B185" s="5">
        <v>3981</v>
      </c>
      <c r="C185" s="5">
        <v>81.93</v>
      </c>
      <c r="D185" s="5">
        <v>88.58</v>
      </c>
    </row>
    <row r="186" spans="1:4" x14ac:dyDescent="0.3">
      <c r="A186" s="6">
        <v>40445</v>
      </c>
      <c r="B186" s="5">
        <v>3998.98</v>
      </c>
      <c r="C186" s="5">
        <v>81.819999999999993</v>
      </c>
      <c r="D186" s="5">
        <v>87.8</v>
      </c>
    </row>
    <row r="187" spans="1:4" x14ac:dyDescent="0.3">
      <c r="A187" s="6">
        <v>40448</v>
      </c>
      <c r="B187" s="5">
        <v>3990</v>
      </c>
      <c r="C187" s="5">
        <v>81.66</v>
      </c>
      <c r="D187" s="5">
        <v>89.1</v>
      </c>
    </row>
    <row r="188" spans="1:4" x14ac:dyDescent="0.3">
      <c r="A188" s="6">
        <v>40449</v>
      </c>
      <c r="B188" s="5">
        <v>4028.55</v>
      </c>
      <c r="C188" s="5">
        <v>81.95</v>
      </c>
      <c r="D188" s="5">
        <v>88.06</v>
      </c>
    </row>
    <row r="189" spans="1:4" x14ac:dyDescent="0.3">
      <c r="A189" s="6">
        <v>40451</v>
      </c>
      <c r="B189" s="5">
        <v>4024.95</v>
      </c>
      <c r="C189" s="5">
        <v>79.48</v>
      </c>
      <c r="D189" s="5">
        <v>88.51</v>
      </c>
    </row>
    <row r="190" spans="1:4" x14ac:dyDescent="0.3">
      <c r="A190" s="6">
        <v>40455</v>
      </c>
      <c r="B190" s="5">
        <v>4019</v>
      </c>
      <c r="C190" s="5">
        <v>80.900000000000006</v>
      </c>
      <c r="D190" s="5">
        <v>88.5</v>
      </c>
    </row>
    <row r="191" spans="1:4" x14ac:dyDescent="0.3">
      <c r="A191" s="6">
        <v>40456</v>
      </c>
      <c r="B191" s="5">
        <v>4000</v>
      </c>
      <c r="C191" s="5">
        <v>79.92</v>
      </c>
      <c r="D191" s="5">
        <v>88.5</v>
      </c>
    </row>
    <row r="192" spans="1:4" x14ac:dyDescent="0.3">
      <c r="A192" s="6">
        <v>40457</v>
      </c>
      <c r="B192" s="5">
        <v>3950</v>
      </c>
      <c r="C192" s="5">
        <v>80.849999999999994</v>
      </c>
      <c r="D192" s="5">
        <v>90.5</v>
      </c>
    </row>
    <row r="193" spans="1:4" x14ac:dyDescent="0.3">
      <c r="A193" s="6">
        <v>40458</v>
      </c>
      <c r="B193" s="5">
        <v>3961</v>
      </c>
      <c r="C193" s="5">
        <v>82.1</v>
      </c>
      <c r="D193" s="5">
        <v>91.9</v>
      </c>
    </row>
    <row r="194" spans="1:4" x14ac:dyDescent="0.3">
      <c r="A194" s="6">
        <v>40459</v>
      </c>
      <c r="B194" s="5">
        <v>3990</v>
      </c>
      <c r="C194" s="5">
        <v>86.13</v>
      </c>
      <c r="D194" s="5">
        <v>92</v>
      </c>
    </row>
    <row r="195" spans="1:4" x14ac:dyDescent="0.3">
      <c r="A195" s="6">
        <v>40463</v>
      </c>
      <c r="B195" s="5">
        <v>3940</v>
      </c>
      <c r="C195" s="5">
        <v>86.85</v>
      </c>
      <c r="D195" s="5">
        <v>92</v>
      </c>
    </row>
    <row r="196" spans="1:4" x14ac:dyDescent="0.3">
      <c r="A196" s="6">
        <v>40464</v>
      </c>
      <c r="B196" s="5">
        <v>4002</v>
      </c>
      <c r="C196" s="5">
        <v>87.85</v>
      </c>
      <c r="D196" s="5">
        <v>92.98</v>
      </c>
    </row>
    <row r="197" spans="1:4" x14ac:dyDescent="0.3">
      <c r="A197" s="6">
        <v>40465</v>
      </c>
      <c r="B197" s="5">
        <v>4075</v>
      </c>
      <c r="C197" s="5">
        <v>91.02</v>
      </c>
      <c r="D197" s="5">
        <v>92.4</v>
      </c>
    </row>
    <row r="198" spans="1:4" x14ac:dyDescent="0.3">
      <c r="A198" s="6">
        <v>40466</v>
      </c>
      <c r="B198" s="5">
        <v>4064.99</v>
      </c>
      <c r="C198" s="5">
        <v>90.5</v>
      </c>
      <c r="D198" s="5">
        <v>90.9</v>
      </c>
    </row>
    <row r="199" spans="1:4" x14ac:dyDescent="0.3">
      <c r="A199" s="6">
        <v>40469</v>
      </c>
      <c r="B199" s="5">
        <v>4000</v>
      </c>
      <c r="C199" s="5">
        <v>91.3</v>
      </c>
      <c r="D199" s="5">
        <v>92</v>
      </c>
    </row>
    <row r="200" spans="1:4" x14ac:dyDescent="0.3">
      <c r="A200" s="6">
        <v>40470</v>
      </c>
      <c r="B200" s="5">
        <v>4000</v>
      </c>
      <c r="C200" s="5">
        <v>94.37</v>
      </c>
      <c r="D200" s="5">
        <v>91.2</v>
      </c>
    </row>
    <row r="201" spans="1:4" x14ac:dyDescent="0.3">
      <c r="A201" s="6">
        <v>40471</v>
      </c>
      <c r="B201" s="5">
        <v>4089.98</v>
      </c>
      <c r="C201" s="5">
        <v>93.7</v>
      </c>
      <c r="D201" s="5">
        <v>91.25</v>
      </c>
    </row>
    <row r="202" spans="1:4" x14ac:dyDescent="0.3">
      <c r="A202" s="6">
        <v>40472</v>
      </c>
      <c r="B202" s="5">
        <v>4000.1001000000001</v>
      </c>
      <c r="C202" s="5">
        <v>97.1</v>
      </c>
      <c r="D202" s="5">
        <v>92</v>
      </c>
    </row>
    <row r="203" spans="1:4" x14ac:dyDescent="0.3">
      <c r="A203" s="6">
        <v>40473</v>
      </c>
      <c r="B203" s="5">
        <v>4000</v>
      </c>
      <c r="C203" s="5">
        <v>99.49</v>
      </c>
      <c r="D203" s="5">
        <v>94</v>
      </c>
    </row>
    <row r="204" spans="1:4" x14ac:dyDescent="0.3">
      <c r="A204" s="6">
        <v>40476</v>
      </c>
      <c r="B204" s="5">
        <v>4020</v>
      </c>
      <c r="C204" s="5">
        <v>102.37</v>
      </c>
      <c r="D204" s="5">
        <v>94.5</v>
      </c>
    </row>
    <row r="205" spans="1:4" x14ac:dyDescent="0.3">
      <c r="A205" s="6">
        <v>40477</v>
      </c>
      <c r="B205" s="5">
        <v>4050</v>
      </c>
      <c r="C205" s="5">
        <v>98.2</v>
      </c>
      <c r="D205" s="5">
        <v>97.45</v>
      </c>
    </row>
    <row r="206" spans="1:4" x14ac:dyDescent="0.3">
      <c r="A206" s="6">
        <v>40478</v>
      </c>
      <c r="B206" s="5">
        <v>4050</v>
      </c>
      <c r="C206" s="5">
        <v>98.3</v>
      </c>
      <c r="D206" s="5">
        <v>98.5</v>
      </c>
    </row>
    <row r="207" spans="1:4" x14ac:dyDescent="0.3">
      <c r="A207" s="6">
        <v>40479</v>
      </c>
      <c r="B207" s="5">
        <v>4025</v>
      </c>
      <c r="C207" s="5">
        <v>101.85</v>
      </c>
      <c r="D207" s="5">
        <v>100</v>
      </c>
    </row>
    <row r="208" spans="1:4" x14ac:dyDescent="0.3">
      <c r="A208" s="6">
        <v>40480</v>
      </c>
      <c r="B208" s="5">
        <v>4088.6698999999999</v>
      </c>
      <c r="C208" s="5">
        <v>100.36</v>
      </c>
      <c r="D208" s="5">
        <v>100</v>
      </c>
    </row>
    <row r="209" spans="1:4" x14ac:dyDescent="0.3">
      <c r="A209" s="6">
        <v>40483</v>
      </c>
      <c r="B209" s="5">
        <v>4037.5</v>
      </c>
      <c r="C209" s="5">
        <v>100.8</v>
      </c>
      <c r="D209" s="5">
        <v>96.7</v>
      </c>
    </row>
    <row r="210" spans="1:4" x14ac:dyDescent="0.3">
      <c r="A210" s="6">
        <v>40484</v>
      </c>
      <c r="B210" s="5">
        <v>4069.99</v>
      </c>
      <c r="C210" s="5">
        <v>105.84</v>
      </c>
      <c r="D210" s="5">
        <v>98.99</v>
      </c>
    </row>
    <row r="211" spans="1:4" x14ac:dyDescent="0.3">
      <c r="A211" s="6">
        <v>40485</v>
      </c>
      <c r="B211" s="5">
        <v>4052.46</v>
      </c>
      <c r="C211" s="5">
        <v>109.27</v>
      </c>
      <c r="D211" s="5">
        <v>97.88</v>
      </c>
    </row>
    <row r="212" spans="1:4" x14ac:dyDescent="0.3">
      <c r="A212" s="6">
        <v>40486</v>
      </c>
      <c r="B212" s="5">
        <v>4050</v>
      </c>
      <c r="C212" s="5">
        <v>114.5</v>
      </c>
      <c r="D212" s="5">
        <v>98</v>
      </c>
    </row>
    <row r="213" spans="1:4" x14ac:dyDescent="0.3">
      <c r="A213" s="6">
        <v>40487</v>
      </c>
      <c r="B213" s="5">
        <v>4100</v>
      </c>
      <c r="C213" s="5">
        <v>120.22</v>
      </c>
      <c r="D213" s="5">
        <v>99.05</v>
      </c>
    </row>
    <row r="214" spans="1:4" x14ac:dyDescent="0.3">
      <c r="A214" s="6">
        <v>40490</v>
      </c>
      <c r="B214" s="5">
        <v>4088.99</v>
      </c>
      <c r="C214" s="5">
        <v>125.58</v>
      </c>
      <c r="D214" s="5">
        <v>98.14</v>
      </c>
    </row>
    <row r="215" spans="1:4" x14ac:dyDescent="0.3">
      <c r="A215" s="6">
        <v>40492</v>
      </c>
      <c r="B215" s="5">
        <v>4060.01</v>
      </c>
      <c r="C215" s="5">
        <v>125.39</v>
      </c>
      <c r="D215" s="5">
        <v>98.3</v>
      </c>
    </row>
    <row r="216" spans="1:4" x14ac:dyDescent="0.3">
      <c r="A216" s="6">
        <v>40493</v>
      </c>
      <c r="B216" s="5">
        <v>4088.99</v>
      </c>
      <c r="C216" s="5">
        <v>123.96</v>
      </c>
      <c r="D216" s="5">
        <v>98.9</v>
      </c>
    </row>
    <row r="217" spans="1:4" x14ac:dyDescent="0.3">
      <c r="A217" s="6">
        <v>40494</v>
      </c>
      <c r="B217" s="5">
        <v>4050</v>
      </c>
      <c r="C217" s="5">
        <v>122.94</v>
      </c>
      <c r="D217" s="5">
        <v>98.05</v>
      </c>
    </row>
    <row r="218" spans="1:4" x14ac:dyDescent="0.3">
      <c r="A218" s="6">
        <v>40497</v>
      </c>
      <c r="B218" s="5">
        <v>4053.5</v>
      </c>
      <c r="C218" s="5">
        <v>121.52</v>
      </c>
      <c r="D218" s="5">
        <v>98.9</v>
      </c>
    </row>
    <row r="219" spans="1:4" x14ac:dyDescent="0.3">
      <c r="A219" s="6">
        <v>40498</v>
      </c>
      <c r="B219" s="5">
        <v>4076.3301000000001</v>
      </c>
      <c r="C219" s="5">
        <v>127.23</v>
      </c>
      <c r="D219" s="5">
        <v>98.2</v>
      </c>
    </row>
    <row r="220" spans="1:4" x14ac:dyDescent="0.3">
      <c r="A220" s="6">
        <v>40504</v>
      </c>
      <c r="B220" s="5">
        <v>4050.01</v>
      </c>
      <c r="C220" s="5">
        <v>127.75</v>
      </c>
      <c r="D220" s="5">
        <v>99.02</v>
      </c>
    </row>
    <row r="221" spans="1:4" x14ac:dyDescent="0.3">
      <c r="A221" s="6">
        <v>40505</v>
      </c>
      <c r="B221" s="5">
        <v>4125</v>
      </c>
      <c r="C221" s="5">
        <v>126.91</v>
      </c>
      <c r="D221" s="5">
        <v>99.84</v>
      </c>
    </row>
    <row r="222" spans="1:4" x14ac:dyDescent="0.3">
      <c r="A222" s="6">
        <v>40506</v>
      </c>
      <c r="B222" s="5">
        <v>4179.6298999999999</v>
      </c>
      <c r="C222" s="5">
        <v>124.3</v>
      </c>
      <c r="D222" s="5">
        <v>100.97</v>
      </c>
    </row>
    <row r="223" spans="1:4" x14ac:dyDescent="0.3">
      <c r="A223" s="6">
        <v>40507</v>
      </c>
      <c r="B223" s="5">
        <v>4138.9902000000002</v>
      </c>
      <c r="C223" s="5">
        <v>125.92</v>
      </c>
      <c r="D223" s="5">
        <v>100.5</v>
      </c>
    </row>
    <row r="224" spans="1:4" x14ac:dyDescent="0.3">
      <c r="A224" s="6">
        <v>40508</v>
      </c>
      <c r="B224" s="5">
        <v>4133</v>
      </c>
      <c r="C224" s="5">
        <v>127.1</v>
      </c>
      <c r="D224" s="5">
        <v>98.87</v>
      </c>
    </row>
    <row r="225" spans="1:4" x14ac:dyDescent="0.3">
      <c r="A225" s="6">
        <v>40511</v>
      </c>
      <c r="B225" s="5">
        <v>4131.1201000000001</v>
      </c>
      <c r="C225" s="5">
        <v>128.34</v>
      </c>
      <c r="D225" s="5">
        <v>99.5</v>
      </c>
    </row>
    <row r="226" spans="1:4" x14ac:dyDescent="0.3">
      <c r="A226" s="6">
        <v>40512</v>
      </c>
      <c r="B226" s="5">
        <v>4124</v>
      </c>
      <c r="C226" s="5">
        <v>134.75</v>
      </c>
      <c r="D226" s="5">
        <v>100.06</v>
      </c>
    </row>
    <row r="227" spans="1:4" x14ac:dyDescent="0.3">
      <c r="A227" s="6">
        <v>40513</v>
      </c>
      <c r="B227" s="5">
        <v>4137.0097999999998</v>
      </c>
      <c r="C227" s="5">
        <v>128.02000000000001</v>
      </c>
      <c r="D227" s="5">
        <v>100</v>
      </c>
    </row>
    <row r="228" spans="1:4" x14ac:dyDescent="0.3">
      <c r="A228" s="6">
        <v>40514</v>
      </c>
      <c r="B228" s="5">
        <v>4109.6000999999997</v>
      </c>
      <c r="C228" s="5">
        <v>129.61000000000001</v>
      </c>
      <c r="D228" s="5">
        <v>100.96</v>
      </c>
    </row>
    <row r="229" spans="1:4" x14ac:dyDescent="0.3">
      <c r="A229" s="6">
        <v>40515</v>
      </c>
      <c r="B229" s="5">
        <v>4105</v>
      </c>
      <c r="C229" s="5">
        <v>123.5</v>
      </c>
      <c r="D229" s="5">
        <v>100.04</v>
      </c>
    </row>
    <row r="230" spans="1:4" x14ac:dyDescent="0.3">
      <c r="A230" s="6">
        <v>40518</v>
      </c>
      <c r="B230" s="5">
        <v>4085.5</v>
      </c>
      <c r="C230" s="5">
        <v>118.1</v>
      </c>
      <c r="D230" s="5">
        <v>100.11</v>
      </c>
    </row>
    <row r="231" spans="1:4" x14ac:dyDescent="0.3">
      <c r="A231" s="6">
        <v>40519</v>
      </c>
      <c r="B231" s="5">
        <v>4099.6801999999998</v>
      </c>
      <c r="C231" s="5">
        <v>117.96</v>
      </c>
      <c r="D231" s="5">
        <v>99.29</v>
      </c>
    </row>
    <row r="232" spans="1:4" x14ac:dyDescent="0.3">
      <c r="A232" s="6">
        <v>40520</v>
      </c>
      <c r="B232" s="5">
        <v>4070.8701000000001</v>
      </c>
      <c r="C232" s="5">
        <v>117.59</v>
      </c>
      <c r="D232" s="5">
        <v>99.87</v>
      </c>
    </row>
    <row r="233" spans="1:4" x14ac:dyDescent="0.3">
      <c r="A233" s="6">
        <v>40521</v>
      </c>
      <c r="B233" s="5">
        <v>4049.6001000000001</v>
      </c>
      <c r="C233" s="5">
        <v>117.28</v>
      </c>
      <c r="D233" s="5">
        <v>100</v>
      </c>
    </row>
    <row r="234" spans="1:4" x14ac:dyDescent="0.3">
      <c r="A234" s="6">
        <v>40522</v>
      </c>
      <c r="B234" s="5">
        <v>4045.1100999999999</v>
      </c>
      <c r="C234" s="5">
        <v>119.61</v>
      </c>
      <c r="D234" s="5">
        <v>100</v>
      </c>
    </row>
    <row r="235" spans="1:4" x14ac:dyDescent="0.3">
      <c r="A235" s="6">
        <v>40525</v>
      </c>
      <c r="B235" s="5">
        <v>4069.99</v>
      </c>
      <c r="C235" s="5">
        <v>121.61</v>
      </c>
      <c r="D235" s="5">
        <v>99.9</v>
      </c>
    </row>
    <row r="236" spans="1:4" x14ac:dyDescent="0.3">
      <c r="A236" s="6">
        <v>40526</v>
      </c>
      <c r="B236" s="5">
        <v>4262.54</v>
      </c>
      <c r="C236" s="5">
        <v>120.16</v>
      </c>
      <c r="D236" s="5">
        <v>101.86</v>
      </c>
    </row>
    <row r="237" spans="1:4" x14ac:dyDescent="0.3">
      <c r="A237" s="6">
        <v>40527</v>
      </c>
      <c r="B237" s="5">
        <v>4455.1000999999997</v>
      </c>
      <c r="C237" s="5">
        <v>120</v>
      </c>
      <c r="D237" s="5">
        <v>102.26</v>
      </c>
    </row>
    <row r="238" spans="1:4" x14ac:dyDescent="0.3">
      <c r="A238" s="6">
        <v>40532</v>
      </c>
      <c r="B238" s="5">
        <v>4548.5097999999998</v>
      </c>
      <c r="C238" s="5">
        <v>121.41</v>
      </c>
      <c r="D238" s="5">
        <v>102.5</v>
      </c>
    </row>
    <row r="239" spans="1:4" x14ac:dyDescent="0.3">
      <c r="A239" s="6">
        <v>40533</v>
      </c>
      <c r="B239" s="5">
        <v>4469</v>
      </c>
      <c r="C239" s="5">
        <v>121.71</v>
      </c>
      <c r="D239" s="5">
        <v>107.07</v>
      </c>
    </row>
    <row r="240" spans="1:4" x14ac:dyDescent="0.3">
      <c r="A240" s="6">
        <v>40534</v>
      </c>
      <c r="B240" s="5">
        <v>4433.0600999999997</v>
      </c>
      <c r="C240" s="5">
        <v>121.1</v>
      </c>
      <c r="D240" s="5">
        <v>110.13</v>
      </c>
    </row>
    <row r="241" spans="1:4" x14ac:dyDescent="0.3">
      <c r="A241" s="6">
        <v>40535</v>
      </c>
      <c r="B241" s="5">
        <v>4453.2201999999997</v>
      </c>
      <c r="C241" s="5">
        <v>120.28</v>
      </c>
      <c r="D241" s="5">
        <v>107.73</v>
      </c>
    </row>
    <row r="242" spans="1:4" x14ac:dyDescent="0.3">
      <c r="A242" s="6">
        <v>40536</v>
      </c>
      <c r="B242" s="5">
        <v>4362.2402000000002</v>
      </c>
      <c r="C242" s="5">
        <v>119.56</v>
      </c>
      <c r="D242" s="5">
        <v>107.9</v>
      </c>
    </row>
    <row r="243" spans="1:4" x14ac:dyDescent="0.3">
      <c r="A243" s="6">
        <v>40539</v>
      </c>
      <c r="B243" s="5">
        <v>4390.0097999999998</v>
      </c>
      <c r="C243" s="5">
        <v>121.73</v>
      </c>
      <c r="D243" s="5">
        <v>110</v>
      </c>
    </row>
    <row r="244" spans="1:4" x14ac:dyDescent="0.3">
      <c r="A244" s="6">
        <v>40540</v>
      </c>
      <c r="B244" s="5">
        <v>4393.4301999999998</v>
      </c>
      <c r="C244" s="5">
        <v>122.35</v>
      </c>
      <c r="D244" s="5">
        <v>109.35</v>
      </c>
    </row>
    <row r="245" spans="1:4" x14ac:dyDescent="0.3">
      <c r="A245" s="6">
        <v>40541</v>
      </c>
      <c r="B245" s="5">
        <v>4355.96</v>
      </c>
      <c r="C245" s="5">
        <v>122</v>
      </c>
      <c r="D245" s="5">
        <v>108.98</v>
      </c>
    </row>
    <row r="246" spans="1:4" x14ac:dyDescent="0.3">
      <c r="A246" s="6">
        <v>40542</v>
      </c>
      <c r="B246" s="5">
        <v>4343.5</v>
      </c>
      <c r="C246" s="5">
        <v>125.66</v>
      </c>
      <c r="D246" s="5">
        <v>109.84</v>
      </c>
    </row>
    <row r="247" spans="1:4" x14ac:dyDescent="0.3">
      <c r="A247" s="6">
        <v>40543</v>
      </c>
      <c r="B247" s="5">
        <v>4360.1698999999999</v>
      </c>
      <c r="C247" s="5">
        <v>124.68</v>
      </c>
      <c r="D247" s="5">
        <v>109.74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998A-BFA5-4902-B912-C7155D6B4EDD}">
  <dimension ref="A1:AC2351"/>
  <sheetViews>
    <sheetView topLeftCell="A373" zoomScale="85" zoomScaleNormal="85" workbookViewId="0">
      <selection sqref="A1:G1"/>
    </sheetView>
  </sheetViews>
  <sheetFormatPr defaultColWidth="9.109375" defaultRowHeight="14.4" x14ac:dyDescent="0.3"/>
  <cols>
    <col min="1" max="1" width="10.5546875" style="5" bestFit="1" customWidth="1"/>
    <col min="2" max="8" width="9.109375" style="5"/>
    <col min="9" max="9" width="10.5546875" style="5" bestFit="1" customWidth="1"/>
    <col min="10" max="16" width="9.109375" style="5"/>
    <col min="17" max="17" width="10.5546875" style="5" bestFit="1" customWidth="1"/>
    <col min="18" max="16384" width="9.109375" style="5"/>
  </cols>
  <sheetData>
    <row r="1" spans="1:29" x14ac:dyDescent="0.3">
      <c r="A1" s="22" t="s">
        <v>0</v>
      </c>
      <c r="B1" s="22"/>
      <c r="C1" s="22"/>
      <c r="D1" s="22"/>
      <c r="E1" s="22"/>
      <c r="F1" s="22"/>
      <c r="G1" s="22"/>
      <c r="H1" s="4"/>
      <c r="I1" s="22" t="s">
        <v>8</v>
      </c>
      <c r="J1" s="22"/>
      <c r="K1" s="22"/>
      <c r="L1" s="22"/>
      <c r="M1" s="22"/>
      <c r="N1" s="22"/>
      <c r="O1" s="22"/>
      <c r="P1" s="4"/>
      <c r="Q1" s="22" t="s">
        <v>9</v>
      </c>
      <c r="R1" s="22"/>
      <c r="S1" s="22"/>
      <c r="T1" s="22"/>
      <c r="U1" s="22"/>
      <c r="V1" s="22"/>
      <c r="W1" s="22"/>
      <c r="AC1" s="4" t="s">
        <v>30</v>
      </c>
    </row>
    <row r="2" spans="1:29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4" t="s">
        <v>1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4"/>
      <c r="Q2" s="4" t="s">
        <v>1</v>
      </c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Y2" s="4" t="s">
        <v>1</v>
      </c>
      <c r="Z2" s="4" t="s">
        <v>8</v>
      </c>
      <c r="AA2" s="4" t="s">
        <v>25</v>
      </c>
      <c r="AB2" s="4" t="s">
        <v>26</v>
      </c>
      <c r="AC2" s="4" t="s">
        <v>27</v>
      </c>
    </row>
    <row r="3" spans="1:29" x14ac:dyDescent="0.3">
      <c r="A3" s="6">
        <v>38149</v>
      </c>
      <c r="B3" s="7">
        <v>0.66666666666666663</v>
      </c>
      <c r="C3" s="5">
        <v>140</v>
      </c>
      <c r="D3" s="5">
        <v>140.35</v>
      </c>
      <c r="E3" s="5">
        <v>140</v>
      </c>
      <c r="F3" s="5">
        <v>140.35</v>
      </c>
      <c r="G3" s="5">
        <v>200</v>
      </c>
      <c r="I3" s="6">
        <v>39653</v>
      </c>
      <c r="J3" s="7">
        <v>0.66666666666666663</v>
      </c>
      <c r="K3" s="5">
        <v>2290</v>
      </c>
      <c r="L3" s="5">
        <v>2290</v>
      </c>
      <c r="M3" s="5">
        <v>2290</v>
      </c>
      <c r="N3" s="5">
        <v>2290</v>
      </c>
      <c r="O3" s="5">
        <v>20</v>
      </c>
      <c r="Q3" s="6">
        <v>38149</v>
      </c>
      <c r="R3" s="7">
        <v>0.66666666666666663</v>
      </c>
      <c r="S3" s="5">
        <v>95</v>
      </c>
      <c r="T3" s="5">
        <v>96</v>
      </c>
      <c r="U3" s="5">
        <v>95</v>
      </c>
      <c r="V3" s="5">
        <v>96</v>
      </c>
      <c r="W3" s="5">
        <v>133800</v>
      </c>
      <c r="Y3" s="6">
        <f>I3</f>
        <v>39653</v>
      </c>
      <c r="Z3" s="5">
        <f>N3</f>
        <v>2290</v>
      </c>
      <c r="AA3" s="5">
        <f t="array" ref="AA3:AA1073">INDEX(Q3:W2299,MATCH(Y3:Y1073,Q3:Q2299,0),6)</f>
        <v>219.99</v>
      </c>
      <c r="AB3" s="5">
        <f t="array" ref="AB3:AB1073">INDEX(A3:G2299,MATCH(Y3:Y1073,A3:A2299,0),6)</f>
        <v>153.99</v>
      </c>
      <c r="AC3" s="4" t="s">
        <v>28</v>
      </c>
    </row>
    <row r="4" spans="1:29" x14ac:dyDescent="0.3">
      <c r="A4" s="6">
        <v>38152</v>
      </c>
      <c r="B4" s="7">
        <v>0.66666666666666663</v>
      </c>
      <c r="C4" s="5">
        <v>140</v>
      </c>
      <c r="D4" s="5">
        <v>140</v>
      </c>
      <c r="E4" s="5">
        <v>133.35</v>
      </c>
      <c r="F4" s="5">
        <v>137</v>
      </c>
      <c r="G4" s="5">
        <v>600</v>
      </c>
      <c r="I4" s="6">
        <v>39661</v>
      </c>
      <c r="J4" s="7">
        <v>0.66666666666666663</v>
      </c>
      <c r="K4" s="5">
        <v>2300</v>
      </c>
      <c r="L4" s="5">
        <v>2310</v>
      </c>
      <c r="M4" s="5">
        <v>2300</v>
      </c>
      <c r="N4" s="5">
        <v>2310</v>
      </c>
      <c r="O4" s="5">
        <v>160</v>
      </c>
      <c r="Q4" s="6">
        <v>38152</v>
      </c>
      <c r="R4" s="7">
        <v>0.66666666666666663</v>
      </c>
      <c r="S4" s="5">
        <v>95.45</v>
      </c>
      <c r="T4" s="5">
        <v>95.45</v>
      </c>
      <c r="U4" s="5">
        <v>91.2</v>
      </c>
      <c r="V4" s="5">
        <v>92</v>
      </c>
      <c r="W4" s="5">
        <v>42300</v>
      </c>
      <c r="Y4" s="6">
        <f t="shared" ref="Y4:Y67" si="0">I4</f>
        <v>39661</v>
      </c>
      <c r="Z4" s="5">
        <f t="shared" ref="Z4:Z67" si="1">N4</f>
        <v>2310</v>
      </c>
      <c r="AA4" s="5">
        <v>189.05</v>
      </c>
      <c r="AB4" s="5">
        <v>133.5</v>
      </c>
      <c r="AC4" s="4" t="s">
        <v>29</v>
      </c>
    </row>
    <row r="5" spans="1:29" x14ac:dyDescent="0.3">
      <c r="A5" s="6">
        <v>38153</v>
      </c>
      <c r="B5" s="7">
        <v>0.66666666666666663</v>
      </c>
      <c r="C5" s="5">
        <v>139</v>
      </c>
      <c r="D5" s="5">
        <v>139</v>
      </c>
      <c r="E5" s="5">
        <v>139</v>
      </c>
      <c r="F5" s="5">
        <v>139</v>
      </c>
      <c r="G5" s="5">
        <v>200</v>
      </c>
      <c r="I5" s="6">
        <v>39664</v>
      </c>
      <c r="J5" s="7">
        <v>0.66666666666666663</v>
      </c>
      <c r="K5" s="5">
        <v>2310</v>
      </c>
      <c r="L5" s="5">
        <v>2320</v>
      </c>
      <c r="M5" s="5">
        <v>2275</v>
      </c>
      <c r="N5" s="5">
        <v>2300</v>
      </c>
      <c r="O5" s="5">
        <v>860</v>
      </c>
      <c r="Q5" s="6">
        <v>38153</v>
      </c>
      <c r="R5" s="7">
        <v>0.66666666666666663</v>
      </c>
      <c r="S5" s="5">
        <v>92</v>
      </c>
      <c r="T5" s="5">
        <v>93.9</v>
      </c>
      <c r="U5" s="5">
        <v>92</v>
      </c>
      <c r="V5" s="5">
        <v>93.5</v>
      </c>
      <c r="W5" s="5">
        <v>73900</v>
      </c>
      <c r="Y5" s="6">
        <f t="shared" si="0"/>
        <v>39664</v>
      </c>
      <c r="Z5" s="5">
        <f t="shared" si="1"/>
        <v>2300</v>
      </c>
      <c r="AA5" s="5">
        <v>179.6</v>
      </c>
      <c r="AB5" s="5">
        <v>128</v>
      </c>
      <c r="AC5" s="1" t="s">
        <v>31</v>
      </c>
    </row>
    <row r="6" spans="1:29" x14ac:dyDescent="0.3">
      <c r="A6" s="6">
        <v>38154</v>
      </c>
      <c r="B6" s="7">
        <v>0.66666666666666663</v>
      </c>
      <c r="C6" s="5">
        <v>145</v>
      </c>
      <c r="D6" s="5">
        <v>147</v>
      </c>
      <c r="E6" s="5">
        <v>145</v>
      </c>
      <c r="F6" s="5">
        <v>147</v>
      </c>
      <c r="G6" s="5">
        <v>800</v>
      </c>
      <c r="I6" s="6">
        <v>39665</v>
      </c>
      <c r="J6" s="7">
        <v>0.66666666666666663</v>
      </c>
      <c r="K6" s="5">
        <v>2300</v>
      </c>
      <c r="L6" s="5">
        <v>2300</v>
      </c>
      <c r="M6" s="5">
        <v>2300</v>
      </c>
      <c r="N6" s="5">
        <v>2300</v>
      </c>
      <c r="O6" s="5">
        <v>280</v>
      </c>
      <c r="Q6" s="6">
        <v>38154</v>
      </c>
      <c r="R6" s="7">
        <v>0.66666666666666663</v>
      </c>
      <c r="S6" s="5">
        <v>93.5</v>
      </c>
      <c r="T6" s="5">
        <v>94.8</v>
      </c>
      <c r="U6" s="5">
        <v>93.5</v>
      </c>
      <c r="V6" s="5">
        <v>94.8</v>
      </c>
      <c r="W6" s="5">
        <v>93500</v>
      </c>
      <c r="Y6" s="6">
        <f t="shared" si="0"/>
        <v>39665</v>
      </c>
      <c r="Z6" s="5">
        <f t="shared" si="1"/>
        <v>2300</v>
      </c>
      <c r="AA6" s="5">
        <v>173</v>
      </c>
      <c r="AB6" s="5">
        <v>133.99</v>
      </c>
      <c r="AC6" s="4" t="s">
        <v>32</v>
      </c>
    </row>
    <row r="7" spans="1:29" x14ac:dyDescent="0.3">
      <c r="A7" s="6">
        <v>38155</v>
      </c>
      <c r="B7" s="7">
        <v>0.66666666666666663</v>
      </c>
      <c r="C7" s="5">
        <v>145</v>
      </c>
      <c r="D7" s="5">
        <v>148</v>
      </c>
      <c r="E7" s="5">
        <v>142.05000000000001</v>
      </c>
      <c r="F7" s="5">
        <v>145</v>
      </c>
      <c r="G7" s="5">
        <v>1400</v>
      </c>
      <c r="I7" s="6">
        <v>39666</v>
      </c>
      <c r="J7" s="7">
        <v>0.66666666666666663</v>
      </c>
      <c r="K7" s="5">
        <v>2300</v>
      </c>
      <c r="L7" s="5">
        <v>2300</v>
      </c>
      <c r="M7" s="5">
        <v>2300</v>
      </c>
      <c r="N7" s="5">
        <v>2300</v>
      </c>
      <c r="O7" s="5">
        <v>180</v>
      </c>
      <c r="Q7" s="6">
        <v>38155</v>
      </c>
      <c r="R7" s="7">
        <v>0.66666666666666663</v>
      </c>
      <c r="S7" s="5">
        <v>94.8</v>
      </c>
      <c r="T7" s="5">
        <v>94.8</v>
      </c>
      <c r="U7" s="5">
        <v>93</v>
      </c>
      <c r="V7" s="5">
        <v>93</v>
      </c>
      <c r="W7" s="5">
        <v>25600</v>
      </c>
      <c r="Y7" s="6">
        <f t="shared" si="0"/>
        <v>39666</v>
      </c>
      <c r="Z7" s="5">
        <f t="shared" si="1"/>
        <v>2300</v>
      </c>
      <c r="AA7" s="5">
        <v>164.35</v>
      </c>
      <c r="AB7" s="5">
        <v>127.3</v>
      </c>
    </row>
    <row r="8" spans="1:29" x14ac:dyDescent="0.3">
      <c r="A8" s="6">
        <v>38156</v>
      </c>
      <c r="B8" s="7">
        <v>0.66666666666666663</v>
      </c>
      <c r="C8" s="5">
        <v>145</v>
      </c>
      <c r="D8" s="5">
        <v>145</v>
      </c>
      <c r="E8" s="5">
        <v>145</v>
      </c>
      <c r="F8" s="5">
        <v>145</v>
      </c>
      <c r="G8" s="5">
        <v>600</v>
      </c>
      <c r="I8" s="6">
        <v>39667</v>
      </c>
      <c r="J8" s="7">
        <v>0.66666666666666663</v>
      </c>
      <c r="K8" s="5">
        <v>2300</v>
      </c>
      <c r="L8" s="5">
        <v>2300</v>
      </c>
      <c r="M8" s="5">
        <v>2300</v>
      </c>
      <c r="N8" s="5">
        <v>2300</v>
      </c>
      <c r="O8" s="5">
        <v>2180</v>
      </c>
      <c r="Q8" s="6">
        <v>38156</v>
      </c>
      <c r="R8" s="7">
        <v>0.66666666666666663</v>
      </c>
      <c r="S8" s="5">
        <v>93</v>
      </c>
      <c r="T8" s="5">
        <v>94.75</v>
      </c>
      <c r="U8" s="5">
        <v>90.1</v>
      </c>
      <c r="V8" s="5">
        <v>92.25</v>
      </c>
      <c r="W8" s="5">
        <v>75600</v>
      </c>
      <c r="Y8" s="6">
        <f t="shared" si="0"/>
        <v>39667</v>
      </c>
      <c r="Z8" s="5">
        <f t="shared" si="1"/>
        <v>2300</v>
      </c>
      <c r="AA8" s="5">
        <v>156.13999999999999</v>
      </c>
      <c r="AB8" s="5">
        <v>130</v>
      </c>
    </row>
    <row r="9" spans="1:29" x14ac:dyDescent="0.3">
      <c r="A9" s="6">
        <v>38159</v>
      </c>
      <c r="B9" s="7">
        <v>0.66666666666666663</v>
      </c>
      <c r="C9" s="5">
        <v>143</v>
      </c>
      <c r="D9" s="5">
        <v>143</v>
      </c>
      <c r="E9" s="5">
        <v>143</v>
      </c>
      <c r="F9" s="5">
        <v>143</v>
      </c>
      <c r="G9" s="5">
        <v>100</v>
      </c>
      <c r="I9" s="6">
        <v>39668</v>
      </c>
      <c r="J9" s="7">
        <v>0.66666666666666663</v>
      </c>
      <c r="K9" s="5">
        <v>2300</v>
      </c>
      <c r="L9" s="5">
        <v>2300</v>
      </c>
      <c r="M9" s="5">
        <v>2300</v>
      </c>
      <c r="N9" s="5">
        <v>2300</v>
      </c>
      <c r="O9" s="5">
        <v>6240</v>
      </c>
      <c r="Q9" s="6">
        <v>38159</v>
      </c>
      <c r="R9" s="7">
        <v>0.66666666666666663</v>
      </c>
      <c r="S9" s="5">
        <v>92.25</v>
      </c>
      <c r="T9" s="5">
        <v>94.5</v>
      </c>
      <c r="U9" s="5">
        <v>90.75</v>
      </c>
      <c r="V9" s="5">
        <v>92</v>
      </c>
      <c r="W9" s="5">
        <v>86900</v>
      </c>
      <c r="Y9" s="6">
        <f t="shared" si="0"/>
        <v>39668</v>
      </c>
      <c r="Z9" s="5">
        <f t="shared" si="1"/>
        <v>2300</v>
      </c>
      <c r="AA9" s="5">
        <v>150.25</v>
      </c>
      <c r="AB9" s="5">
        <v>129.4</v>
      </c>
    </row>
    <row r="10" spans="1:29" x14ac:dyDescent="0.3">
      <c r="A10" s="6">
        <v>38160</v>
      </c>
      <c r="B10" s="7">
        <v>0.66666666666666663</v>
      </c>
      <c r="C10" s="5">
        <v>136.5</v>
      </c>
      <c r="D10" s="5">
        <v>140</v>
      </c>
      <c r="E10" s="5">
        <v>136</v>
      </c>
      <c r="F10" s="5">
        <v>140</v>
      </c>
      <c r="G10" s="5">
        <v>1300</v>
      </c>
      <c r="I10" s="6">
        <v>39671</v>
      </c>
      <c r="J10" s="7">
        <v>0.66666666666666663</v>
      </c>
      <c r="K10" s="5">
        <v>2301</v>
      </c>
      <c r="L10" s="5">
        <v>2301</v>
      </c>
      <c r="M10" s="5">
        <v>2301</v>
      </c>
      <c r="N10" s="5">
        <v>2301</v>
      </c>
      <c r="O10" s="5">
        <v>60</v>
      </c>
      <c r="Q10" s="6">
        <v>38160</v>
      </c>
      <c r="R10" s="7">
        <v>0.66666666666666663</v>
      </c>
      <c r="S10" s="5">
        <v>91.6</v>
      </c>
      <c r="T10" s="5">
        <v>91.6</v>
      </c>
      <c r="U10" s="5">
        <v>88</v>
      </c>
      <c r="V10" s="5">
        <v>89.35</v>
      </c>
      <c r="W10" s="5">
        <v>77900</v>
      </c>
      <c r="Y10" s="6">
        <f t="shared" si="0"/>
        <v>39671</v>
      </c>
      <c r="Z10" s="5">
        <f t="shared" si="1"/>
        <v>2301</v>
      </c>
      <c r="AA10" s="5">
        <v>157.76</v>
      </c>
      <c r="AB10" s="5">
        <v>129</v>
      </c>
    </row>
    <row r="11" spans="1:29" x14ac:dyDescent="0.3">
      <c r="A11" s="6">
        <v>38161</v>
      </c>
      <c r="B11" s="7">
        <v>0.66666666666666663</v>
      </c>
      <c r="C11" s="5">
        <v>139</v>
      </c>
      <c r="D11" s="5">
        <v>139</v>
      </c>
      <c r="E11" s="5">
        <v>138</v>
      </c>
      <c r="F11" s="5">
        <v>138</v>
      </c>
      <c r="G11" s="5">
        <v>600</v>
      </c>
      <c r="I11" s="6">
        <v>39672</v>
      </c>
      <c r="J11" s="7">
        <v>0.66666666666666663</v>
      </c>
      <c r="K11" s="5">
        <v>2301</v>
      </c>
      <c r="L11" s="5">
        <v>2302</v>
      </c>
      <c r="M11" s="5">
        <v>2300</v>
      </c>
      <c r="N11" s="5">
        <v>2300</v>
      </c>
      <c r="O11" s="5">
        <v>120</v>
      </c>
      <c r="Q11" s="6">
        <v>38161</v>
      </c>
      <c r="R11" s="7">
        <v>0.66666666666666663</v>
      </c>
      <c r="S11" s="5">
        <v>89.35</v>
      </c>
      <c r="T11" s="5">
        <v>91</v>
      </c>
      <c r="U11" s="5">
        <v>87.4</v>
      </c>
      <c r="V11" s="5">
        <v>88</v>
      </c>
      <c r="W11" s="5">
        <v>52500</v>
      </c>
      <c r="Y11" s="6">
        <f t="shared" si="0"/>
        <v>39672</v>
      </c>
      <c r="Z11" s="5">
        <f t="shared" si="1"/>
        <v>2300</v>
      </c>
      <c r="AA11" s="5">
        <v>155.5</v>
      </c>
      <c r="AB11" s="5">
        <v>127</v>
      </c>
    </row>
    <row r="12" spans="1:29" x14ac:dyDescent="0.3">
      <c r="A12" s="6">
        <v>38162</v>
      </c>
      <c r="B12" s="7">
        <v>0.66666666666666663</v>
      </c>
      <c r="C12" s="5">
        <v>138</v>
      </c>
      <c r="D12" s="5">
        <v>138</v>
      </c>
      <c r="E12" s="5">
        <v>138</v>
      </c>
      <c r="F12" s="5">
        <v>138</v>
      </c>
      <c r="G12" s="5">
        <v>1100</v>
      </c>
      <c r="I12" s="6">
        <v>39678</v>
      </c>
      <c r="J12" s="7">
        <v>0.66666666666666663</v>
      </c>
      <c r="K12" s="5">
        <v>2300</v>
      </c>
      <c r="L12" s="5">
        <v>2332</v>
      </c>
      <c r="M12" s="5">
        <v>2300</v>
      </c>
      <c r="N12" s="5">
        <v>2332</v>
      </c>
      <c r="O12" s="5">
        <v>160</v>
      </c>
      <c r="Q12" s="6">
        <v>38162</v>
      </c>
      <c r="R12" s="7">
        <v>0.66666666666666663</v>
      </c>
      <c r="S12" s="5">
        <v>89.5</v>
      </c>
      <c r="T12" s="5">
        <v>91.8</v>
      </c>
      <c r="U12" s="5">
        <v>89.5</v>
      </c>
      <c r="V12" s="5">
        <v>91</v>
      </c>
      <c r="W12" s="5">
        <v>87100</v>
      </c>
      <c r="Y12" s="6">
        <f t="shared" si="0"/>
        <v>39678</v>
      </c>
      <c r="Z12" s="5">
        <f t="shared" si="1"/>
        <v>2332</v>
      </c>
      <c r="AA12" s="5">
        <v>171.43</v>
      </c>
      <c r="AB12" s="5">
        <v>131</v>
      </c>
    </row>
    <row r="13" spans="1:29" x14ac:dyDescent="0.3">
      <c r="A13" s="6">
        <v>38163</v>
      </c>
      <c r="B13" s="7">
        <v>0.66666666666666663</v>
      </c>
      <c r="C13" s="5">
        <v>143.75</v>
      </c>
      <c r="D13" s="5">
        <v>143.75</v>
      </c>
      <c r="E13" s="5">
        <v>141</v>
      </c>
      <c r="F13" s="5">
        <v>143.69999999999999</v>
      </c>
      <c r="G13" s="5">
        <v>1700</v>
      </c>
      <c r="I13" s="6">
        <v>39679</v>
      </c>
      <c r="J13" s="7">
        <v>0.66666666666666663</v>
      </c>
      <c r="K13" s="5">
        <v>2350</v>
      </c>
      <c r="L13" s="5">
        <v>2350</v>
      </c>
      <c r="M13" s="5">
        <v>2350</v>
      </c>
      <c r="N13" s="5">
        <v>2350</v>
      </c>
      <c r="O13" s="5">
        <v>220</v>
      </c>
      <c r="Q13" s="6">
        <v>38163</v>
      </c>
      <c r="R13" s="7">
        <v>0.66666666666666663</v>
      </c>
      <c r="S13" s="5">
        <v>91</v>
      </c>
      <c r="T13" s="5">
        <v>91.75</v>
      </c>
      <c r="U13" s="5">
        <v>88</v>
      </c>
      <c r="V13" s="5">
        <v>88.5</v>
      </c>
      <c r="W13" s="5">
        <v>48800</v>
      </c>
      <c r="Y13" s="6">
        <f t="shared" si="0"/>
        <v>39679</v>
      </c>
      <c r="Z13" s="5">
        <f t="shared" si="1"/>
        <v>2350</v>
      </c>
      <c r="AA13" s="5">
        <v>180</v>
      </c>
      <c r="AB13" s="5">
        <v>130.19999999999999</v>
      </c>
    </row>
    <row r="14" spans="1:29" x14ac:dyDescent="0.3">
      <c r="A14" s="6">
        <v>38166</v>
      </c>
      <c r="B14" s="7">
        <v>0.66666666666666663</v>
      </c>
      <c r="C14" s="5">
        <v>143.94999999999999</v>
      </c>
      <c r="D14" s="5">
        <v>146</v>
      </c>
      <c r="E14" s="5">
        <v>143.94999999999999</v>
      </c>
      <c r="F14" s="5">
        <v>145</v>
      </c>
      <c r="G14" s="5">
        <v>1700</v>
      </c>
      <c r="I14" s="6">
        <v>39680</v>
      </c>
      <c r="J14" s="7">
        <v>0.66666666666666663</v>
      </c>
      <c r="K14" s="5">
        <v>2325</v>
      </c>
      <c r="L14" s="5">
        <v>2325</v>
      </c>
      <c r="M14" s="5">
        <v>2325</v>
      </c>
      <c r="N14" s="5">
        <v>2325</v>
      </c>
      <c r="O14" s="5">
        <v>240</v>
      </c>
      <c r="Q14" s="6">
        <v>38166</v>
      </c>
      <c r="R14" s="7">
        <v>0.66666666666666663</v>
      </c>
      <c r="S14" s="5">
        <v>89.9</v>
      </c>
      <c r="T14" s="5">
        <v>92.05</v>
      </c>
      <c r="U14" s="5">
        <v>89.9</v>
      </c>
      <c r="V14" s="5">
        <v>92</v>
      </c>
      <c r="W14" s="5">
        <v>82900</v>
      </c>
      <c r="Y14" s="6">
        <f t="shared" si="0"/>
        <v>39680</v>
      </c>
      <c r="Z14" s="5">
        <f t="shared" si="1"/>
        <v>2325</v>
      </c>
      <c r="AA14" s="5">
        <v>174.9</v>
      </c>
      <c r="AB14" s="5">
        <v>124.01</v>
      </c>
    </row>
    <row r="15" spans="1:29" x14ac:dyDescent="0.3">
      <c r="A15" s="6">
        <v>38167</v>
      </c>
      <c r="B15" s="7">
        <v>0.66666666666666663</v>
      </c>
      <c r="C15" s="5">
        <v>144.9</v>
      </c>
      <c r="D15" s="5">
        <v>145</v>
      </c>
      <c r="E15" s="5">
        <v>144.9</v>
      </c>
      <c r="F15" s="5">
        <v>145</v>
      </c>
      <c r="G15" s="5">
        <v>300</v>
      </c>
      <c r="I15" s="6">
        <v>39681</v>
      </c>
      <c r="J15" s="7">
        <v>0.66666666666666663</v>
      </c>
      <c r="K15" s="5">
        <v>2335</v>
      </c>
      <c r="L15" s="5">
        <v>2350</v>
      </c>
      <c r="M15" s="5">
        <v>2335</v>
      </c>
      <c r="N15" s="5">
        <v>2350</v>
      </c>
      <c r="O15" s="5">
        <v>180</v>
      </c>
      <c r="Q15" s="6">
        <v>38167</v>
      </c>
      <c r="R15" s="7">
        <v>0.66666666666666663</v>
      </c>
      <c r="S15" s="5">
        <v>92</v>
      </c>
      <c r="T15" s="5">
        <v>93</v>
      </c>
      <c r="U15" s="5">
        <v>90.5</v>
      </c>
      <c r="V15" s="5">
        <v>92</v>
      </c>
      <c r="W15" s="5">
        <v>46500</v>
      </c>
      <c r="Y15" s="6">
        <f t="shared" si="0"/>
        <v>39681</v>
      </c>
      <c r="Z15" s="5">
        <f t="shared" si="1"/>
        <v>2350</v>
      </c>
      <c r="AA15" s="5">
        <v>168</v>
      </c>
      <c r="AB15" s="5">
        <v>123</v>
      </c>
    </row>
    <row r="16" spans="1:29" x14ac:dyDescent="0.3">
      <c r="A16" s="6">
        <v>38169</v>
      </c>
      <c r="B16" s="7">
        <v>0.66666666666666663</v>
      </c>
      <c r="C16" s="5">
        <v>142</v>
      </c>
      <c r="D16" s="5">
        <v>142</v>
      </c>
      <c r="E16" s="5">
        <v>138</v>
      </c>
      <c r="F16" s="5">
        <v>138.1</v>
      </c>
      <c r="G16" s="5">
        <v>1700</v>
      </c>
      <c r="I16" s="6">
        <v>39682</v>
      </c>
      <c r="J16" s="7">
        <v>0.66666666666666663</v>
      </c>
      <c r="K16" s="5">
        <v>2350</v>
      </c>
      <c r="L16" s="5">
        <v>2350</v>
      </c>
      <c r="M16" s="5">
        <v>2253</v>
      </c>
      <c r="N16" s="5">
        <v>2349.9899999999998</v>
      </c>
      <c r="O16" s="5">
        <v>160</v>
      </c>
      <c r="Q16" s="6">
        <v>38168</v>
      </c>
      <c r="R16" s="7">
        <v>0.66666666666666663</v>
      </c>
      <c r="S16" s="5">
        <v>92</v>
      </c>
      <c r="T16" s="5">
        <v>92.75</v>
      </c>
      <c r="U16" s="5">
        <v>91.5</v>
      </c>
      <c r="V16" s="5">
        <v>91.5</v>
      </c>
      <c r="W16" s="5">
        <v>22700</v>
      </c>
      <c r="Y16" s="6">
        <f t="shared" si="0"/>
        <v>39682</v>
      </c>
      <c r="Z16" s="5">
        <f t="shared" si="1"/>
        <v>2349.9899999999998</v>
      </c>
      <c r="AA16" s="5">
        <v>163.5</v>
      </c>
      <c r="AB16" s="5">
        <v>124</v>
      </c>
    </row>
    <row r="17" spans="1:28" x14ac:dyDescent="0.3">
      <c r="A17" s="6">
        <v>38170</v>
      </c>
      <c r="B17" s="7">
        <v>0.66666666666666663</v>
      </c>
      <c r="C17" s="5">
        <v>139.5</v>
      </c>
      <c r="D17" s="5">
        <v>140</v>
      </c>
      <c r="E17" s="5">
        <v>139.5</v>
      </c>
      <c r="F17" s="5">
        <v>140</v>
      </c>
      <c r="G17" s="5">
        <v>400</v>
      </c>
      <c r="I17" s="6">
        <v>39685</v>
      </c>
      <c r="J17" s="7">
        <v>0.66666666666666663</v>
      </c>
      <c r="K17" s="5">
        <v>2349.9899999999998</v>
      </c>
      <c r="L17" s="5">
        <v>2350</v>
      </c>
      <c r="M17" s="5">
        <v>2330</v>
      </c>
      <c r="N17" s="5">
        <v>2350</v>
      </c>
      <c r="O17" s="5">
        <v>340</v>
      </c>
      <c r="Q17" s="6">
        <v>38169</v>
      </c>
      <c r="R17" s="7">
        <v>0.66666666666666663</v>
      </c>
      <c r="S17" s="5">
        <v>91.75</v>
      </c>
      <c r="T17" s="5">
        <v>93</v>
      </c>
      <c r="U17" s="5">
        <v>91.75</v>
      </c>
      <c r="V17" s="5">
        <v>93</v>
      </c>
      <c r="W17" s="5">
        <v>61000</v>
      </c>
      <c r="Y17" s="6">
        <f t="shared" si="0"/>
        <v>39685</v>
      </c>
      <c r="Z17" s="5">
        <f t="shared" si="1"/>
        <v>2350</v>
      </c>
      <c r="AA17" s="5">
        <v>156.11000000000001</v>
      </c>
      <c r="AB17" s="5">
        <v>120</v>
      </c>
    </row>
    <row r="18" spans="1:28" x14ac:dyDescent="0.3">
      <c r="A18" s="6">
        <v>38173</v>
      </c>
      <c r="B18" s="7">
        <v>0.66666666666666663</v>
      </c>
      <c r="C18" s="5">
        <v>143</v>
      </c>
      <c r="D18" s="5">
        <v>143</v>
      </c>
      <c r="E18" s="5">
        <v>141</v>
      </c>
      <c r="F18" s="5">
        <v>141</v>
      </c>
      <c r="G18" s="5">
        <v>2000</v>
      </c>
      <c r="I18" s="6">
        <v>39686</v>
      </c>
      <c r="J18" s="7">
        <v>0.66666666666666663</v>
      </c>
      <c r="K18" s="5">
        <v>2350</v>
      </c>
      <c r="L18" s="5">
        <v>2350</v>
      </c>
      <c r="M18" s="5">
        <v>2350</v>
      </c>
      <c r="N18" s="5">
        <v>2350</v>
      </c>
      <c r="O18" s="5">
        <v>820</v>
      </c>
      <c r="Q18" s="6">
        <v>38170</v>
      </c>
      <c r="R18" s="7">
        <v>0.66666666666666663</v>
      </c>
      <c r="S18" s="5">
        <v>93</v>
      </c>
      <c r="T18" s="5">
        <v>93.9</v>
      </c>
      <c r="U18" s="5">
        <v>92.3</v>
      </c>
      <c r="V18" s="5">
        <v>93</v>
      </c>
      <c r="W18" s="5">
        <v>99100</v>
      </c>
      <c r="Y18" s="6">
        <f t="shared" si="0"/>
        <v>39686</v>
      </c>
      <c r="Z18" s="5">
        <f t="shared" si="1"/>
        <v>2350</v>
      </c>
      <c r="AA18" s="5">
        <v>148.31</v>
      </c>
      <c r="AB18" s="5">
        <v>115.11</v>
      </c>
    </row>
    <row r="19" spans="1:28" x14ac:dyDescent="0.3">
      <c r="A19" s="6">
        <v>38174</v>
      </c>
      <c r="B19" s="7">
        <v>0.66666666666666663</v>
      </c>
      <c r="C19" s="5">
        <v>143</v>
      </c>
      <c r="D19" s="5">
        <v>144</v>
      </c>
      <c r="E19" s="5">
        <v>142</v>
      </c>
      <c r="F19" s="5">
        <v>144</v>
      </c>
      <c r="G19" s="5">
        <v>1500</v>
      </c>
      <c r="I19" s="6">
        <v>39687</v>
      </c>
      <c r="J19" s="7">
        <v>0.66666666666666663</v>
      </c>
      <c r="K19" s="5">
        <v>2350</v>
      </c>
      <c r="L19" s="5">
        <v>2350</v>
      </c>
      <c r="M19" s="5">
        <v>2301</v>
      </c>
      <c r="N19" s="5">
        <v>2340</v>
      </c>
      <c r="O19" s="5">
        <v>1040</v>
      </c>
      <c r="Q19" s="6">
        <v>38173</v>
      </c>
      <c r="R19" s="7">
        <v>0.66666666666666663</v>
      </c>
      <c r="S19" s="5">
        <v>93</v>
      </c>
      <c r="T19" s="5">
        <v>94.25</v>
      </c>
      <c r="U19" s="5">
        <v>93</v>
      </c>
      <c r="V19" s="5">
        <v>93.5</v>
      </c>
      <c r="W19" s="5">
        <v>56500</v>
      </c>
      <c r="Y19" s="6">
        <f t="shared" si="0"/>
        <v>39687</v>
      </c>
      <c r="Z19" s="5">
        <f t="shared" si="1"/>
        <v>2340</v>
      </c>
      <c r="AA19" s="5">
        <v>140.9</v>
      </c>
      <c r="AB19" s="5">
        <v>110</v>
      </c>
    </row>
    <row r="20" spans="1:28" x14ac:dyDescent="0.3">
      <c r="A20" s="6">
        <v>38175</v>
      </c>
      <c r="B20" s="7">
        <v>0.66666666666666663</v>
      </c>
      <c r="C20" s="5">
        <v>143</v>
      </c>
      <c r="D20" s="5">
        <v>145</v>
      </c>
      <c r="E20" s="5">
        <v>143</v>
      </c>
      <c r="F20" s="5">
        <v>145</v>
      </c>
      <c r="G20" s="5">
        <v>1600</v>
      </c>
      <c r="I20" s="6">
        <v>39688</v>
      </c>
      <c r="J20" s="7">
        <v>0.66666666666666663</v>
      </c>
      <c r="K20" s="5">
        <v>2350</v>
      </c>
      <c r="L20" s="5">
        <v>2370</v>
      </c>
      <c r="M20" s="5">
        <v>2350</v>
      </c>
      <c r="N20" s="5">
        <v>2360</v>
      </c>
      <c r="O20" s="5">
        <v>80</v>
      </c>
      <c r="Q20" s="6">
        <v>38174</v>
      </c>
      <c r="R20" s="7">
        <v>0.66666666666666663</v>
      </c>
      <c r="S20" s="5">
        <v>93.5</v>
      </c>
      <c r="T20" s="5">
        <v>95.5</v>
      </c>
      <c r="U20" s="5">
        <v>91.5</v>
      </c>
      <c r="V20" s="5">
        <v>93.5</v>
      </c>
      <c r="W20" s="5">
        <v>52700</v>
      </c>
      <c r="Y20" s="6">
        <f t="shared" si="0"/>
        <v>39688</v>
      </c>
      <c r="Z20" s="5">
        <f t="shared" si="1"/>
        <v>2360</v>
      </c>
      <c r="AA20" s="5">
        <v>140.9</v>
      </c>
      <c r="AB20" s="5">
        <v>111.5</v>
      </c>
    </row>
    <row r="21" spans="1:28" x14ac:dyDescent="0.3">
      <c r="A21" s="6">
        <v>38176</v>
      </c>
      <c r="B21" s="7">
        <v>0.66666666666666663</v>
      </c>
      <c r="C21" s="5">
        <v>145.5</v>
      </c>
      <c r="D21" s="5">
        <v>154</v>
      </c>
      <c r="E21" s="5">
        <v>145.5</v>
      </c>
      <c r="F21" s="5">
        <v>147</v>
      </c>
      <c r="G21" s="5">
        <v>13200</v>
      </c>
      <c r="I21" s="6">
        <v>39692</v>
      </c>
      <c r="J21" s="7">
        <v>0.66666666666666663</v>
      </c>
      <c r="K21" s="5">
        <v>2351</v>
      </c>
      <c r="L21" s="5">
        <v>2351</v>
      </c>
      <c r="M21" s="5">
        <v>2350</v>
      </c>
      <c r="N21" s="5">
        <v>2351</v>
      </c>
      <c r="O21" s="5">
        <v>240</v>
      </c>
      <c r="Q21" s="6">
        <v>38175</v>
      </c>
      <c r="R21" s="7">
        <v>0.66666666666666663</v>
      </c>
      <c r="S21" s="5">
        <v>94</v>
      </c>
      <c r="T21" s="5">
        <v>95.45</v>
      </c>
      <c r="U21" s="5">
        <v>94</v>
      </c>
      <c r="V21" s="5">
        <v>94.75</v>
      </c>
      <c r="W21" s="5">
        <v>45900</v>
      </c>
      <c r="Y21" s="6">
        <f t="shared" si="0"/>
        <v>39692</v>
      </c>
      <c r="Z21" s="5">
        <f t="shared" si="1"/>
        <v>2351</v>
      </c>
      <c r="AA21" s="5">
        <v>140.9</v>
      </c>
      <c r="AB21" s="5">
        <v>111.9</v>
      </c>
    </row>
    <row r="22" spans="1:28" x14ac:dyDescent="0.3">
      <c r="A22" s="6">
        <v>38177</v>
      </c>
      <c r="B22" s="7">
        <v>0.66666666666666663</v>
      </c>
      <c r="C22" s="5">
        <v>148</v>
      </c>
      <c r="D22" s="5">
        <v>150</v>
      </c>
      <c r="E22" s="5">
        <v>148</v>
      </c>
      <c r="F22" s="5">
        <v>149</v>
      </c>
      <c r="G22" s="5">
        <v>1800</v>
      </c>
      <c r="I22" s="6">
        <v>39693</v>
      </c>
      <c r="J22" s="7">
        <v>0.66666666666666663</v>
      </c>
      <c r="K22" s="5">
        <v>2350</v>
      </c>
      <c r="L22" s="5">
        <v>2350</v>
      </c>
      <c r="M22" s="5">
        <v>2350</v>
      </c>
      <c r="N22" s="5">
        <v>2350</v>
      </c>
      <c r="O22" s="5">
        <v>80</v>
      </c>
      <c r="Q22" s="6">
        <v>38176</v>
      </c>
      <c r="R22" s="7">
        <v>0.66666666666666663</v>
      </c>
      <c r="S22" s="5">
        <v>94.75</v>
      </c>
      <c r="T22" s="5">
        <v>95.75</v>
      </c>
      <c r="U22" s="5">
        <v>94.5</v>
      </c>
      <c r="V22" s="5">
        <v>94.5</v>
      </c>
      <c r="W22" s="5">
        <v>48300</v>
      </c>
      <c r="Y22" s="6">
        <f t="shared" si="0"/>
        <v>39693</v>
      </c>
      <c r="Z22" s="5">
        <f t="shared" si="1"/>
        <v>2350</v>
      </c>
      <c r="AA22" s="5">
        <v>140.9</v>
      </c>
      <c r="AB22" s="5">
        <v>112.5</v>
      </c>
    </row>
    <row r="23" spans="1:28" x14ac:dyDescent="0.3">
      <c r="A23" s="6">
        <v>38180</v>
      </c>
      <c r="B23" s="7">
        <v>0.66666666666666663</v>
      </c>
      <c r="C23" s="5">
        <v>155</v>
      </c>
      <c r="D23" s="5">
        <v>155</v>
      </c>
      <c r="E23" s="5">
        <v>149</v>
      </c>
      <c r="F23" s="5">
        <v>151</v>
      </c>
      <c r="G23" s="5">
        <v>1900</v>
      </c>
      <c r="I23" s="6">
        <v>39694</v>
      </c>
      <c r="J23" s="7">
        <v>0.66666666666666663</v>
      </c>
      <c r="K23" s="5">
        <v>2350</v>
      </c>
      <c r="L23" s="5">
        <v>2350</v>
      </c>
      <c r="M23" s="5">
        <v>2350</v>
      </c>
      <c r="N23" s="5">
        <v>2350</v>
      </c>
      <c r="O23" s="5">
        <v>20</v>
      </c>
      <c r="Q23" s="6">
        <v>38177</v>
      </c>
      <c r="R23" s="7">
        <v>0.66666666666666663</v>
      </c>
      <c r="S23" s="5">
        <v>94.5</v>
      </c>
      <c r="T23" s="5">
        <v>95.45</v>
      </c>
      <c r="U23" s="5">
        <v>93.9</v>
      </c>
      <c r="V23" s="5">
        <v>93.9</v>
      </c>
      <c r="W23" s="5">
        <v>36800</v>
      </c>
      <c r="Y23" s="6">
        <f t="shared" si="0"/>
        <v>39694</v>
      </c>
      <c r="Z23" s="5">
        <f t="shared" si="1"/>
        <v>2350</v>
      </c>
      <c r="AA23" s="5">
        <v>140.9</v>
      </c>
      <c r="AB23" s="5">
        <v>113.12</v>
      </c>
    </row>
    <row r="24" spans="1:28" x14ac:dyDescent="0.3">
      <c r="A24" s="6">
        <v>38181</v>
      </c>
      <c r="B24" s="7">
        <v>0.66666666666666663</v>
      </c>
      <c r="C24" s="5">
        <v>150</v>
      </c>
      <c r="D24" s="5">
        <v>150</v>
      </c>
      <c r="E24" s="5">
        <v>147</v>
      </c>
      <c r="F24" s="5">
        <v>148</v>
      </c>
      <c r="G24" s="5">
        <v>4900</v>
      </c>
      <c r="I24" s="6">
        <v>39695</v>
      </c>
      <c r="J24" s="7">
        <v>0.66666666666666663</v>
      </c>
      <c r="K24" s="5">
        <v>2351</v>
      </c>
      <c r="L24" s="5">
        <v>2353</v>
      </c>
      <c r="M24" s="5">
        <v>2351</v>
      </c>
      <c r="N24" s="5">
        <v>2353</v>
      </c>
      <c r="O24" s="5">
        <v>40</v>
      </c>
      <c r="Q24" s="6">
        <v>38180</v>
      </c>
      <c r="R24" s="7">
        <v>0.66666666666666663</v>
      </c>
      <c r="S24" s="5">
        <v>93.9</v>
      </c>
      <c r="T24" s="5">
        <v>95.2</v>
      </c>
      <c r="U24" s="5">
        <v>93.9</v>
      </c>
      <c r="V24" s="5">
        <v>93.9</v>
      </c>
      <c r="W24" s="5">
        <v>65000</v>
      </c>
      <c r="Y24" s="6">
        <f t="shared" si="0"/>
        <v>39695</v>
      </c>
      <c r="Z24" s="5">
        <f t="shared" si="1"/>
        <v>2353</v>
      </c>
      <c r="AA24" s="5">
        <v>140.9</v>
      </c>
      <c r="AB24" s="5">
        <v>114.15</v>
      </c>
    </row>
    <row r="25" spans="1:28" x14ac:dyDescent="0.3">
      <c r="A25" s="6">
        <v>38182</v>
      </c>
      <c r="B25" s="7">
        <v>0.66666666666666663</v>
      </c>
      <c r="C25" s="5">
        <v>146.30000000000001</v>
      </c>
      <c r="D25" s="5">
        <v>146.4</v>
      </c>
      <c r="E25" s="5">
        <v>146.30000000000001</v>
      </c>
      <c r="F25" s="5">
        <v>146.30000000000001</v>
      </c>
      <c r="G25" s="5">
        <v>400</v>
      </c>
      <c r="I25" s="6">
        <v>39696</v>
      </c>
      <c r="J25" s="7">
        <v>0.66666666666666663</v>
      </c>
      <c r="K25" s="5">
        <v>2351</v>
      </c>
      <c r="L25" s="5">
        <v>2351</v>
      </c>
      <c r="M25" s="5">
        <v>2351</v>
      </c>
      <c r="N25" s="5">
        <v>2351</v>
      </c>
      <c r="O25" s="5">
        <v>20</v>
      </c>
      <c r="Q25" s="6">
        <v>38181</v>
      </c>
      <c r="R25" s="7">
        <v>0.66666666666666663</v>
      </c>
      <c r="S25" s="5">
        <v>93.9</v>
      </c>
      <c r="T25" s="5">
        <v>94.95</v>
      </c>
      <c r="U25" s="5">
        <v>93.9</v>
      </c>
      <c r="V25" s="5">
        <v>94.9</v>
      </c>
      <c r="W25" s="5">
        <v>41000</v>
      </c>
      <c r="Y25" s="6">
        <f t="shared" si="0"/>
        <v>39696</v>
      </c>
      <c r="Z25" s="5">
        <f t="shared" si="1"/>
        <v>2351</v>
      </c>
      <c r="AA25" s="5">
        <v>145.19999999999999</v>
      </c>
      <c r="AB25" s="5">
        <v>117</v>
      </c>
    </row>
    <row r="26" spans="1:28" x14ac:dyDescent="0.3">
      <c r="A26" s="6">
        <v>38183</v>
      </c>
      <c r="B26" s="7">
        <v>0.66666666666666663</v>
      </c>
      <c r="C26" s="5">
        <v>145.75</v>
      </c>
      <c r="D26" s="5">
        <v>145.75</v>
      </c>
      <c r="E26" s="5">
        <v>145.75</v>
      </c>
      <c r="F26" s="5">
        <v>145.75</v>
      </c>
      <c r="G26" s="5">
        <v>1000</v>
      </c>
      <c r="I26" s="6">
        <v>39700</v>
      </c>
      <c r="J26" s="7">
        <v>0.66666666666666663</v>
      </c>
      <c r="K26" s="5">
        <v>2355</v>
      </c>
      <c r="L26" s="5">
        <v>2360</v>
      </c>
      <c r="M26" s="5">
        <v>2355</v>
      </c>
      <c r="N26" s="5">
        <v>2355</v>
      </c>
      <c r="O26" s="5">
        <v>60</v>
      </c>
      <c r="Q26" s="6">
        <v>38182</v>
      </c>
      <c r="R26" s="7">
        <v>0.66666666666666663</v>
      </c>
      <c r="S26" s="5">
        <v>94.9</v>
      </c>
      <c r="T26" s="5">
        <v>95.2</v>
      </c>
      <c r="U26" s="5">
        <v>94.05</v>
      </c>
      <c r="V26" s="5">
        <v>95</v>
      </c>
      <c r="W26" s="5">
        <v>87100</v>
      </c>
      <c r="Y26" s="6">
        <f t="shared" si="0"/>
        <v>39700</v>
      </c>
      <c r="Z26" s="5">
        <f t="shared" si="1"/>
        <v>2355</v>
      </c>
      <c r="AA26" s="5">
        <v>140.9</v>
      </c>
      <c r="AB26" s="5">
        <v>115</v>
      </c>
    </row>
    <row r="27" spans="1:28" x14ac:dyDescent="0.3">
      <c r="A27" s="6">
        <v>38184</v>
      </c>
      <c r="B27" s="7">
        <v>0.66666666666666663</v>
      </c>
      <c r="C27" s="5">
        <v>148</v>
      </c>
      <c r="D27" s="5">
        <v>150</v>
      </c>
      <c r="E27" s="5">
        <v>145.5</v>
      </c>
      <c r="F27" s="5">
        <v>146</v>
      </c>
      <c r="G27" s="5">
        <v>2200</v>
      </c>
      <c r="I27" s="6">
        <v>39702</v>
      </c>
      <c r="J27" s="7">
        <v>0.66666666666666663</v>
      </c>
      <c r="K27" s="5">
        <v>2345</v>
      </c>
      <c r="L27" s="5">
        <v>2345</v>
      </c>
      <c r="M27" s="5">
        <v>2345</v>
      </c>
      <c r="N27" s="5">
        <v>2345</v>
      </c>
      <c r="O27" s="5">
        <v>13960</v>
      </c>
      <c r="Q27" s="6">
        <v>38183</v>
      </c>
      <c r="R27" s="7">
        <v>0.66666666666666663</v>
      </c>
      <c r="S27" s="5">
        <v>95</v>
      </c>
      <c r="T27" s="5">
        <v>95.25</v>
      </c>
      <c r="U27" s="5">
        <v>90.25</v>
      </c>
      <c r="V27" s="5">
        <v>92.25</v>
      </c>
      <c r="W27" s="5">
        <v>115000</v>
      </c>
      <c r="Y27" s="6">
        <f t="shared" si="0"/>
        <v>39702</v>
      </c>
      <c r="Z27" s="5">
        <f t="shared" si="1"/>
        <v>2345</v>
      </c>
      <c r="AA27" s="5">
        <v>140.9</v>
      </c>
      <c r="AB27" s="5">
        <v>110</v>
      </c>
    </row>
    <row r="28" spans="1:28" x14ac:dyDescent="0.3">
      <c r="A28" s="6">
        <v>38187</v>
      </c>
      <c r="B28" s="7">
        <v>0.66666666666666663</v>
      </c>
      <c r="C28" s="5">
        <v>146.05000000000001</v>
      </c>
      <c r="D28" s="5">
        <v>146.05000000000001</v>
      </c>
      <c r="E28" s="5">
        <v>146.05000000000001</v>
      </c>
      <c r="F28" s="5">
        <v>146.05000000000001</v>
      </c>
      <c r="G28" s="5">
        <v>100</v>
      </c>
      <c r="I28" s="6">
        <v>39703</v>
      </c>
      <c r="J28" s="7">
        <v>0.66666666666666663</v>
      </c>
      <c r="K28" s="5">
        <v>2360</v>
      </c>
      <c r="L28" s="5">
        <v>2450</v>
      </c>
      <c r="M28" s="5">
        <v>2360</v>
      </c>
      <c r="N28" s="5">
        <v>2450</v>
      </c>
      <c r="O28" s="5">
        <v>180</v>
      </c>
      <c r="Q28" s="6">
        <v>38184</v>
      </c>
      <c r="R28" s="7">
        <v>0.66666666666666663</v>
      </c>
      <c r="S28" s="5">
        <v>92.25</v>
      </c>
      <c r="T28" s="5">
        <v>94</v>
      </c>
      <c r="U28" s="5">
        <v>90</v>
      </c>
      <c r="V28" s="5">
        <v>94</v>
      </c>
      <c r="W28" s="5">
        <v>120400</v>
      </c>
      <c r="Y28" s="6">
        <f t="shared" si="0"/>
        <v>39703</v>
      </c>
      <c r="Z28" s="5">
        <f t="shared" si="1"/>
        <v>2450</v>
      </c>
      <c r="AA28" s="5">
        <v>140.9</v>
      </c>
      <c r="AB28" s="5">
        <v>110</v>
      </c>
    </row>
    <row r="29" spans="1:28" x14ac:dyDescent="0.3">
      <c r="A29" s="6">
        <v>38188</v>
      </c>
      <c r="B29" s="7">
        <v>0.66666666666666663</v>
      </c>
      <c r="C29" s="5">
        <v>145.5</v>
      </c>
      <c r="D29" s="5">
        <v>145.5</v>
      </c>
      <c r="E29" s="5">
        <v>145.5</v>
      </c>
      <c r="F29" s="5">
        <v>145.5</v>
      </c>
      <c r="G29" s="5">
        <v>3100</v>
      </c>
      <c r="I29" s="6">
        <v>39706</v>
      </c>
      <c r="J29" s="7">
        <v>0.66666666666666663</v>
      </c>
      <c r="K29" s="5">
        <v>2420</v>
      </c>
      <c r="L29" s="5">
        <v>2420</v>
      </c>
      <c r="M29" s="5">
        <v>2351</v>
      </c>
      <c r="N29" s="5">
        <v>2351</v>
      </c>
      <c r="O29" s="5">
        <v>100</v>
      </c>
      <c r="Q29" s="6">
        <v>38187</v>
      </c>
      <c r="R29" s="7">
        <v>0.66666666666666663</v>
      </c>
      <c r="S29" s="5">
        <v>94</v>
      </c>
      <c r="T29" s="5">
        <v>94</v>
      </c>
      <c r="U29" s="5">
        <v>92.5</v>
      </c>
      <c r="V29" s="5">
        <v>93.35</v>
      </c>
      <c r="W29" s="5">
        <v>54100</v>
      </c>
      <c r="Y29" s="6">
        <f t="shared" si="0"/>
        <v>39706</v>
      </c>
      <c r="Z29" s="5">
        <f t="shared" si="1"/>
        <v>2351</v>
      </c>
      <c r="AA29" s="5">
        <v>140.9</v>
      </c>
      <c r="AB29" s="5">
        <v>110</v>
      </c>
    </row>
    <row r="30" spans="1:28" x14ac:dyDescent="0.3">
      <c r="A30" s="6">
        <v>38189</v>
      </c>
      <c r="B30" s="7">
        <v>0.66666666666666663</v>
      </c>
      <c r="C30" s="5">
        <v>146</v>
      </c>
      <c r="D30" s="5">
        <v>147</v>
      </c>
      <c r="E30" s="5">
        <v>146</v>
      </c>
      <c r="F30" s="5">
        <v>146.5</v>
      </c>
      <c r="G30" s="5">
        <v>400</v>
      </c>
      <c r="I30" s="6">
        <v>39707</v>
      </c>
      <c r="J30" s="7">
        <v>0.66666666666666663</v>
      </c>
      <c r="K30" s="5">
        <v>2351</v>
      </c>
      <c r="L30" s="5">
        <v>2351</v>
      </c>
      <c r="M30" s="5">
        <v>2340</v>
      </c>
      <c r="N30" s="5">
        <v>2350</v>
      </c>
      <c r="O30" s="5">
        <v>4580</v>
      </c>
      <c r="Q30" s="6">
        <v>38188</v>
      </c>
      <c r="R30" s="7">
        <v>0.66666666666666663</v>
      </c>
      <c r="S30" s="5">
        <v>93.1</v>
      </c>
      <c r="T30" s="5">
        <v>93.1</v>
      </c>
      <c r="U30" s="5">
        <v>91.6</v>
      </c>
      <c r="V30" s="5">
        <v>91.6</v>
      </c>
      <c r="W30" s="5">
        <v>16500</v>
      </c>
      <c r="Y30" s="6">
        <f t="shared" si="0"/>
        <v>39707</v>
      </c>
      <c r="Z30" s="5">
        <f t="shared" si="1"/>
        <v>2350</v>
      </c>
      <c r="AA30" s="5" t="e">
        <v>#N/A</v>
      </c>
      <c r="AB30" s="5" t="e">
        <v>#N/A</v>
      </c>
    </row>
    <row r="31" spans="1:28" x14ac:dyDescent="0.3">
      <c r="A31" s="6">
        <v>38190</v>
      </c>
      <c r="B31" s="7">
        <v>0.66666666666666663</v>
      </c>
      <c r="C31" s="5">
        <v>146</v>
      </c>
      <c r="D31" s="5">
        <v>146</v>
      </c>
      <c r="E31" s="5">
        <v>146</v>
      </c>
      <c r="F31" s="5">
        <v>146</v>
      </c>
      <c r="G31" s="5">
        <v>100</v>
      </c>
      <c r="I31" s="6">
        <v>39708</v>
      </c>
      <c r="J31" s="7">
        <v>0.66666666666666663</v>
      </c>
      <c r="K31" s="5">
        <v>2350</v>
      </c>
      <c r="L31" s="5">
        <v>2350</v>
      </c>
      <c r="M31" s="5">
        <v>2350</v>
      </c>
      <c r="N31" s="5">
        <v>2350</v>
      </c>
      <c r="O31" s="5">
        <v>2500</v>
      </c>
      <c r="Q31" s="6">
        <v>38189</v>
      </c>
      <c r="R31" s="7">
        <v>0.66666666666666663</v>
      </c>
      <c r="S31" s="5">
        <v>92.75</v>
      </c>
      <c r="T31" s="5">
        <v>93.5</v>
      </c>
      <c r="U31" s="5">
        <v>92.75</v>
      </c>
      <c r="V31" s="5">
        <v>92.9</v>
      </c>
      <c r="W31" s="5">
        <v>2500</v>
      </c>
      <c r="Y31" s="6">
        <f t="shared" si="0"/>
        <v>39708</v>
      </c>
      <c r="Z31" s="5">
        <f t="shared" si="1"/>
        <v>2350</v>
      </c>
      <c r="AA31" s="5" t="e">
        <v>#N/A</v>
      </c>
      <c r="AB31" s="5">
        <v>110</v>
      </c>
    </row>
    <row r="32" spans="1:28" x14ac:dyDescent="0.3">
      <c r="A32" s="6">
        <v>38191</v>
      </c>
      <c r="B32" s="7">
        <v>0.66666666666666663</v>
      </c>
      <c r="C32" s="5">
        <v>148</v>
      </c>
      <c r="D32" s="5">
        <v>148</v>
      </c>
      <c r="E32" s="5">
        <v>148</v>
      </c>
      <c r="F32" s="5">
        <v>148</v>
      </c>
      <c r="G32" s="5">
        <v>400</v>
      </c>
      <c r="I32" s="6">
        <v>39709</v>
      </c>
      <c r="J32" s="7">
        <v>0.66666666666666663</v>
      </c>
      <c r="K32" s="5">
        <v>2341</v>
      </c>
      <c r="L32" s="5">
        <v>2341</v>
      </c>
      <c r="M32" s="5">
        <v>2340</v>
      </c>
      <c r="N32" s="5">
        <v>2340</v>
      </c>
      <c r="O32" s="5">
        <v>420</v>
      </c>
      <c r="Q32" s="6">
        <v>38190</v>
      </c>
      <c r="R32" s="7">
        <v>0.66666666666666663</v>
      </c>
      <c r="S32" s="5">
        <v>92.85</v>
      </c>
      <c r="T32" s="5">
        <v>92.85</v>
      </c>
      <c r="U32" s="5">
        <v>89.5</v>
      </c>
      <c r="V32" s="5">
        <v>89.5</v>
      </c>
      <c r="W32" s="5">
        <v>25300</v>
      </c>
      <c r="Y32" s="6">
        <f t="shared" si="0"/>
        <v>39709</v>
      </c>
      <c r="Z32" s="5">
        <f t="shared" si="1"/>
        <v>2340</v>
      </c>
      <c r="AA32" s="5" t="e">
        <v>#N/A</v>
      </c>
      <c r="AB32" s="5" t="e">
        <v>#N/A</v>
      </c>
    </row>
    <row r="33" spans="1:28" x14ac:dyDescent="0.3">
      <c r="A33" s="6">
        <v>38194</v>
      </c>
      <c r="B33" s="7">
        <v>0.66666666666666663</v>
      </c>
      <c r="C33" s="5">
        <v>142</v>
      </c>
      <c r="D33" s="5">
        <v>147</v>
      </c>
      <c r="E33" s="5">
        <v>142</v>
      </c>
      <c r="F33" s="5">
        <v>145</v>
      </c>
      <c r="G33" s="5">
        <v>1600</v>
      </c>
      <c r="I33" s="6">
        <v>39713</v>
      </c>
      <c r="J33" s="7">
        <v>0.66666666666666663</v>
      </c>
      <c r="K33" s="5">
        <v>2340</v>
      </c>
      <c r="L33" s="5">
        <v>2340</v>
      </c>
      <c r="M33" s="5">
        <v>2340</v>
      </c>
      <c r="N33" s="5">
        <v>2340</v>
      </c>
      <c r="O33" s="5">
        <v>260</v>
      </c>
      <c r="Q33" s="6">
        <v>38191</v>
      </c>
      <c r="R33" s="7">
        <v>0.66666666666666663</v>
      </c>
      <c r="S33" s="5">
        <v>90</v>
      </c>
      <c r="T33" s="5">
        <v>91.75</v>
      </c>
      <c r="U33" s="5">
        <v>90</v>
      </c>
      <c r="V33" s="5">
        <v>90.75</v>
      </c>
      <c r="W33" s="5">
        <v>5300</v>
      </c>
      <c r="Y33" s="6">
        <f t="shared" si="0"/>
        <v>39713</v>
      </c>
      <c r="Z33" s="5">
        <f t="shared" si="1"/>
        <v>2340</v>
      </c>
      <c r="AA33" s="5">
        <v>140.9</v>
      </c>
      <c r="AB33" s="5" t="e">
        <v>#N/A</v>
      </c>
    </row>
    <row r="34" spans="1:28" x14ac:dyDescent="0.3">
      <c r="A34" s="6">
        <v>38195</v>
      </c>
      <c r="B34" s="7">
        <v>0.66666666666666663</v>
      </c>
      <c r="C34" s="5">
        <v>145</v>
      </c>
      <c r="D34" s="5">
        <v>146</v>
      </c>
      <c r="E34" s="5">
        <v>145</v>
      </c>
      <c r="F34" s="5">
        <v>145</v>
      </c>
      <c r="G34" s="5">
        <v>900</v>
      </c>
      <c r="I34" s="6">
        <v>39714</v>
      </c>
      <c r="J34" s="7">
        <v>0.66666666666666663</v>
      </c>
      <c r="K34" s="5">
        <v>2345</v>
      </c>
      <c r="L34" s="5">
        <v>2345</v>
      </c>
      <c r="M34" s="5">
        <v>2345</v>
      </c>
      <c r="N34" s="5">
        <v>2345</v>
      </c>
      <c r="O34" s="5">
        <v>40</v>
      </c>
      <c r="Q34" s="6">
        <v>38194</v>
      </c>
      <c r="R34" s="7">
        <v>0.66666666666666663</v>
      </c>
      <c r="S34" s="5">
        <v>90.75</v>
      </c>
      <c r="T34" s="5">
        <v>90.9</v>
      </c>
      <c r="U34" s="5">
        <v>88</v>
      </c>
      <c r="V34" s="5">
        <v>88</v>
      </c>
      <c r="W34" s="5">
        <v>37800</v>
      </c>
      <c r="Y34" s="6">
        <f t="shared" si="0"/>
        <v>39714</v>
      </c>
      <c r="Z34" s="5">
        <f t="shared" si="1"/>
        <v>2345</v>
      </c>
      <c r="AA34" s="5">
        <v>140.9</v>
      </c>
      <c r="AB34" s="5" t="e">
        <v>#N/A</v>
      </c>
    </row>
    <row r="35" spans="1:28" x14ac:dyDescent="0.3">
      <c r="A35" s="6">
        <v>38196</v>
      </c>
      <c r="B35" s="7">
        <v>0.66666666666666663</v>
      </c>
      <c r="C35" s="5">
        <v>147</v>
      </c>
      <c r="D35" s="5">
        <v>148</v>
      </c>
      <c r="E35" s="5">
        <v>147</v>
      </c>
      <c r="F35" s="5">
        <v>148</v>
      </c>
      <c r="G35" s="5">
        <v>900</v>
      </c>
      <c r="I35" s="6">
        <v>39728</v>
      </c>
      <c r="J35" s="7">
        <v>0.66666666666666663</v>
      </c>
      <c r="K35" s="5">
        <v>2340</v>
      </c>
      <c r="L35" s="5">
        <v>2340</v>
      </c>
      <c r="M35" s="5">
        <v>2340</v>
      </c>
      <c r="N35" s="5">
        <v>2340</v>
      </c>
      <c r="O35" s="5">
        <v>60</v>
      </c>
      <c r="Q35" s="6">
        <v>38195</v>
      </c>
      <c r="R35" s="7">
        <v>0.66666666666666663</v>
      </c>
      <c r="S35" s="5">
        <v>88</v>
      </c>
      <c r="T35" s="5">
        <v>90</v>
      </c>
      <c r="U35" s="5">
        <v>88</v>
      </c>
      <c r="V35" s="5">
        <v>89</v>
      </c>
      <c r="W35" s="5">
        <v>9100</v>
      </c>
      <c r="Y35" s="6">
        <f t="shared" si="0"/>
        <v>39728</v>
      </c>
      <c r="Z35" s="5">
        <f t="shared" si="1"/>
        <v>2340</v>
      </c>
      <c r="AA35" s="5" t="e">
        <v>#N/A</v>
      </c>
      <c r="AB35" s="5" t="e">
        <v>#N/A</v>
      </c>
    </row>
    <row r="36" spans="1:28" x14ac:dyDescent="0.3">
      <c r="A36" s="6">
        <v>38197</v>
      </c>
      <c r="B36" s="7">
        <v>0.66666666666666663</v>
      </c>
      <c r="C36" s="5">
        <v>147.94999999999999</v>
      </c>
      <c r="D36" s="5">
        <v>147.94999999999999</v>
      </c>
      <c r="E36" s="5">
        <v>147.94999999999999</v>
      </c>
      <c r="F36" s="5">
        <v>147.94999999999999</v>
      </c>
      <c r="G36" s="5">
        <v>300</v>
      </c>
      <c r="I36" s="6">
        <v>39741</v>
      </c>
      <c r="J36" s="7">
        <v>0.66666666666666663</v>
      </c>
      <c r="K36" s="5">
        <v>2340</v>
      </c>
      <c r="L36" s="5">
        <v>2340</v>
      </c>
      <c r="M36" s="5">
        <v>2340</v>
      </c>
      <c r="N36" s="5">
        <v>2340</v>
      </c>
      <c r="O36" s="5">
        <v>20</v>
      </c>
      <c r="Q36" s="6">
        <v>38196</v>
      </c>
      <c r="R36" s="7">
        <v>0.66666666666666663</v>
      </c>
      <c r="S36" s="5">
        <v>89</v>
      </c>
      <c r="T36" s="5">
        <v>90</v>
      </c>
      <c r="U36" s="5">
        <v>89</v>
      </c>
      <c r="V36" s="5">
        <v>89.1</v>
      </c>
      <c r="W36" s="5">
        <v>3800</v>
      </c>
      <c r="Y36" s="6">
        <f t="shared" si="0"/>
        <v>39741</v>
      </c>
      <c r="Z36" s="5">
        <f t="shared" si="1"/>
        <v>2340</v>
      </c>
      <c r="AA36" s="5">
        <v>140.9</v>
      </c>
      <c r="AB36" s="5" t="e">
        <v>#N/A</v>
      </c>
    </row>
    <row r="37" spans="1:28" x14ac:dyDescent="0.3">
      <c r="A37" s="6">
        <v>38198</v>
      </c>
      <c r="B37" s="7">
        <v>0.66666666666666663</v>
      </c>
      <c r="C37" s="5">
        <v>144</v>
      </c>
      <c r="D37" s="5">
        <v>144</v>
      </c>
      <c r="E37" s="5">
        <v>141.15</v>
      </c>
      <c r="F37" s="5">
        <v>141.15</v>
      </c>
      <c r="G37" s="5">
        <v>1000</v>
      </c>
      <c r="I37" s="6">
        <v>39742</v>
      </c>
      <c r="J37" s="7">
        <v>0.66666666666666663</v>
      </c>
      <c r="K37" s="5">
        <v>2340</v>
      </c>
      <c r="L37" s="5">
        <v>2340</v>
      </c>
      <c r="M37" s="5">
        <v>2340</v>
      </c>
      <c r="N37" s="5">
        <v>2340</v>
      </c>
      <c r="O37" s="5">
        <v>20</v>
      </c>
      <c r="Q37" s="6">
        <v>38197</v>
      </c>
      <c r="R37" s="7">
        <v>0.66666666666666663</v>
      </c>
      <c r="S37" s="5">
        <v>89</v>
      </c>
      <c r="T37" s="5">
        <v>89</v>
      </c>
      <c r="U37" s="5">
        <v>88</v>
      </c>
      <c r="V37" s="5">
        <v>88.5</v>
      </c>
      <c r="W37" s="5">
        <v>4700</v>
      </c>
      <c r="Y37" s="6">
        <f t="shared" si="0"/>
        <v>39742</v>
      </c>
      <c r="Z37" s="5">
        <f t="shared" si="1"/>
        <v>2340</v>
      </c>
      <c r="AA37" s="5">
        <v>140.9</v>
      </c>
      <c r="AB37" s="5" t="e">
        <v>#N/A</v>
      </c>
    </row>
    <row r="38" spans="1:28" x14ac:dyDescent="0.3">
      <c r="A38" s="6">
        <v>38201</v>
      </c>
      <c r="B38" s="7">
        <v>0.66666666666666663</v>
      </c>
      <c r="C38" s="5">
        <v>144.94999999999999</v>
      </c>
      <c r="D38" s="5">
        <v>145</v>
      </c>
      <c r="E38" s="5">
        <v>143</v>
      </c>
      <c r="F38" s="5">
        <v>143</v>
      </c>
      <c r="G38" s="5">
        <v>1200</v>
      </c>
      <c r="I38" s="6">
        <v>39749</v>
      </c>
      <c r="J38" s="7">
        <v>0.66666666666666663</v>
      </c>
      <c r="K38" s="5">
        <v>2340</v>
      </c>
      <c r="L38" s="5">
        <v>2340</v>
      </c>
      <c r="M38" s="5">
        <v>2340</v>
      </c>
      <c r="N38" s="5">
        <v>2340</v>
      </c>
      <c r="O38" s="5">
        <v>5000</v>
      </c>
      <c r="Q38" s="6">
        <v>38198</v>
      </c>
      <c r="R38" s="7">
        <v>0.66666666666666663</v>
      </c>
      <c r="S38" s="5">
        <v>88.5</v>
      </c>
      <c r="T38" s="5">
        <v>90.75</v>
      </c>
      <c r="U38" s="5">
        <v>88</v>
      </c>
      <c r="V38" s="5">
        <v>89</v>
      </c>
      <c r="W38" s="5">
        <v>10500</v>
      </c>
      <c r="Y38" s="6">
        <f t="shared" si="0"/>
        <v>39749</v>
      </c>
      <c r="Z38" s="5">
        <f t="shared" si="1"/>
        <v>2340</v>
      </c>
      <c r="AA38" s="5" t="e">
        <v>#N/A</v>
      </c>
      <c r="AB38" s="5" t="e">
        <v>#N/A</v>
      </c>
    </row>
    <row r="39" spans="1:28" x14ac:dyDescent="0.3">
      <c r="A39" s="6">
        <v>38202</v>
      </c>
      <c r="B39" s="7">
        <v>0.66666666666666663</v>
      </c>
      <c r="C39" s="5">
        <v>147</v>
      </c>
      <c r="D39" s="5">
        <v>147</v>
      </c>
      <c r="E39" s="5">
        <v>147</v>
      </c>
      <c r="F39" s="5">
        <v>147</v>
      </c>
      <c r="G39" s="5">
        <v>100</v>
      </c>
      <c r="I39" s="6">
        <v>39750</v>
      </c>
      <c r="J39" s="7">
        <v>0.66666666666666663</v>
      </c>
      <c r="K39" s="5">
        <v>2340</v>
      </c>
      <c r="L39" s="5">
        <v>2340</v>
      </c>
      <c r="M39" s="5">
        <v>2340</v>
      </c>
      <c r="N39" s="5">
        <v>2340</v>
      </c>
      <c r="O39" s="5">
        <v>2240</v>
      </c>
      <c r="Q39" s="6">
        <v>38201</v>
      </c>
      <c r="R39" s="7">
        <v>0.66666666666666663</v>
      </c>
      <c r="S39" s="5">
        <v>88.5</v>
      </c>
      <c r="T39" s="5">
        <v>88.5</v>
      </c>
      <c r="U39" s="5">
        <v>87.5</v>
      </c>
      <c r="V39" s="5">
        <v>87.5</v>
      </c>
      <c r="W39" s="5">
        <v>3000</v>
      </c>
      <c r="Y39" s="6">
        <f t="shared" si="0"/>
        <v>39750</v>
      </c>
      <c r="Z39" s="5">
        <f t="shared" si="1"/>
        <v>2340</v>
      </c>
      <c r="AA39" s="5" t="e">
        <v>#N/A</v>
      </c>
      <c r="AB39" s="5" t="e">
        <v>#N/A</v>
      </c>
    </row>
    <row r="40" spans="1:28" x14ac:dyDescent="0.3">
      <c r="A40" s="6">
        <v>38203</v>
      </c>
      <c r="B40" s="7">
        <v>0.66666666666666663</v>
      </c>
      <c r="C40" s="5">
        <v>148</v>
      </c>
      <c r="D40" s="5">
        <v>148</v>
      </c>
      <c r="E40" s="5">
        <v>141.5</v>
      </c>
      <c r="F40" s="5">
        <v>141.5</v>
      </c>
      <c r="G40" s="5">
        <v>900</v>
      </c>
      <c r="I40" s="6">
        <v>39766</v>
      </c>
      <c r="J40" s="7">
        <v>0.66666666666666663</v>
      </c>
      <c r="K40" s="5">
        <v>2340</v>
      </c>
      <c r="L40" s="5">
        <v>2340</v>
      </c>
      <c r="M40" s="5">
        <v>2340</v>
      </c>
      <c r="N40" s="5">
        <v>2340</v>
      </c>
      <c r="O40" s="5">
        <v>20</v>
      </c>
      <c r="Q40" s="6">
        <v>38202</v>
      </c>
      <c r="R40" s="7">
        <v>0.66666666666666663</v>
      </c>
      <c r="S40" s="5">
        <v>87.5</v>
      </c>
      <c r="T40" s="5">
        <v>89</v>
      </c>
      <c r="U40" s="5">
        <v>87</v>
      </c>
      <c r="V40" s="5">
        <v>89</v>
      </c>
      <c r="W40" s="5">
        <v>5700</v>
      </c>
      <c r="Y40" s="6">
        <f t="shared" si="0"/>
        <v>39766</v>
      </c>
      <c r="Z40" s="5">
        <f t="shared" si="1"/>
        <v>2340</v>
      </c>
      <c r="AA40" s="5" t="e">
        <v>#N/A</v>
      </c>
      <c r="AB40" s="5" t="e">
        <v>#N/A</v>
      </c>
    </row>
    <row r="41" spans="1:28" x14ac:dyDescent="0.3">
      <c r="A41" s="6">
        <v>38205</v>
      </c>
      <c r="B41" s="7">
        <v>0.66666666666666663</v>
      </c>
      <c r="C41" s="5">
        <v>142.05000000000001</v>
      </c>
      <c r="D41" s="5">
        <v>142.05000000000001</v>
      </c>
      <c r="E41" s="5">
        <v>142</v>
      </c>
      <c r="F41" s="5">
        <v>142</v>
      </c>
      <c r="G41" s="5">
        <v>200</v>
      </c>
      <c r="I41" s="6">
        <v>39770</v>
      </c>
      <c r="J41" s="7">
        <v>0.66666666666666663</v>
      </c>
      <c r="K41" s="5">
        <v>2340</v>
      </c>
      <c r="L41" s="5">
        <v>2340</v>
      </c>
      <c r="M41" s="5">
        <v>2340</v>
      </c>
      <c r="N41" s="5">
        <v>2340</v>
      </c>
      <c r="O41" s="5">
        <v>160</v>
      </c>
      <c r="Q41" s="6">
        <v>38203</v>
      </c>
      <c r="R41" s="7">
        <v>0.66666666666666663</v>
      </c>
      <c r="S41" s="5">
        <v>89.25</v>
      </c>
      <c r="T41" s="5">
        <v>90.45</v>
      </c>
      <c r="U41" s="5">
        <v>89.25</v>
      </c>
      <c r="V41" s="5">
        <v>90</v>
      </c>
      <c r="W41" s="5">
        <v>8800</v>
      </c>
      <c r="Y41" s="6">
        <f t="shared" si="0"/>
        <v>39770</v>
      </c>
      <c r="Z41" s="5">
        <f t="shared" si="1"/>
        <v>2340</v>
      </c>
      <c r="AA41" s="5" t="e">
        <v>#N/A</v>
      </c>
      <c r="AB41" s="5" t="e">
        <v>#N/A</v>
      </c>
    </row>
    <row r="42" spans="1:28" x14ac:dyDescent="0.3">
      <c r="A42" s="6">
        <v>38209</v>
      </c>
      <c r="B42" s="7">
        <v>0.66666666666666663</v>
      </c>
      <c r="C42" s="5">
        <v>143.9</v>
      </c>
      <c r="D42" s="5">
        <v>144</v>
      </c>
      <c r="E42" s="5">
        <v>143.9</v>
      </c>
      <c r="F42" s="5">
        <v>144</v>
      </c>
      <c r="G42" s="5">
        <v>200</v>
      </c>
      <c r="I42" s="6">
        <v>39783</v>
      </c>
      <c r="J42" s="7">
        <v>0.66666666666666663</v>
      </c>
      <c r="K42" s="5">
        <v>2340</v>
      </c>
      <c r="L42" s="5">
        <v>2340</v>
      </c>
      <c r="M42" s="5">
        <v>2340</v>
      </c>
      <c r="N42" s="5">
        <v>2340</v>
      </c>
      <c r="O42" s="5">
        <v>300</v>
      </c>
      <c r="Q42" s="6">
        <v>38204</v>
      </c>
      <c r="R42" s="7">
        <v>0.66666666666666663</v>
      </c>
      <c r="S42" s="5">
        <v>89</v>
      </c>
      <c r="T42" s="5">
        <v>89</v>
      </c>
      <c r="U42" s="5">
        <v>88.05</v>
      </c>
      <c r="V42" s="5">
        <v>88.3</v>
      </c>
      <c r="W42" s="5">
        <v>24300</v>
      </c>
      <c r="Y42" s="6">
        <f t="shared" si="0"/>
        <v>39783</v>
      </c>
      <c r="Z42" s="5">
        <f t="shared" si="1"/>
        <v>2340</v>
      </c>
      <c r="AA42" s="5" t="e">
        <v>#N/A</v>
      </c>
      <c r="AB42" s="5" t="e">
        <v>#N/A</v>
      </c>
    </row>
    <row r="43" spans="1:28" x14ac:dyDescent="0.3">
      <c r="A43" s="6">
        <v>38210</v>
      </c>
      <c r="B43" s="7">
        <v>0.66666666666666663</v>
      </c>
      <c r="C43" s="5">
        <v>140.5</v>
      </c>
      <c r="D43" s="5">
        <v>140.5</v>
      </c>
      <c r="E43" s="5">
        <v>140.5</v>
      </c>
      <c r="F43" s="5">
        <v>140.5</v>
      </c>
      <c r="G43" s="5">
        <v>100</v>
      </c>
      <c r="I43" s="6">
        <v>39797</v>
      </c>
      <c r="J43" s="7">
        <v>0.66666666666666663</v>
      </c>
      <c r="K43" s="5">
        <v>2223</v>
      </c>
      <c r="L43" s="5">
        <v>2223</v>
      </c>
      <c r="M43" s="5">
        <v>2223</v>
      </c>
      <c r="N43" s="5">
        <v>2223</v>
      </c>
      <c r="O43" s="5">
        <v>5880</v>
      </c>
      <c r="Q43" s="6">
        <v>38205</v>
      </c>
      <c r="R43" s="7">
        <v>0.66666666666666663</v>
      </c>
      <c r="S43" s="5">
        <v>88.3</v>
      </c>
      <c r="T43" s="5">
        <v>91</v>
      </c>
      <c r="U43" s="5">
        <v>88.1</v>
      </c>
      <c r="V43" s="5">
        <v>91</v>
      </c>
      <c r="W43" s="5">
        <v>13200</v>
      </c>
      <c r="Y43" s="6">
        <f t="shared" si="0"/>
        <v>39797</v>
      </c>
      <c r="Z43" s="5">
        <f t="shared" si="1"/>
        <v>2223</v>
      </c>
      <c r="AA43" s="5" t="e">
        <v>#N/A</v>
      </c>
      <c r="AB43" s="5" t="e">
        <v>#N/A</v>
      </c>
    </row>
    <row r="44" spans="1:28" x14ac:dyDescent="0.3">
      <c r="A44" s="6">
        <v>38211</v>
      </c>
      <c r="B44" s="7">
        <v>0.66666666666666663</v>
      </c>
      <c r="C44" s="5">
        <v>142</v>
      </c>
      <c r="D44" s="5">
        <v>142</v>
      </c>
      <c r="E44" s="5">
        <v>142</v>
      </c>
      <c r="F44" s="5">
        <v>142</v>
      </c>
      <c r="G44" s="5">
        <v>200</v>
      </c>
      <c r="I44" s="6">
        <v>39798</v>
      </c>
      <c r="J44" s="7">
        <v>0.66666666666666663</v>
      </c>
      <c r="K44" s="5">
        <v>2150</v>
      </c>
      <c r="L44" s="5">
        <v>2150</v>
      </c>
      <c r="M44" s="5">
        <v>2111.8501000000001</v>
      </c>
      <c r="N44" s="5">
        <v>2111.8501000000001</v>
      </c>
      <c r="O44" s="5">
        <v>1000</v>
      </c>
      <c r="Q44" s="6">
        <v>38208</v>
      </c>
      <c r="R44" s="7">
        <v>0.66666666666666663</v>
      </c>
      <c r="S44" s="5">
        <v>91</v>
      </c>
      <c r="T44" s="5">
        <v>92</v>
      </c>
      <c r="U44" s="5">
        <v>89.5</v>
      </c>
      <c r="V44" s="5">
        <v>92</v>
      </c>
      <c r="W44" s="5">
        <v>25000</v>
      </c>
      <c r="Y44" s="6">
        <f t="shared" si="0"/>
        <v>39798</v>
      </c>
      <c r="Z44" s="5">
        <f t="shared" si="1"/>
        <v>2111.8501000000001</v>
      </c>
      <c r="AA44" s="5" t="e">
        <v>#N/A</v>
      </c>
      <c r="AB44" s="5" t="e">
        <v>#N/A</v>
      </c>
    </row>
    <row r="45" spans="1:28" x14ac:dyDescent="0.3">
      <c r="A45" s="6">
        <v>38212</v>
      </c>
      <c r="B45" s="7">
        <v>0.66666666666666663</v>
      </c>
      <c r="C45" s="5">
        <v>141.69999999999999</v>
      </c>
      <c r="D45" s="5">
        <v>141.69999999999999</v>
      </c>
      <c r="E45" s="5">
        <v>138.5</v>
      </c>
      <c r="F45" s="5">
        <v>138.5</v>
      </c>
      <c r="G45" s="5">
        <v>300</v>
      </c>
      <c r="I45" s="6">
        <v>39799</v>
      </c>
      <c r="J45" s="7">
        <v>0.66666666666666663</v>
      </c>
      <c r="K45" s="5">
        <v>2100</v>
      </c>
      <c r="L45" s="5">
        <v>2100</v>
      </c>
      <c r="M45" s="5">
        <v>2007</v>
      </c>
      <c r="N45" s="5">
        <v>2100</v>
      </c>
      <c r="O45" s="5">
        <v>200</v>
      </c>
      <c r="Q45" s="6">
        <v>38209</v>
      </c>
      <c r="R45" s="7">
        <v>0.66666666666666663</v>
      </c>
      <c r="S45" s="5">
        <v>92</v>
      </c>
      <c r="T45" s="5">
        <v>92</v>
      </c>
      <c r="U45" s="5">
        <v>91</v>
      </c>
      <c r="V45" s="5">
        <v>91</v>
      </c>
      <c r="W45" s="5">
        <v>36600</v>
      </c>
      <c r="Y45" s="6">
        <f t="shared" si="0"/>
        <v>39799</v>
      </c>
      <c r="Z45" s="5">
        <f t="shared" si="1"/>
        <v>2100</v>
      </c>
      <c r="AA45" s="5" t="e">
        <v>#N/A</v>
      </c>
      <c r="AB45" s="5" t="e">
        <v>#N/A</v>
      </c>
    </row>
    <row r="46" spans="1:28" x14ac:dyDescent="0.3">
      <c r="A46" s="6">
        <v>38215</v>
      </c>
      <c r="B46" s="7">
        <v>0.66666666666666663</v>
      </c>
      <c r="C46" s="5">
        <v>139.94999999999999</v>
      </c>
      <c r="D46" s="5">
        <v>139.94999999999999</v>
      </c>
      <c r="E46" s="5">
        <v>139.94999999999999</v>
      </c>
      <c r="F46" s="5">
        <v>139.94999999999999</v>
      </c>
      <c r="G46" s="5">
        <v>100</v>
      </c>
      <c r="I46" s="6">
        <v>39800</v>
      </c>
      <c r="J46" s="7">
        <v>0.66666666666666663</v>
      </c>
      <c r="K46" s="5">
        <v>2100</v>
      </c>
      <c r="L46" s="5">
        <v>2100</v>
      </c>
      <c r="M46" s="5">
        <v>2000</v>
      </c>
      <c r="N46" s="5">
        <v>2100</v>
      </c>
      <c r="O46" s="5">
        <v>3760</v>
      </c>
      <c r="Q46" s="6">
        <v>38210</v>
      </c>
      <c r="R46" s="7">
        <v>0.66666666666666663</v>
      </c>
      <c r="S46" s="5">
        <v>91</v>
      </c>
      <c r="T46" s="5">
        <v>91</v>
      </c>
      <c r="U46" s="5">
        <v>90.25</v>
      </c>
      <c r="V46" s="5">
        <v>90.95</v>
      </c>
      <c r="W46" s="5">
        <v>6900</v>
      </c>
      <c r="Y46" s="6">
        <f t="shared" si="0"/>
        <v>39800</v>
      </c>
      <c r="Z46" s="5">
        <f t="shared" si="1"/>
        <v>2100</v>
      </c>
      <c r="AA46" s="5" t="e">
        <v>#N/A</v>
      </c>
      <c r="AB46" s="5" t="e">
        <v>#N/A</v>
      </c>
    </row>
    <row r="47" spans="1:28" x14ac:dyDescent="0.3">
      <c r="A47" s="6">
        <v>38216</v>
      </c>
      <c r="B47" s="7">
        <v>0.66666666666666663</v>
      </c>
      <c r="C47" s="5">
        <v>140.25</v>
      </c>
      <c r="D47" s="5">
        <v>140.25</v>
      </c>
      <c r="E47" s="5">
        <v>140</v>
      </c>
      <c r="F47" s="5">
        <v>140.25</v>
      </c>
      <c r="G47" s="5">
        <v>1500</v>
      </c>
      <c r="I47" s="6">
        <v>39804</v>
      </c>
      <c r="J47" s="7">
        <v>0.66666666666666663</v>
      </c>
      <c r="K47" s="5">
        <v>2000</v>
      </c>
      <c r="L47" s="5">
        <v>2000</v>
      </c>
      <c r="M47" s="5">
        <v>2000</v>
      </c>
      <c r="N47" s="5">
        <v>2000</v>
      </c>
      <c r="O47" s="5">
        <v>200</v>
      </c>
      <c r="Q47" s="6">
        <v>38211</v>
      </c>
      <c r="R47" s="7">
        <v>0.66666666666666663</v>
      </c>
      <c r="S47" s="5">
        <v>90.95</v>
      </c>
      <c r="T47" s="5">
        <v>91</v>
      </c>
      <c r="U47" s="5">
        <v>89.8</v>
      </c>
      <c r="V47" s="5">
        <v>90.5</v>
      </c>
      <c r="W47" s="5">
        <v>13400</v>
      </c>
      <c r="Y47" s="6">
        <f t="shared" si="0"/>
        <v>39804</v>
      </c>
      <c r="Z47" s="5">
        <f t="shared" si="1"/>
        <v>2000</v>
      </c>
      <c r="AA47" s="5">
        <v>81.44</v>
      </c>
      <c r="AB47" s="5" t="e">
        <v>#N/A</v>
      </c>
    </row>
    <row r="48" spans="1:28" x14ac:dyDescent="0.3">
      <c r="A48" s="6">
        <v>38217</v>
      </c>
      <c r="B48" s="7">
        <v>0.66666666666666663</v>
      </c>
      <c r="C48" s="5">
        <v>140.25</v>
      </c>
      <c r="D48" s="5">
        <v>140.25</v>
      </c>
      <c r="E48" s="5">
        <v>140.25</v>
      </c>
      <c r="F48" s="5">
        <v>140.25</v>
      </c>
      <c r="G48" s="5">
        <v>600</v>
      </c>
      <c r="I48" s="6">
        <v>39805</v>
      </c>
      <c r="J48" s="7">
        <v>0.66666666666666663</v>
      </c>
      <c r="K48" s="5">
        <v>2030</v>
      </c>
      <c r="L48" s="5">
        <v>2039</v>
      </c>
      <c r="M48" s="5">
        <v>2030</v>
      </c>
      <c r="N48" s="5">
        <v>2039</v>
      </c>
      <c r="O48" s="5">
        <v>40</v>
      </c>
      <c r="Q48" s="6">
        <v>38212</v>
      </c>
      <c r="R48" s="7">
        <v>0.66666666666666663</v>
      </c>
      <c r="S48" s="5">
        <v>90.15</v>
      </c>
      <c r="T48" s="5">
        <v>90.15</v>
      </c>
      <c r="U48" s="5">
        <v>89.75</v>
      </c>
      <c r="V48" s="5">
        <v>89.75</v>
      </c>
      <c r="W48" s="5">
        <v>21600</v>
      </c>
      <c r="Y48" s="6">
        <f t="shared" si="0"/>
        <v>39805</v>
      </c>
      <c r="Z48" s="5">
        <f t="shared" si="1"/>
        <v>2039</v>
      </c>
      <c r="AA48" s="5">
        <v>77.37</v>
      </c>
      <c r="AB48" s="5" t="e">
        <v>#N/A</v>
      </c>
    </row>
    <row r="49" spans="1:28" x14ac:dyDescent="0.3">
      <c r="A49" s="6">
        <v>38218</v>
      </c>
      <c r="B49" s="7">
        <v>0.66666666666666663</v>
      </c>
      <c r="C49" s="5">
        <v>142</v>
      </c>
      <c r="D49" s="5">
        <v>142</v>
      </c>
      <c r="E49" s="5">
        <v>142</v>
      </c>
      <c r="F49" s="5">
        <v>142</v>
      </c>
      <c r="G49" s="5">
        <v>100</v>
      </c>
      <c r="I49" s="6">
        <v>39806</v>
      </c>
      <c r="J49" s="7">
        <v>0.66666666666666663</v>
      </c>
      <c r="K49" s="5">
        <v>2000</v>
      </c>
      <c r="L49" s="5">
        <v>2000</v>
      </c>
      <c r="M49" s="5">
        <v>1966</v>
      </c>
      <c r="N49" s="5">
        <v>1966</v>
      </c>
      <c r="O49" s="5">
        <v>60</v>
      </c>
      <c r="Q49" s="6">
        <v>38215</v>
      </c>
      <c r="R49" s="7">
        <v>0.66666666666666663</v>
      </c>
      <c r="S49" s="5">
        <v>90</v>
      </c>
      <c r="T49" s="5">
        <v>91.5</v>
      </c>
      <c r="U49" s="5">
        <v>90</v>
      </c>
      <c r="V49" s="5">
        <v>90.65</v>
      </c>
      <c r="W49" s="5">
        <v>37100</v>
      </c>
      <c r="Y49" s="6">
        <f t="shared" si="0"/>
        <v>39806</v>
      </c>
      <c r="Z49" s="5">
        <f t="shared" si="1"/>
        <v>1966</v>
      </c>
      <c r="AA49" s="5" t="e">
        <v>#N/A</v>
      </c>
      <c r="AB49" s="5" t="e">
        <v>#N/A</v>
      </c>
    </row>
    <row r="50" spans="1:28" x14ac:dyDescent="0.3">
      <c r="A50" s="6">
        <v>38219</v>
      </c>
      <c r="B50" s="7">
        <v>0.66666666666666663</v>
      </c>
      <c r="C50" s="5">
        <v>145</v>
      </c>
      <c r="D50" s="5">
        <v>146</v>
      </c>
      <c r="E50" s="5">
        <v>145</v>
      </c>
      <c r="F50" s="5">
        <v>146</v>
      </c>
      <c r="G50" s="5">
        <v>700</v>
      </c>
      <c r="I50" s="6">
        <v>39808</v>
      </c>
      <c r="J50" s="7">
        <v>0.66666666666666663</v>
      </c>
      <c r="K50" s="5">
        <v>2000</v>
      </c>
      <c r="L50" s="5">
        <v>2001</v>
      </c>
      <c r="M50" s="5">
        <v>2000</v>
      </c>
      <c r="N50" s="5">
        <v>2000</v>
      </c>
      <c r="O50" s="5">
        <v>80</v>
      </c>
      <c r="Q50" s="6">
        <v>38216</v>
      </c>
      <c r="R50" s="7">
        <v>0.66666666666666663</v>
      </c>
      <c r="S50" s="5">
        <v>91</v>
      </c>
      <c r="T50" s="5">
        <v>91.9</v>
      </c>
      <c r="U50" s="5">
        <v>91</v>
      </c>
      <c r="V50" s="5">
        <v>91.9</v>
      </c>
      <c r="W50" s="5">
        <v>25900</v>
      </c>
      <c r="Y50" s="6">
        <f t="shared" si="0"/>
        <v>39808</v>
      </c>
      <c r="Z50" s="5">
        <f t="shared" si="1"/>
        <v>2000</v>
      </c>
      <c r="AA50" s="5" t="e">
        <v>#N/A</v>
      </c>
      <c r="AB50" s="5">
        <v>104.5</v>
      </c>
    </row>
    <row r="51" spans="1:28" x14ac:dyDescent="0.3">
      <c r="A51" s="6">
        <v>38222</v>
      </c>
      <c r="B51" s="7">
        <v>0.66666666666666663</v>
      </c>
      <c r="C51" s="5">
        <v>148</v>
      </c>
      <c r="D51" s="5">
        <v>148</v>
      </c>
      <c r="E51" s="5">
        <v>147.94999999999999</v>
      </c>
      <c r="F51" s="5">
        <v>148</v>
      </c>
      <c r="G51" s="5">
        <v>1400</v>
      </c>
      <c r="I51" s="6">
        <v>39812</v>
      </c>
      <c r="J51" s="7">
        <v>0.66666666666666663</v>
      </c>
      <c r="K51" s="5">
        <v>1901</v>
      </c>
      <c r="L51" s="5">
        <v>1901</v>
      </c>
      <c r="M51" s="5">
        <v>1900.24</v>
      </c>
      <c r="N51" s="5">
        <v>1900.24</v>
      </c>
      <c r="O51" s="5">
        <v>40</v>
      </c>
      <c r="Q51" s="6">
        <v>38217</v>
      </c>
      <c r="R51" s="7">
        <v>0.66666666666666663</v>
      </c>
      <c r="S51" s="5">
        <v>91.9</v>
      </c>
      <c r="T51" s="5">
        <v>95</v>
      </c>
      <c r="U51" s="5">
        <v>91.75</v>
      </c>
      <c r="V51" s="5">
        <v>92</v>
      </c>
      <c r="W51" s="5">
        <v>11700</v>
      </c>
      <c r="Y51" s="6">
        <f t="shared" si="0"/>
        <v>39812</v>
      </c>
      <c r="Z51" s="5">
        <f t="shared" si="1"/>
        <v>1900.24</v>
      </c>
      <c r="AA51" s="5">
        <v>63.04</v>
      </c>
      <c r="AB51" s="5">
        <v>94.32</v>
      </c>
    </row>
    <row r="52" spans="1:28" x14ac:dyDescent="0.3">
      <c r="A52" s="6">
        <v>38223</v>
      </c>
      <c r="B52" s="7">
        <v>0.66666666666666663</v>
      </c>
      <c r="C52" s="5">
        <v>150</v>
      </c>
      <c r="D52" s="5">
        <v>150</v>
      </c>
      <c r="E52" s="5">
        <v>150</v>
      </c>
      <c r="F52" s="5">
        <v>150</v>
      </c>
      <c r="G52" s="5">
        <v>200</v>
      </c>
      <c r="I52" s="6">
        <v>39813</v>
      </c>
      <c r="J52" s="7">
        <v>0.66666666666666663</v>
      </c>
      <c r="K52" s="5">
        <v>1900.24</v>
      </c>
      <c r="L52" s="5">
        <v>1975</v>
      </c>
      <c r="M52" s="5">
        <v>1805.59</v>
      </c>
      <c r="N52" s="5">
        <v>1805.59</v>
      </c>
      <c r="O52" s="5">
        <v>220</v>
      </c>
      <c r="Q52" s="6">
        <v>38218</v>
      </c>
      <c r="R52" s="7">
        <v>0.66666666666666663</v>
      </c>
      <c r="S52" s="5">
        <v>92</v>
      </c>
      <c r="T52" s="5">
        <v>92</v>
      </c>
      <c r="U52" s="5">
        <v>91</v>
      </c>
      <c r="V52" s="5">
        <v>91</v>
      </c>
      <c r="W52" s="5">
        <v>16500</v>
      </c>
      <c r="Y52" s="6">
        <f t="shared" si="0"/>
        <v>39813</v>
      </c>
      <c r="Z52" s="5">
        <f t="shared" si="1"/>
        <v>1805.59</v>
      </c>
      <c r="AA52" s="5">
        <v>59.89</v>
      </c>
      <c r="AB52" s="5">
        <v>89.61</v>
      </c>
    </row>
    <row r="53" spans="1:28" x14ac:dyDescent="0.3">
      <c r="A53" s="6">
        <v>38224</v>
      </c>
      <c r="B53" s="7">
        <v>0.66666666666666663</v>
      </c>
      <c r="C53" s="5">
        <v>149</v>
      </c>
      <c r="D53" s="5">
        <v>150</v>
      </c>
      <c r="E53" s="5">
        <v>143</v>
      </c>
      <c r="F53" s="5">
        <v>143</v>
      </c>
      <c r="G53" s="5">
        <v>2000</v>
      </c>
      <c r="I53" s="6">
        <v>39815</v>
      </c>
      <c r="J53" s="7">
        <v>0.66666666666666663</v>
      </c>
      <c r="K53" s="5">
        <v>1880</v>
      </c>
      <c r="L53" s="5">
        <v>1880</v>
      </c>
      <c r="M53" s="5">
        <v>1880</v>
      </c>
      <c r="N53" s="5">
        <v>1880</v>
      </c>
      <c r="O53" s="5">
        <v>20</v>
      </c>
      <c r="Q53" s="6">
        <v>38219</v>
      </c>
      <c r="R53" s="7">
        <v>0.66666666666666663</v>
      </c>
      <c r="S53" s="5">
        <v>91</v>
      </c>
      <c r="T53" s="5">
        <v>93.25</v>
      </c>
      <c r="U53" s="5">
        <v>91</v>
      </c>
      <c r="V53" s="5">
        <v>92.5</v>
      </c>
      <c r="W53" s="5">
        <v>70900</v>
      </c>
      <c r="Y53" s="6">
        <f t="shared" si="0"/>
        <v>39815</v>
      </c>
      <c r="Z53" s="5">
        <f t="shared" si="1"/>
        <v>1880</v>
      </c>
      <c r="AA53" s="5">
        <v>54.06</v>
      </c>
      <c r="AB53" s="5">
        <v>89.38</v>
      </c>
    </row>
    <row r="54" spans="1:28" x14ac:dyDescent="0.3">
      <c r="A54" s="6">
        <v>38226</v>
      </c>
      <c r="B54" s="7">
        <v>0.66666666666666663</v>
      </c>
      <c r="C54" s="5">
        <v>148.5</v>
      </c>
      <c r="D54" s="5">
        <v>149</v>
      </c>
      <c r="E54" s="5">
        <v>148</v>
      </c>
      <c r="F54" s="5">
        <v>148</v>
      </c>
      <c r="G54" s="5">
        <v>2300</v>
      </c>
      <c r="I54" s="6">
        <v>39818</v>
      </c>
      <c r="J54" s="7">
        <v>0.66666666666666663</v>
      </c>
      <c r="K54" s="5">
        <v>1965</v>
      </c>
      <c r="L54" s="5">
        <v>1974</v>
      </c>
      <c r="M54" s="5">
        <v>1965</v>
      </c>
      <c r="N54" s="5">
        <v>1965</v>
      </c>
      <c r="O54" s="5">
        <v>100</v>
      </c>
      <c r="Q54" s="6">
        <v>38222</v>
      </c>
      <c r="R54" s="7">
        <v>0.66666666666666663</v>
      </c>
      <c r="S54" s="5">
        <v>92.55</v>
      </c>
      <c r="T54" s="5">
        <v>94.5</v>
      </c>
      <c r="U54" s="5">
        <v>92.55</v>
      </c>
      <c r="V54" s="5">
        <v>94.25</v>
      </c>
      <c r="W54" s="5">
        <v>297000</v>
      </c>
      <c r="Y54" s="6">
        <f t="shared" si="0"/>
        <v>39818</v>
      </c>
      <c r="Z54" s="5">
        <f t="shared" si="1"/>
        <v>1965</v>
      </c>
      <c r="AA54" s="5">
        <v>57.79</v>
      </c>
      <c r="AB54" s="5">
        <v>93.84</v>
      </c>
    </row>
    <row r="55" spans="1:28" x14ac:dyDescent="0.3">
      <c r="A55" s="6">
        <v>38229</v>
      </c>
      <c r="B55" s="7">
        <v>0.66666666666666663</v>
      </c>
      <c r="C55" s="5">
        <v>150.9</v>
      </c>
      <c r="D55" s="5">
        <v>151</v>
      </c>
      <c r="E55" s="5">
        <v>150</v>
      </c>
      <c r="F55" s="5">
        <v>150</v>
      </c>
      <c r="G55" s="5">
        <v>90100</v>
      </c>
      <c r="I55" s="6">
        <v>39819</v>
      </c>
      <c r="J55" s="7">
        <v>0.66666666666666663</v>
      </c>
      <c r="K55" s="5">
        <v>1975</v>
      </c>
      <c r="L55" s="5">
        <v>2000</v>
      </c>
      <c r="M55" s="5">
        <v>1975</v>
      </c>
      <c r="N55" s="5">
        <v>1975</v>
      </c>
      <c r="O55" s="5">
        <v>3120</v>
      </c>
      <c r="Q55" s="6">
        <v>38223</v>
      </c>
      <c r="R55" s="7">
        <v>0.66666666666666663</v>
      </c>
      <c r="S55" s="5">
        <v>94.25</v>
      </c>
      <c r="T55" s="5">
        <v>94.6</v>
      </c>
      <c r="U55" s="5">
        <v>91.45</v>
      </c>
      <c r="V55" s="5">
        <v>93</v>
      </c>
      <c r="W55" s="5">
        <v>223500</v>
      </c>
      <c r="Y55" s="6">
        <f t="shared" si="0"/>
        <v>39819</v>
      </c>
      <c r="Z55" s="5">
        <f t="shared" si="1"/>
        <v>1975</v>
      </c>
      <c r="AA55" s="5">
        <v>60.67</v>
      </c>
      <c r="AB55" s="5">
        <v>97</v>
      </c>
    </row>
    <row r="56" spans="1:28" x14ac:dyDescent="0.3">
      <c r="A56" s="6">
        <v>38230</v>
      </c>
      <c r="B56" s="7">
        <v>0.66666666666666663</v>
      </c>
      <c r="C56" s="5">
        <v>150</v>
      </c>
      <c r="D56" s="5">
        <v>151.5</v>
      </c>
      <c r="E56" s="5">
        <v>149</v>
      </c>
      <c r="F56" s="5">
        <v>149</v>
      </c>
      <c r="G56" s="5">
        <v>1900</v>
      </c>
      <c r="I56" s="6">
        <v>39829</v>
      </c>
      <c r="J56" s="7">
        <v>0.66666666666666663</v>
      </c>
      <c r="K56" s="5">
        <v>1882.04</v>
      </c>
      <c r="L56" s="5">
        <v>1882.04</v>
      </c>
      <c r="M56" s="5">
        <v>1876.25</v>
      </c>
      <c r="N56" s="5">
        <v>1876.25</v>
      </c>
      <c r="O56" s="5">
        <v>120</v>
      </c>
      <c r="Q56" s="6">
        <v>38224</v>
      </c>
      <c r="R56" s="7">
        <v>0.66666666666666663</v>
      </c>
      <c r="S56" s="5">
        <v>92.9</v>
      </c>
      <c r="T56" s="5">
        <v>92.9</v>
      </c>
      <c r="U56" s="5">
        <v>90.8</v>
      </c>
      <c r="V56" s="5">
        <v>91</v>
      </c>
      <c r="W56" s="5">
        <v>48100</v>
      </c>
      <c r="Y56" s="6">
        <f t="shared" si="0"/>
        <v>39829</v>
      </c>
      <c r="Z56" s="5">
        <f t="shared" si="1"/>
        <v>1876.25</v>
      </c>
      <c r="AA56" s="5">
        <v>55.67</v>
      </c>
      <c r="AB56" s="5">
        <v>84.12</v>
      </c>
    </row>
    <row r="57" spans="1:28" x14ac:dyDescent="0.3">
      <c r="A57" s="6">
        <v>38231</v>
      </c>
      <c r="B57" s="7">
        <v>0.66666666666666663</v>
      </c>
      <c r="C57" s="5">
        <v>151</v>
      </c>
      <c r="D57" s="5">
        <v>151</v>
      </c>
      <c r="E57" s="5">
        <v>150</v>
      </c>
      <c r="F57" s="5">
        <v>150</v>
      </c>
      <c r="G57" s="5">
        <v>1800</v>
      </c>
      <c r="I57" s="6">
        <v>39832</v>
      </c>
      <c r="J57" s="7">
        <v>0.66666666666666663</v>
      </c>
      <c r="K57" s="5">
        <v>1876.25</v>
      </c>
      <c r="L57" s="5">
        <v>1970.04</v>
      </c>
      <c r="M57" s="5">
        <v>1782.4399000000001</v>
      </c>
      <c r="N57" s="5">
        <v>1963.91</v>
      </c>
      <c r="O57" s="5">
        <v>3160</v>
      </c>
      <c r="Q57" s="6">
        <v>38225</v>
      </c>
      <c r="R57" s="7">
        <v>0.66666666666666663</v>
      </c>
      <c r="S57" s="5">
        <v>91</v>
      </c>
      <c r="T57" s="5">
        <v>93</v>
      </c>
      <c r="U57" s="5">
        <v>91</v>
      </c>
      <c r="V57" s="5">
        <v>91.3</v>
      </c>
      <c r="W57" s="5">
        <v>72300</v>
      </c>
      <c r="Y57" s="6">
        <f t="shared" si="0"/>
        <v>39832</v>
      </c>
      <c r="Z57" s="5">
        <f t="shared" si="1"/>
        <v>1963.91</v>
      </c>
      <c r="AA57" s="5">
        <v>52.89</v>
      </c>
      <c r="AB57" s="5">
        <v>80.13</v>
      </c>
    </row>
    <row r="58" spans="1:28" x14ac:dyDescent="0.3">
      <c r="A58" s="6">
        <v>38232</v>
      </c>
      <c r="B58" s="7">
        <v>0.66666666666666663</v>
      </c>
      <c r="C58" s="5">
        <v>150</v>
      </c>
      <c r="D58" s="5">
        <v>150</v>
      </c>
      <c r="E58" s="5">
        <v>148</v>
      </c>
      <c r="F58" s="5">
        <v>148</v>
      </c>
      <c r="G58" s="5">
        <v>900</v>
      </c>
      <c r="I58" s="6">
        <v>39835</v>
      </c>
      <c r="J58" s="7">
        <v>0.66666666666666663</v>
      </c>
      <c r="K58" s="5">
        <v>1963.91</v>
      </c>
      <c r="L58" s="5">
        <v>2000</v>
      </c>
      <c r="M58" s="5">
        <v>1865.75</v>
      </c>
      <c r="N58" s="5">
        <v>1876</v>
      </c>
      <c r="O58" s="5">
        <v>2060</v>
      </c>
      <c r="Q58" s="6">
        <v>38226</v>
      </c>
      <c r="R58" s="7">
        <v>0.66666666666666663</v>
      </c>
      <c r="S58" s="5">
        <v>91.3</v>
      </c>
      <c r="T58" s="5">
        <v>92</v>
      </c>
      <c r="U58" s="5">
        <v>90.8</v>
      </c>
      <c r="V58" s="5">
        <v>91.45</v>
      </c>
      <c r="W58" s="5">
        <v>32500</v>
      </c>
      <c r="Y58" s="6">
        <f t="shared" si="0"/>
        <v>39835</v>
      </c>
      <c r="Z58" s="5">
        <f t="shared" si="1"/>
        <v>1876</v>
      </c>
      <c r="AA58" s="5">
        <v>45.36</v>
      </c>
      <c r="AB58" s="5">
        <v>75.900000000000006</v>
      </c>
    </row>
    <row r="59" spans="1:28" x14ac:dyDescent="0.3">
      <c r="A59" s="6">
        <v>38233</v>
      </c>
      <c r="B59" s="7">
        <v>0.66666666666666663</v>
      </c>
      <c r="C59" s="5">
        <v>148.25</v>
      </c>
      <c r="D59" s="5">
        <v>148.25</v>
      </c>
      <c r="E59" s="5">
        <v>147.94999999999999</v>
      </c>
      <c r="F59" s="5">
        <v>147.94999999999999</v>
      </c>
      <c r="G59" s="5">
        <v>900</v>
      </c>
      <c r="I59" s="6">
        <v>39839</v>
      </c>
      <c r="J59" s="7">
        <v>0.66666666666666663</v>
      </c>
      <c r="K59" s="5">
        <v>1901</v>
      </c>
      <c r="L59" s="5">
        <v>1915</v>
      </c>
      <c r="M59" s="5">
        <v>1901</v>
      </c>
      <c r="N59" s="5">
        <v>1915</v>
      </c>
      <c r="O59" s="5">
        <v>40</v>
      </c>
      <c r="Q59" s="6">
        <v>38229</v>
      </c>
      <c r="R59" s="7">
        <v>0.66666666666666663</v>
      </c>
      <c r="S59" s="5">
        <v>91.45</v>
      </c>
      <c r="T59" s="5">
        <v>92.9</v>
      </c>
      <c r="U59" s="5">
        <v>90.1</v>
      </c>
      <c r="V59" s="5">
        <v>90.6</v>
      </c>
      <c r="W59" s="5">
        <v>32200</v>
      </c>
      <c r="Y59" s="6">
        <f t="shared" si="0"/>
        <v>39839</v>
      </c>
      <c r="Z59" s="5">
        <f t="shared" si="1"/>
        <v>1915</v>
      </c>
      <c r="AA59" s="5">
        <v>40.950000000000003</v>
      </c>
      <c r="AB59" s="5">
        <v>74.5</v>
      </c>
    </row>
    <row r="60" spans="1:28" x14ac:dyDescent="0.3">
      <c r="A60" s="6">
        <v>38236</v>
      </c>
      <c r="B60" s="7">
        <v>0.66666666666666663</v>
      </c>
      <c r="C60" s="5">
        <v>147.75</v>
      </c>
      <c r="D60" s="5">
        <v>147.75</v>
      </c>
      <c r="E60" s="5">
        <v>144</v>
      </c>
      <c r="F60" s="5">
        <v>144</v>
      </c>
      <c r="G60" s="5">
        <v>600</v>
      </c>
      <c r="I60" s="6">
        <v>39843</v>
      </c>
      <c r="J60" s="7">
        <v>0.66666666666666663</v>
      </c>
      <c r="K60" s="5">
        <v>2006</v>
      </c>
      <c r="L60" s="5">
        <v>2006</v>
      </c>
      <c r="M60" s="5">
        <v>2006</v>
      </c>
      <c r="N60" s="5">
        <v>2006</v>
      </c>
      <c r="O60" s="5">
        <v>20</v>
      </c>
      <c r="Q60" s="6">
        <v>38230</v>
      </c>
      <c r="R60" s="7">
        <v>0.66666666666666663</v>
      </c>
      <c r="S60" s="5">
        <v>90.6</v>
      </c>
      <c r="T60" s="5">
        <v>90.9</v>
      </c>
      <c r="U60" s="5">
        <v>90</v>
      </c>
      <c r="V60" s="5">
        <v>90.55</v>
      </c>
      <c r="W60" s="5">
        <v>21700</v>
      </c>
      <c r="Y60" s="6">
        <f t="shared" si="0"/>
        <v>39843</v>
      </c>
      <c r="Z60" s="5">
        <f t="shared" si="1"/>
        <v>2006</v>
      </c>
      <c r="AA60" s="5">
        <v>47.29</v>
      </c>
      <c r="AB60" s="5">
        <v>78</v>
      </c>
    </row>
    <row r="61" spans="1:28" x14ac:dyDescent="0.3">
      <c r="A61" s="6">
        <v>38237</v>
      </c>
      <c r="B61" s="7">
        <v>0.66666666666666663</v>
      </c>
      <c r="C61" s="5">
        <v>140</v>
      </c>
      <c r="D61" s="5">
        <v>140</v>
      </c>
      <c r="E61" s="5">
        <v>140</v>
      </c>
      <c r="F61" s="5">
        <v>140</v>
      </c>
      <c r="G61" s="5">
        <v>1000</v>
      </c>
      <c r="I61" s="6">
        <v>39846</v>
      </c>
      <c r="J61" s="7">
        <v>0.66666666666666663</v>
      </c>
      <c r="K61" s="5">
        <v>1930.01</v>
      </c>
      <c r="L61" s="5">
        <v>1930.01</v>
      </c>
      <c r="M61" s="5">
        <v>1928.01</v>
      </c>
      <c r="N61" s="5">
        <v>1930</v>
      </c>
      <c r="O61" s="5">
        <v>620</v>
      </c>
      <c r="Q61" s="6">
        <v>38231</v>
      </c>
      <c r="R61" s="7">
        <v>0.66666666666666663</v>
      </c>
      <c r="S61" s="5">
        <v>90.55</v>
      </c>
      <c r="T61" s="5">
        <v>92</v>
      </c>
      <c r="U61" s="5">
        <v>89</v>
      </c>
      <c r="V61" s="5">
        <v>89</v>
      </c>
      <c r="W61" s="5">
        <v>60100</v>
      </c>
      <c r="Y61" s="6">
        <f t="shared" si="0"/>
        <v>39846</v>
      </c>
      <c r="Z61" s="5">
        <f t="shared" si="1"/>
        <v>1930</v>
      </c>
      <c r="AA61" s="5">
        <v>44.93</v>
      </c>
      <c r="AB61" s="5">
        <v>76.849999999999994</v>
      </c>
    </row>
    <row r="62" spans="1:28" x14ac:dyDescent="0.3">
      <c r="A62" s="6">
        <v>38238</v>
      </c>
      <c r="B62" s="7">
        <v>0.66666666666666663</v>
      </c>
      <c r="C62" s="5">
        <v>140</v>
      </c>
      <c r="D62" s="5">
        <v>142</v>
      </c>
      <c r="E62" s="5">
        <v>140</v>
      </c>
      <c r="F62" s="5">
        <v>140</v>
      </c>
      <c r="G62" s="5">
        <v>3200</v>
      </c>
      <c r="I62" s="6">
        <v>39848</v>
      </c>
      <c r="J62" s="7">
        <v>0.66666666666666663</v>
      </c>
      <c r="K62" s="5">
        <v>2000</v>
      </c>
      <c r="L62" s="5">
        <v>2018</v>
      </c>
      <c r="M62" s="5">
        <v>2000</v>
      </c>
      <c r="N62" s="5">
        <v>2000</v>
      </c>
      <c r="O62" s="5">
        <v>120</v>
      </c>
      <c r="Q62" s="6">
        <v>38232</v>
      </c>
      <c r="R62" s="7">
        <v>0.66666666666666663</v>
      </c>
      <c r="S62" s="5">
        <v>89.25</v>
      </c>
      <c r="T62" s="5">
        <v>90.75</v>
      </c>
      <c r="U62" s="5">
        <v>89.25</v>
      </c>
      <c r="V62" s="5">
        <v>90.45</v>
      </c>
      <c r="W62" s="5">
        <v>22600</v>
      </c>
      <c r="Y62" s="6">
        <f t="shared" si="0"/>
        <v>39848</v>
      </c>
      <c r="Z62" s="5">
        <f t="shared" si="1"/>
        <v>2000</v>
      </c>
      <c r="AA62" s="5">
        <v>45.13</v>
      </c>
      <c r="AB62" s="5">
        <v>82.55</v>
      </c>
    </row>
    <row r="63" spans="1:28" x14ac:dyDescent="0.3">
      <c r="A63" s="6">
        <v>38239</v>
      </c>
      <c r="B63" s="7">
        <v>0.66666666666666663</v>
      </c>
      <c r="C63" s="5">
        <v>140.5</v>
      </c>
      <c r="D63" s="5">
        <v>142</v>
      </c>
      <c r="E63" s="5">
        <v>140</v>
      </c>
      <c r="F63" s="5">
        <v>140</v>
      </c>
      <c r="G63" s="5">
        <v>1400</v>
      </c>
      <c r="I63" s="6">
        <v>39850</v>
      </c>
      <c r="J63" s="7">
        <v>0.66666666666666663</v>
      </c>
      <c r="K63" s="5">
        <v>2000</v>
      </c>
      <c r="L63" s="5">
        <v>2079</v>
      </c>
      <c r="M63" s="5">
        <v>2000</v>
      </c>
      <c r="N63" s="5">
        <v>2000</v>
      </c>
      <c r="O63" s="5">
        <v>60</v>
      </c>
      <c r="Q63" s="6">
        <v>38233</v>
      </c>
      <c r="R63" s="7">
        <v>0.66666666666666663</v>
      </c>
      <c r="S63" s="5">
        <v>90.45</v>
      </c>
      <c r="T63" s="5">
        <v>90.65</v>
      </c>
      <c r="U63" s="5">
        <v>89.5</v>
      </c>
      <c r="V63" s="5">
        <v>90</v>
      </c>
      <c r="W63" s="5">
        <v>10700</v>
      </c>
      <c r="Y63" s="6">
        <f t="shared" si="0"/>
        <v>39850</v>
      </c>
      <c r="Z63" s="5">
        <f t="shared" si="1"/>
        <v>2000</v>
      </c>
      <c r="AA63" s="5">
        <v>47.38</v>
      </c>
      <c r="AB63" s="5">
        <v>78.3</v>
      </c>
    </row>
    <row r="64" spans="1:28" x14ac:dyDescent="0.3">
      <c r="A64" s="6">
        <v>38240</v>
      </c>
      <c r="B64" s="7">
        <v>0.66666666666666663</v>
      </c>
      <c r="C64" s="5">
        <v>140</v>
      </c>
      <c r="D64" s="5">
        <v>140</v>
      </c>
      <c r="E64" s="5">
        <v>138</v>
      </c>
      <c r="F64" s="5">
        <v>138</v>
      </c>
      <c r="G64" s="5">
        <v>800</v>
      </c>
      <c r="I64" s="6">
        <v>39853</v>
      </c>
      <c r="J64" s="7">
        <v>0.66666666666666663</v>
      </c>
      <c r="K64" s="5">
        <v>2000</v>
      </c>
      <c r="L64" s="5">
        <v>2000</v>
      </c>
      <c r="M64" s="5">
        <v>1960</v>
      </c>
      <c r="N64" s="5">
        <v>1961</v>
      </c>
      <c r="O64" s="5">
        <v>140</v>
      </c>
      <c r="Q64" s="6">
        <v>38236</v>
      </c>
      <c r="R64" s="7">
        <v>0.66666666666666663</v>
      </c>
      <c r="S64" s="5">
        <v>90</v>
      </c>
      <c r="T64" s="5">
        <v>90</v>
      </c>
      <c r="U64" s="5">
        <v>86</v>
      </c>
      <c r="V64" s="5">
        <v>87.35</v>
      </c>
      <c r="W64" s="5">
        <v>21200</v>
      </c>
      <c r="Y64" s="6">
        <f t="shared" si="0"/>
        <v>39853</v>
      </c>
      <c r="Z64" s="5">
        <f t="shared" si="1"/>
        <v>1961</v>
      </c>
      <c r="AA64" s="5">
        <v>49.74</v>
      </c>
      <c r="AB64" s="5">
        <v>74.39</v>
      </c>
    </row>
    <row r="65" spans="1:28" x14ac:dyDescent="0.3">
      <c r="A65" s="6">
        <v>38243</v>
      </c>
      <c r="B65" s="7">
        <v>0.66666666666666663</v>
      </c>
      <c r="C65" s="5">
        <v>140</v>
      </c>
      <c r="D65" s="5">
        <v>140</v>
      </c>
      <c r="E65" s="5">
        <v>139</v>
      </c>
      <c r="F65" s="5">
        <v>139</v>
      </c>
      <c r="G65" s="5">
        <v>1500</v>
      </c>
      <c r="I65" s="6">
        <v>39854</v>
      </c>
      <c r="J65" s="7">
        <v>0.66666666666666663</v>
      </c>
      <c r="K65" s="5">
        <v>1930</v>
      </c>
      <c r="L65" s="5">
        <v>1930</v>
      </c>
      <c r="M65" s="5">
        <v>1930</v>
      </c>
      <c r="N65" s="5">
        <v>1930</v>
      </c>
      <c r="O65" s="5">
        <v>200</v>
      </c>
      <c r="Q65" s="6">
        <v>38237</v>
      </c>
      <c r="R65" s="7">
        <v>0.66666666666666663</v>
      </c>
      <c r="S65" s="5">
        <v>87.35</v>
      </c>
      <c r="T65" s="5">
        <v>89</v>
      </c>
      <c r="U65" s="5">
        <v>85.5</v>
      </c>
      <c r="V65" s="5">
        <v>87.4</v>
      </c>
      <c r="W65" s="5">
        <v>36300</v>
      </c>
      <c r="Y65" s="6">
        <f t="shared" si="0"/>
        <v>39854</v>
      </c>
      <c r="Z65" s="5">
        <f t="shared" si="1"/>
        <v>1930</v>
      </c>
      <c r="AA65" s="5">
        <v>50.25</v>
      </c>
      <c r="AB65" s="5">
        <v>70.680000000000007</v>
      </c>
    </row>
    <row r="66" spans="1:28" x14ac:dyDescent="0.3">
      <c r="A66" s="6">
        <v>38245</v>
      </c>
      <c r="B66" s="7">
        <v>0.66666666666666663</v>
      </c>
      <c r="C66" s="5">
        <v>138.1</v>
      </c>
      <c r="D66" s="5">
        <v>138.1</v>
      </c>
      <c r="E66" s="5">
        <v>138</v>
      </c>
      <c r="F66" s="5">
        <v>138</v>
      </c>
      <c r="G66" s="5">
        <v>900</v>
      </c>
      <c r="I66" s="6">
        <v>39855</v>
      </c>
      <c r="J66" s="7">
        <v>0.66666666666666663</v>
      </c>
      <c r="K66" s="5">
        <v>1930</v>
      </c>
      <c r="L66" s="5">
        <v>1970</v>
      </c>
      <c r="M66" s="5">
        <v>1920</v>
      </c>
      <c r="N66" s="5">
        <v>1920</v>
      </c>
      <c r="O66" s="5">
        <v>260</v>
      </c>
      <c r="Q66" s="6">
        <v>38238</v>
      </c>
      <c r="R66" s="7">
        <v>0.66666666666666663</v>
      </c>
      <c r="S66" s="5">
        <v>87.4</v>
      </c>
      <c r="T66" s="5">
        <v>89.5</v>
      </c>
      <c r="U66" s="5">
        <v>86.5</v>
      </c>
      <c r="V66" s="5">
        <v>87</v>
      </c>
      <c r="W66" s="5">
        <v>19200</v>
      </c>
      <c r="Y66" s="6">
        <f t="shared" si="0"/>
        <v>39855</v>
      </c>
      <c r="Z66" s="5">
        <f t="shared" si="1"/>
        <v>1920</v>
      </c>
      <c r="AA66" s="5">
        <v>48.32</v>
      </c>
      <c r="AB66" s="5">
        <v>67.150000000000006</v>
      </c>
    </row>
    <row r="67" spans="1:28" x14ac:dyDescent="0.3">
      <c r="A67" s="6">
        <v>38246</v>
      </c>
      <c r="B67" s="7">
        <v>0.66666666666666663</v>
      </c>
      <c r="C67" s="5">
        <v>137</v>
      </c>
      <c r="D67" s="5">
        <v>137</v>
      </c>
      <c r="E67" s="5">
        <v>137</v>
      </c>
      <c r="F67" s="5">
        <v>137</v>
      </c>
      <c r="G67" s="5">
        <v>700</v>
      </c>
      <c r="I67" s="6">
        <v>39860</v>
      </c>
      <c r="J67" s="7">
        <v>0.66666666666666663</v>
      </c>
      <c r="K67" s="5">
        <v>1890</v>
      </c>
      <c r="L67" s="5">
        <v>1890</v>
      </c>
      <c r="M67" s="5">
        <v>1850</v>
      </c>
      <c r="N67" s="5">
        <v>1890</v>
      </c>
      <c r="O67" s="5">
        <v>380</v>
      </c>
      <c r="Q67" s="6">
        <v>38239</v>
      </c>
      <c r="R67" s="7">
        <v>0.66666666666666663</v>
      </c>
      <c r="S67" s="5">
        <v>87</v>
      </c>
      <c r="T67" s="5">
        <v>87</v>
      </c>
      <c r="U67" s="5">
        <v>83</v>
      </c>
      <c r="V67" s="5">
        <v>83.5</v>
      </c>
      <c r="W67" s="5">
        <v>53900</v>
      </c>
      <c r="Y67" s="6">
        <f t="shared" si="0"/>
        <v>39860</v>
      </c>
      <c r="Z67" s="5">
        <f t="shared" si="1"/>
        <v>1890</v>
      </c>
      <c r="AA67" s="5">
        <v>50.7</v>
      </c>
      <c r="AB67" s="5">
        <v>75.41</v>
      </c>
    </row>
    <row r="68" spans="1:28" x14ac:dyDescent="0.3">
      <c r="A68" s="6">
        <v>38247</v>
      </c>
      <c r="B68" s="7">
        <v>0.66666666666666663</v>
      </c>
      <c r="C68" s="5">
        <v>140</v>
      </c>
      <c r="D68" s="5">
        <v>140</v>
      </c>
      <c r="E68" s="5">
        <v>140</v>
      </c>
      <c r="F68" s="5">
        <v>140</v>
      </c>
      <c r="G68" s="5">
        <v>100</v>
      </c>
      <c r="I68" s="6">
        <v>39864</v>
      </c>
      <c r="J68" s="7">
        <v>0.66666666666666663</v>
      </c>
      <c r="K68" s="5">
        <v>1880</v>
      </c>
      <c r="L68" s="5">
        <v>1880</v>
      </c>
      <c r="M68" s="5">
        <v>1851.01</v>
      </c>
      <c r="N68" s="5">
        <v>1860.01</v>
      </c>
      <c r="O68" s="5">
        <v>200</v>
      </c>
      <c r="Q68" s="6">
        <v>38240</v>
      </c>
      <c r="R68" s="7">
        <v>0.66666666666666663</v>
      </c>
      <c r="S68" s="5">
        <v>83.5</v>
      </c>
      <c r="T68" s="5">
        <v>83.5</v>
      </c>
      <c r="U68" s="5">
        <v>80.5</v>
      </c>
      <c r="V68" s="5">
        <v>83</v>
      </c>
      <c r="W68" s="5">
        <v>52700</v>
      </c>
      <c r="Y68" s="6">
        <f t="shared" ref="Y68:Y131" si="2">I68</f>
        <v>39864</v>
      </c>
      <c r="Z68" s="5">
        <f t="shared" ref="Z68:Z131" si="3">N68</f>
        <v>1860.01</v>
      </c>
      <c r="AA68" s="5">
        <v>56.65</v>
      </c>
      <c r="AB68" s="5">
        <v>77.849999999999994</v>
      </c>
    </row>
    <row r="69" spans="1:28" x14ac:dyDescent="0.3">
      <c r="A69" s="6">
        <v>38250</v>
      </c>
      <c r="B69" s="7">
        <v>0.66666666666666663</v>
      </c>
      <c r="C69" s="5">
        <v>141</v>
      </c>
      <c r="D69" s="5">
        <v>143.5</v>
      </c>
      <c r="E69" s="5">
        <v>141</v>
      </c>
      <c r="F69" s="5">
        <v>141.9</v>
      </c>
      <c r="G69" s="5">
        <v>3500</v>
      </c>
      <c r="I69" s="6">
        <v>39867</v>
      </c>
      <c r="J69" s="7">
        <v>0.66666666666666663</v>
      </c>
      <c r="K69" s="5">
        <v>1830.01</v>
      </c>
      <c r="L69" s="5">
        <v>1830.01</v>
      </c>
      <c r="M69" s="5">
        <v>1806</v>
      </c>
      <c r="N69" s="5">
        <v>1817.75</v>
      </c>
      <c r="O69" s="5">
        <v>8960</v>
      </c>
      <c r="Q69" s="6">
        <v>38243</v>
      </c>
      <c r="R69" s="7">
        <v>0.66666666666666663</v>
      </c>
      <c r="S69" s="5">
        <v>83</v>
      </c>
      <c r="T69" s="5">
        <v>85</v>
      </c>
      <c r="U69" s="5">
        <v>79.900000000000006</v>
      </c>
      <c r="V69" s="5">
        <v>79.900000000000006</v>
      </c>
      <c r="W69" s="5">
        <v>52400</v>
      </c>
      <c r="Y69" s="6">
        <f t="shared" si="2"/>
        <v>39867</v>
      </c>
      <c r="Z69" s="5">
        <f t="shared" si="3"/>
        <v>1817.75</v>
      </c>
      <c r="AA69" s="5">
        <v>53.98</v>
      </c>
      <c r="AB69" s="5">
        <v>74.5</v>
      </c>
    </row>
    <row r="70" spans="1:28" x14ac:dyDescent="0.3">
      <c r="A70" s="6">
        <v>38251</v>
      </c>
      <c r="B70" s="7">
        <v>0.66666666666666663</v>
      </c>
      <c r="C70" s="5">
        <v>141.94999999999999</v>
      </c>
      <c r="D70" s="5">
        <v>143</v>
      </c>
      <c r="E70" s="5">
        <v>141.5</v>
      </c>
      <c r="F70" s="5">
        <v>143</v>
      </c>
      <c r="G70" s="5">
        <v>1400</v>
      </c>
      <c r="I70" s="6">
        <v>39868</v>
      </c>
      <c r="J70" s="7">
        <v>0.66666666666666663</v>
      </c>
      <c r="K70" s="5">
        <v>1830.01</v>
      </c>
      <c r="L70" s="5">
        <v>1830.01</v>
      </c>
      <c r="M70" s="5">
        <v>1830.01</v>
      </c>
      <c r="N70" s="5">
        <v>1830.01</v>
      </c>
      <c r="O70" s="5">
        <v>20</v>
      </c>
      <c r="Q70" s="6">
        <v>38244</v>
      </c>
      <c r="R70" s="7">
        <v>0.66666666666666663</v>
      </c>
      <c r="S70" s="5">
        <v>79.900000000000006</v>
      </c>
      <c r="T70" s="5">
        <v>80.900000000000006</v>
      </c>
      <c r="U70" s="5">
        <v>79.25</v>
      </c>
      <c r="V70" s="5">
        <v>80.25</v>
      </c>
      <c r="W70" s="5">
        <v>34100</v>
      </c>
      <c r="Y70" s="6">
        <f t="shared" si="2"/>
        <v>39868</v>
      </c>
      <c r="Z70" s="5">
        <f t="shared" si="3"/>
        <v>1830.01</v>
      </c>
      <c r="AA70" s="5">
        <v>55.94</v>
      </c>
      <c r="AB70" s="5">
        <v>75.95</v>
      </c>
    </row>
    <row r="71" spans="1:28" x14ac:dyDescent="0.3">
      <c r="A71" s="6">
        <v>38252</v>
      </c>
      <c r="B71" s="7">
        <v>0.66666666666666663</v>
      </c>
      <c r="C71" s="5">
        <v>143</v>
      </c>
      <c r="D71" s="5">
        <v>145</v>
      </c>
      <c r="E71" s="5">
        <v>143</v>
      </c>
      <c r="F71" s="5">
        <v>145</v>
      </c>
      <c r="G71" s="5">
        <v>400</v>
      </c>
      <c r="I71" s="6">
        <v>39869</v>
      </c>
      <c r="J71" s="7">
        <v>0.66666666666666663</v>
      </c>
      <c r="K71" s="5">
        <v>1821</v>
      </c>
      <c r="L71" s="5">
        <v>1821</v>
      </c>
      <c r="M71" s="5">
        <v>1814</v>
      </c>
      <c r="N71" s="5">
        <v>1817.8</v>
      </c>
      <c r="O71" s="5">
        <v>100</v>
      </c>
      <c r="Q71" s="6">
        <v>38245</v>
      </c>
      <c r="R71" s="7">
        <v>0.66666666666666663</v>
      </c>
      <c r="S71" s="5">
        <v>80</v>
      </c>
      <c r="T71" s="5">
        <v>80</v>
      </c>
      <c r="U71" s="5">
        <v>78.5</v>
      </c>
      <c r="V71" s="5">
        <v>78.5</v>
      </c>
      <c r="W71" s="5">
        <v>32800</v>
      </c>
      <c r="Y71" s="6">
        <f t="shared" si="2"/>
        <v>39869</v>
      </c>
      <c r="Z71" s="5">
        <f t="shared" si="3"/>
        <v>1817.8</v>
      </c>
      <c r="AA71" s="5">
        <v>53.15</v>
      </c>
      <c r="AB71" s="5">
        <v>72.2</v>
      </c>
    </row>
    <row r="72" spans="1:28" x14ac:dyDescent="0.3">
      <c r="A72" s="6">
        <v>38253</v>
      </c>
      <c r="B72" s="7">
        <v>0.66666666666666663</v>
      </c>
      <c r="C72" s="5">
        <v>139.6</v>
      </c>
      <c r="D72" s="5">
        <v>145</v>
      </c>
      <c r="E72" s="5">
        <v>139.6</v>
      </c>
      <c r="F72" s="5">
        <v>142</v>
      </c>
      <c r="G72" s="5">
        <v>2700</v>
      </c>
      <c r="I72" s="6">
        <v>39871</v>
      </c>
      <c r="J72" s="7">
        <v>0.66666666666666663</v>
      </c>
      <c r="K72" s="5">
        <v>1799</v>
      </c>
      <c r="L72" s="5">
        <v>1799</v>
      </c>
      <c r="M72" s="5">
        <v>1751</v>
      </c>
      <c r="N72" s="5">
        <v>1780</v>
      </c>
      <c r="O72" s="5">
        <v>80</v>
      </c>
      <c r="Q72" s="6">
        <v>38246</v>
      </c>
      <c r="R72" s="7">
        <v>0.66666666666666663</v>
      </c>
      <c r="S72" s="5">
        <v>78.5</v>
      </c>
      <c r="T72" s="5">
        <v>79.2</v>
      </c>
      <c r="U72" s="5">
        <v>77.900000000000006</v>
      </c>
      <c r="V72" s="5">
        <v>78.2</v>
      </c>
      <c r="W72" s="5">
        <v>49200</v>
      </c>
      <c r="Y72" s="6">
        <f t="shared" si="2"/>
        <v>39871</v>
      </c>
      <c r="Z72" s="5">
        <f t="shared" si="3"/>
        <v>1780</v>
      </c>
      <c r="AA72" s="5">
        <v>56.48</v>
      </c>
      <c r="AB72" s="5">
        <v>71</v>
      </c>
    </row>
    <row r="73" spans="1:28" x14ac:dyDescent="0.3">
      <c r="A73" s="6">
        <v>38254</v>
      </c>
      <c r="B73" s="7">
        <v>0.66666666666666663</v>
      </c>
      <c r="C73" s="5">
        <v>142</v>
      </c>
      <c r="D73" s="5">
        <v>144.94999999999999</v>
      </c>
      <c r="E73" s="5">
        <v>142</v>
      </c>
      <c r="F73" s="5">
        <v>144.5</v>
      </c>
      <c r="G73" s="5">
        <v>1900</v>
      </c>
      <c r="I73" s="6">
        <v>39874</v>
      </c>
      <c r="J73" s="7">
        <v>0.66666666666666663</v>
      </c>
      <c r="K73" s="5">
        <v>1800</v>
      </c>
      <c r="L73" s="5">
        <v>1870</v>
      </c>
      <c r="M73" s="5">
        <v>1800</v>
      </c>
      <c r="N73" s="5">
        <v>1800</v>
      </c>
      <c r="O73" s="5">
        <v>500</v>
      </c>
      <c r="Q73" s="6">
        <v>38247</v>
      </c>
      <c r="R73" s="7">
        <v>0.66666666666666663</v>
      </c>
      <c r="S73" s="5">
        <v>78.2</v>
      </c>
      <c r="T73" s="5">
        <v>78.900000000000006</v>
      </c>
      <c r="U73" s="5">
        <v>76</v>
      </c>
      <c r="V73" s="5">
        <v>77.349999999999994</v>
      </c>
      <c r="W73" s="5">
        <v>20200</v>
      </c>
      <c r="Y73" s="6">
        <f t="shared" si="2"/>
        <v>39874</v>
      </c>
      <c r="Z73" s="5">
        <f t="shared" si="3"/>
        <v>1800</v>
      </c>
      <c r="AA73" s="5">
        <v>59.05</v>
      </c>
      <c r="AB73" s="5">
        <v>71.05</v>
      </c>
    </row>
    <row r="74" spans="1:28" x14ac:dyDescent="0.3">
      <c r="A74" s="6">
        <v>38257</v>
      </c>
      <c r="B74" s="7">
        <v>0.66666666666666663</v>
      </c>
      <c r="C74" s="5">
        <v>145</v>
      </c>
      <c r="D74" s="5">
        <v>145</v>
      </c>
      <c r="E74" s="5">
        <v>142.55000000000001</v>
      </c>
      <c r="F74" s="5">
        <v>142.55000000000001</v>
      </c>
      <c r="G74" s="5">
        <v>500</v>
      </c>
      <c r="I74" s="6">
        <v>39875</v>
      </c>
      <c r="J74" s="7">
        <v>0.66666666666666663</v>
      </c>
      <c r="K74" s="5">
        <v>1800</v>
      </c>
      <c r="L74" s="5">
        <v>1800</v>
      </c>
      <c r="M74" s="5">
        <v>1800</v>
      </c>
      <c r="N74" s="5">
        <v>1800</v>
      </c>
      <c r="O74" s="5">
        <v>40</v>
      </c>
      <c r="Q74" s="6">
        <v>38250</v>
      </c>
      <c r="R74" s="7">
        <v>0.66666666666666663</v>
      </c>
      <c r="S74" s="5">
        <v>77.349999999999994</v>
      </c>
      <c r="T74" s="5">
        <v>77.95</v>
      </c>
      <c r="U74" s="5">
        <v>76.55</v>
      </c>
      <c r="V74" s="5">
        <v>76.8</v>
      </c>
      <c r="W74" s="5">
        <v>12200</v>
      </c>
      <c r="Y74" s="6">
        <f t="shared" si="2"/>
        <v>39875</v>
      </c>
      <c r="Z74" s="5">
        <f t="shared" si="3"/>
        <v>1800</v>
      </c>
      <c r="AA74" s="5">
        <v>62</v>
      </c>
      <c r="AB74" s="5">
        <v>71.400000000000006</v>
      </c>
    </row>
    <row r="75" spans="1:28" x14ac:dyDescent="0.3">
      <c r="A75" s="6">
        <v>38258</v>
      </c>
      <c r="B75" s="7">
        <v>0.66666666666666663</v>
      </c>
      <c r="C75" s="5">
        <v>143.25</v>
      </c>
      <c r="D75" s="5">
        <v>143.94999999999999</v>
      </c>
      <c r="E75" s="5">
        <v>143</v>
      </c>
      <c r="F75" s="5">
        <v>143.94999999999999</v>
      </c>
      <c r="G75" s="5">
        <v>1600</v>
      </c>
      <c r="I75" s="6">
        <v>39876</v>
      </c>
      <c r="J75" s="7">
        <v>0.66666666666666663</v>
      </c>
      <c r="K75" s="5">
        <v>1760</v>
      </c>
      <c r="L75" s="5">
        <v>1760</v>
      </c>
      <c r="M75" s="5">
        <v>1726.01</v>
      </c>
      <c r="N75" s="5">
        <v>1760</v>
      </c>
      <c r="O75" s="5">
        <v>60</v>
      </c>
      <c r="Q75" s="6">
        <v>38251</v>
      </c>
      <c r="R75" s="7">
        <v>0.66666666666666663</v>
      </c>
      <c r="S75" s="5">
        <v>76.8</v>
      </c>
      <c r="T75" s="5">
        <v>77</v>
      </c>
      <c r="U75" s="5">
        <v>73.5</v>
      </c>
      <c r="V75" s="5">
        <v>73.5</v>
      </c>
      <c r="W75" s="5">
        <v>23200</v>
      </c>
      <c r="Y75" s="6">
        <f t="shared" si="2"/>
        <v>39876</v>
      </c>
      <c r="Z75" s="5">
        <f t="shared" si="3"/>
        <v>1760</v>
      </c>
      <c r="AA75" s="5">
        <v>65.099999999999994</v>
      </c>
      <c r="AB75" s="5">
        <v>72.2</v>
      </c>
    </row>
    <row r="76" spans="1:28" x14ac:dyDescent="0.3">
      <c r="A76" s="6">
        <v>38259</v>
      </c>
      <c r="B76" s="7">
        <v>0.66666666666666663</v>
      </c>
      <c r="C76" s="5">
        <v>138.05000000000001</v>
      </c>
      <c r="D76" s="5">
        <v>145</v>
      </c>
      <c r="E76" s="5">
        <v>138.05000000000001</v>
      </c>
      <c r="F76" s="5">
        <v>145</v>
      </c>
      <c r="G76" s="5">
        <v>2100</v>
      </c>
      <c r="I76" s="6">
        <v>39877</v>
      </c>
      <c r="J76" s="7">
        <v>0.66666666666666663</v>
      </c>
      <c r="K76" s="5">
        <v>1725.01</v>
      </c>
      <c r="L76" s="5">
        <v>1725.01</v>
      </c>
      <c r="M76" s="5">
        <v>1725</v>
      </c>
      <c r="N76" s="5">
        <v>1725</v>
      </c>
      <c r="O76" s="5">
        <v>200</v>
      </c>
      <c r="Q76" s="6">
        <v>38252</v>
      </c>
      <c r="R76" s="7">
        <v>0.66666666666666663</v>
      </c>
      <c r="S76" s="5">
        <v>73.5</v>
      </c>
      <c r="T76" s="5">
        <v>73.5</v>
      </c>
      <c r="U76" s="5">
        <v>71</v>
      </c>
      <c r="V76" s="5">
        <v>72.25</v>
      </c>
      <c r="W76" s="5">
        <v>62000</v>
      </c>
      <c r="Y76" s="6">
        <f t="shared" si="2"/>
        <v>39877</v>
      </c>
      <c r="Z76" s="5">
        <f t="shared" si="3"/>
        <v>1725</v>
      </c>
      <c r="AA76" s="5">
        <v>68.349999999999994</v>
      </c>
      <c r="AB76" s="5">
        <v>73.8</v>
      </c>
    </row>
    <row r="77" spans="1:28" x14ac:dyDescent="0.3">
      <c r="A77" s="6">
        <v>38260</v>
      </c>
      <c r="B77" s="7">
        <v>0.66666666666666663</v>
      </c>
      <c r="C77" s="5">
        <v>145</v>
      </c>
      <c r="D77" s="5">
        <v>145</v>
      </c>
      <c r="E77" s="5">
        <v>144</v>
      </c>
      <c r="F77" s="5">
        <v>144</v>
      </c>
      <c r="G77" s="5">
        <v>400</v>
      </c>
      <c r="I77" s="6">
        <v>39885</v>
      </c>
      <c r="J77" s="7">
        <v>0.66666666666666663</v>
      </c>
      <c r="K77" s="5">
        <v>1800</v>
      </c>
      <c r="L77" s="5">
        <v>1800</v>
      </c>
      <c r="M77" s="5">
        <v>1800</v>
      </c>
      <c r="N77" s="5">
        <v>1800</v>
      </c>
      <c r="O77" s="5">
        <v>20</v>
      </c>
      <c r="Q77" s="6">
        <v>38253</v>
      </c>
      <c r="R77" s="7">
        <v>0.66666666666666663</v>
      </c>
      <c r="S77" s="5">
        <v>72.25</v>
      </c>
      <c r="T77" s="5">
        <v>77</v>
      </c>
      <c r="U77" s="5">
        <v>70.099999999999994</v>
      </c>
      <c r="V77" s="5">
        <v>76.400000000000006</v>
      </c>
      <c r="W77" s="5">
        <v>205700</v>
      </c>
      <c r="Y77" s="6">
        <f t="shared" si="2"/>
        <v>39885</v>
      </c>
      <c r="Z77" s="5">
        <f t="shared" si="3"/>
        <v>1800</v>
      </c>
      <c r="AA77" s="5">
        <v>66.709999999999994</v>
      </c>
      <c r="AB77" s="5">
        <v>73.75</v>
      </c>
    </row>
    <row r="78" spans="1:28" x14ac:dyDescent="0.3">
      <c r="A78" s="6">
        <v>38261</v>
      </c>
      <c r="B78" s="7">
        <v>0.66666666666666663</v>
      </c>
      <c r="C78" s="5">
        <v>141</v>
      </c>
      <c r="D78" s="5">
        <v>146</v>
      </c>
      <c r="E78" s="5">
        <v>140.25</v>
      </c>
      <c r="F78" s="5">
        <v>146</v>
      </c>
      <c r="G78" s="5">
        <v>3200</v>
      </c>
      <c r="I78" s="6">
        <v>39888</v>
      </c>
      <c r="J78" s="7">
        <v>0.66666666666666663</v>
      </c>
      <c r="K78" s="5">
        <v>1800</v>
      </c>
      <c r="L78" s="5">
        <v>1889.99</v>
      </c>
      <c r="M78" s="5">
        <v>1800</v>
      </c>
      <c r="N78" s="5">
        <v>1849</v>
      </c>
      <c r="O78" s="5">
        <v>7100</v>
      </c>
      <c r="Q78" s="6">
        <v>38254</v>
      </c>
      <c r="R78" s="7">
        <v>0.66666666666666663</v>
      </c>
      <c r="S78" s="5">
        <v>76.400000000000006</v>
      </c>
      <c r="T78" s="5">
        <v>78.900000000000006</v>
      </c>
      <c r="U78" s="5">
        <v>76.25</v>
      </c>
      <c r="V78" s="5">
        <v>77.599999999999994</v>
      </c>
      <c r="W78" s="5">
        <v>104500</v>
      </c>
      <c r="Y78" s="6">
        <f t="shared" si="2"/>
        <v>39888</v>
      </c>
      <c r="Z78" s="5">
        <f t="shared" si="3"/>
        <v>1849</v>
      </c>
      <c r="AA78" s="5">
        <v>70.03</v>
      </c>
      <c r="AB78" s="5">
        <v>76.97</v>
      </c>
    </row>
    <row r="79" spans="1:28" x14ac:dyDescent="0.3">
      <c r="A79" s="6">
        <v>38264</v>
      </c>
      <c r="B79" s="7">
        <v>0.66666666666666663</v>
      </c>
      <c r="C79" s="5">
        <v>146</v>
      </c>
      <c r="D79" s="5">
        <v>146</v>
      </c>
      <c r="E79" s="5">
        <v>144.05000000000001</v>
      </c>
      <c r="F79" s="5">
        <v>144.05000000000001</v>
      </c>
      <c r="G79" s="5">
        <v>1300</v>
      </c>
      <c r="I79" s="6">
        <v>39889</v>
      </c>
      <c r="J79" s="7">
        <v>0.66666666666666663</v>
      </c>
      <c r="K79" s="5">
        <v>1849</v>
      </c>
      <c r="L79" s="5">
        <v>1949.99</v>
      </c>
      <c r="M79" s="5">
        <v>1842</v>
      </c>
      <c r="N79" s="5">
        <v>1949.99</v>
      </c>
      <c r="O79" s="5">
        <v>440</v>
      </c>
      <c r="Q79" s="6">
        <v>38257</v>
      </c>
      <c r="R79" s="7">
        <v>0.66666666666666663</v>
      </c>
      <c r="S79" s="5">
        <v>78</v>
      </c>
      <c r="T79" s="5">
        <v>79.650000000000006</v>
      </c>
      <c r="U79" s="5">
        <v>78</v>
      </c>
      <c r="V79" s="5">
        <v>78.400000000000006</v>
      </c>
      <c r="W79" s="5">
        <v>53200</v>
      </c>
      <c r="Y79" s="6">
        <f t="shared" si="2"/>
        <v>39889</v>
      </c>
      <c r="Z79" s="5">
        <f t="shared" si="3"/>
        <v>1949.99</v>
      </c>
      <c r="AA79" s="5">
        <v>73.53</v>
      </c>
      <c r="AB79" s="5">
        <v>74.349999999999994</v>
      </c>
    </row>
    <row r="80" spans="1:28" x14ac:dyDescent="0.3">
      <c r="A80" s="6">
        <v>38265</v>
      </c>
      <c r="B80" s="7">
        <v>0.66666666666666663</v>
      </c>
      <c r="C80" s="5">
        <v>145</v>
      </c>
      <c r="D80" s="5">
        <v>145</v>
      </c>
      <c r="E80" s="5">
        <v>145</v>
      </c>
      <c r="F80" s="5">
        <v>145</v>
      </c>
      <c r="G80" s="5">
        <v>1900</v>
      </c>
      <c r="I80" s="6">
        <v>39890</v>
      </c>
      <c r="J80" s="7">
        <v>0.66666666666666663</v>
      </c>
      <c r="K80" s="5">
        <v>1901</v>
      </c>
      <c r="L80" s="5">
        <v>1901</v>
      </c>
      <c r="M80" s="5">
        <v>1875</v>
      </c>
      <c r="N80" s="5">
        <v>1900</v>
      </c>
      <c r="O80" s="5">
        <v>240</v>
      </c>
      <c r="Q80" s="6">
        <v>38258</v>
      </c>
      <c r="R80" s="7">
        <v>0.66666666666666663</v>
      </c>
      <c r="S80" s="5">
        <v>78.400000000000006</v>
      </c>
      <c r="T80" s="5">
        <v>79.3</v>
      </c>
      <c r="U80" s="5">
        <v>77.650000000000006</v>
      </c>
      <c r="V80" s="5">
        <v>78</v>
      </c>
      <c r="W80" s="5">
        <v>76900</v>
      </c>
      <c r="Y80" s="6">
        <f t="shared" si="2"/>
        <v>39890</v>
      </c>
      <c r="Z80" s="5">
        <f t="shared" si="3"/>
        <v>1900</v>
      </c>
      <c r="AA80" s="5">
        <v>75.489999999999995</v>
      </c>
      <c r="AB80" s="5">
        <v>76.8</v>
      </c>
    </row>
    <row r="81" spans="1:28" x14ac:dyDescent="0.3">
      <c r="A81" s="6">
        <v>38266</v>
      </c>
      <c r="B81" s="7">
        <v>0.66666666666666663</v>
      </c>
      <c r="C81" s="5">
        <v>145</v>
      </c>
      <c r="D81" s="5">
        <v>145</v>
      </c>
      <c r="E81" s="5">
        <v>144</v>
      </c>
      <c r="F81" s="5">
        <v>144</v>
      </c>
      <c r="G81" s="5">
        <v>700</v>
      </c>
      <c r="I81" s="6">
        <v>39891</v>
      </c>
      <c r="J81" s="7">
        <v>0.66666666666666663</v>
      </c>
      <c r="K81" s="5">
        <v>1900</v>
      </c>
      <c r="L81" s="5">
        <v>1938</v>
      </c>
      <c r="M81" s="5">
        <v>1900</v>
      </c>
      <c r="N81" s="5">
        <v>1910</v>
      </c>
      <c r="O81" s="5">
        <v>4840</v>
      </c>
      <c r="Q81" s="6">
        <v>38259</v>
      </c>
      <c r="R81" s="7">
        <v>0.66666666666666663</v>
      </c>
      <c r="S81" s="5">
        <v>78</v>
      </c>
      <c r="T81" s="5">
        <v>78.900000000000006</v>
      </c>
      <c r="U81" s="5">
        <v>78</v>
      </c>
      <c r="V81" s="5">
        <v>78.3</v>
      </c>
      <c r="W81" s="5">
        <v>29500</v>
      </c>
      <c r="Y81" s="6">
        <f t="shared" si="2"/>
        <v>39891</v>
      </c>
      <c r="Z81" s="5">
        <f t="shared" si="3"/>
        <v>1910</v>
      </c>
      <c r="AA81" s="5">
        <v>75.8</v>
      </c>
      <c r="AB81" s="5">
        <v>79</v>
      </c>
    </row>
    <row r="82" spans="1:28" x14ac:dyDescent="0.3">
      <c r="A82" s="6">
        <v>38267</v>
      </c>
      <c r="B82" s="7">
        <v>0.66666666666666663</v>
      </c>
      <c r="C82" s="5">
        <v>145.55000000000001</v>
      </c>
      <c r="D82" s="5">
        <v>145.55000000000001</v>
      </c>
      <c r="E82" s="5">
        <v>145.5</v>
      </c>
      <c r="F82" s="5">
        <v>145.5</v>
      </c>
      <c r="G82" s="5">
        <v>1000</v>
      </c>
      <c r="I82" s="6">
        <v>39898</v>
      </c>
      <c r="J82" s="7">
        <v>0.66666666666666663</v>
      </c>
      <c r="K82" s="5">
        <v>1910</v>
      </c>
      <c r="L82" s="5">
        <v>1915</v>
      </c>
      <c r="M82" s="5">
        <v>1854</v>
      </c>
      <c r="N82" s="5">
        <v>1910</v>
      </c>
      <c r="O82" s="5">
        <v>100</v>
      </c>
      <c r="Q82" s="6">
        <v>38260</v>
      </c>
      <c r="R82" s="7">
        <v>0.66666666666666663</v>
      </c>
      <c r="S82" s="5">
        <v>78.650000000000006</v>
      </c>
      <c r="T82" s="5">
        <v>80</v>
      </c>
      <c r="U82" s="5">
        <v>78.650000000000006</v>
      </c>
      <c r="V82" s="5">
        <v>79.7</v>
      </c>
      <c r="W82" s="5">
        <v>49000</v>
      </c>
      <c r="Y82" s="6">
        <f t="shared" si="2"/>
        <v>39898</v>
      </c>
      <c r="Z82" s="5">
        <f t="shared" si="3"/>
        <v>1910</v>
      </c>
      <c r="AA82" s="5">
        <v>80.599999999999994</v>
      </c>
      <c r="AB82" s="5">
        <v>77</v>
      </c>
    </row>
    <row r="83" spans="1:28" x14ac:dyDescent="0.3">
      <c r="A83" s="6">
        <v>38268</v>
      </c>
      <c r="B83" s="7">
        <v>0.66666666666666663</v>
      </c>
      <c r="C83" s="5">
        <v>145.25</v>
      </c>
      <c r="D83" s="5">
        <v>147</v>
      </c>
      <c r="E83" s="5">
        <v>145.25</v>
      </c>
      <c r="F83" s="5">
        <v>145.9</v>
      </c>
      <c r="G83" s="5">
        <v>400</v>
      </c>
      <c r="I83" s="6">
        <v>39899</v>
      </c>
      <c r="J83" s="7">
        <v>0.66666666666666663</v>
      </c>
      <c r="K83" s="5">
        <v>1872</v>
      </c>
      <c r="L83" s="5">
        <v>1872</v>
      </c>
      <c r="M83" s="5">
        <v>1872</v>
      </c>
      <c r="N83" s="5">
        <v>1872</v>
      </c>
      <c r="O83" s="5">
        <v>20</v>
      </c>
      <c r="Q83" s="6">
        <v>38261</v>
      </c>
      <c r="R83" s="7">
        <v>0.66666666666666663</v>
      </c>
      <c r="S83" s="5">
        <v>79.7</v>
      </c>
      <c r="T83" s="5">
        <v>82.2</v>
      </c>
      <c r="U83" s="5">
        <v>79</v>
      </c>
      <c r="V83" s="5">
        <v>82</v>
      </c>
      <c r="W83" s="5">
        <v>53500</v>
      </c>
      <c r="Y83" s="6">
        <f t="shared" si="2"/>
        <v>39899</v>
      </c>
      <c r="Z83" s="5">
        <f t="shared" si="3"/>
        <v>1872</v>
      </c>
      <c r="AA83" s="5">
        <v>84.85</v>
      </c>
      <c r="AB83" s="5">
        <v>75</v>
      </c>
    </row>
    <row r="84" spans="1:28" x14ac:dyDescent="0.3">
      <c r="A84" s="6">
        <v>38271</v>
      </c>
      <c r="B84" s="7">
        <v>0.66666666666666663</v>
      </c>
      <c r="C84" s="5">
        <v>148</v>
      </c>
      <c r="D84" s="5">
        <v>148</v>
      </c>
      <c r="E84" s="5">
        <v>148</v>
      </c>
      <c r="F84" s="5">
        <v>148</v>
      </c>
      <c r="G84" s="5">
        <v>500</v>
      </c>
      <c r="I84" s="6">
        <v>39902</v>
      </c>
      <c r="J84" s="7">
        <v>0.66666666666666663</v>
      </c>
      <c r="K84" s="5">
        <v>1900</v>
      </c>
      <c r="L84" s="5">
        <v>1920</v>
      </c>
      <c r="M84" s="5">
        <v>1900</v>
      </c>
      <c r="N84" s="5">
        <v>1910</v>
      </c>
      <c r="O84" s="5">
        <v>360</v>
      </c>
      <c r="Q84" s="6">
        <v>38264</v>
      </c>
      <c r="R84" s="7">
        <v>0.66666666666666663</v>
      </c>
      <c r="S84" s="5">
        <v>82</v>
      </c>
      <c r="T84" s="5">
        <v>83.95</v>
      </c>
      <c r="U84" s="5">
        <v>81.75</v>
      </c>
      <c r="V84" s="5">
        <v>83.8</v>
      </c>
      <c r="W84" s="5">
        <v>54500</v>
      </c>
      <c r="Y84" s="6">
        <f t="shared" si="2"/>
        <v>39902</v>
      </c>
      <c r="Z84" s="5">
        <f t="shared" si="3"/>
        <v>1910</v>
      </c>
      <c r="AA84" s="5">
        <v>89.09</v>
      </c>
      <c r="AB84" s="5">
        <v>75.61</v>
      </c>
    </row>
    <row r="85" spans="1:28" x14ac:dyDescent="0.3">
      <c r="A85" s="6">
        <v>38272</v>
      </c>
      <c r="B85" s="7">
        <v>0.66666666666666663</v>
      </c>
      <c r="C85" s="5">
        <v>148</v>
      </c>
      <c r="D85" s="5">
        <v>148</v>
      </c>
      <c r="E85" s="5">
        <v>147.05000000000001</v>
      </c>
      <c r="F85" s="5">
        <v>147.55000000000001</v>
      </c>
      <c r="G85" s="5">
        <v>2500</v>
      </c>
      <c r="I85" s="6">
        <v>39903</v>
      </c>
      <c r="J85" s="7">
        <v>0.66666666666666663</v>
      </c>
      <c r="K85" s="5">
        <v>1900</v>
      </c>
      <c r="L85" s="5">
        <v>1900</v>
      </c>
      <c r="M85" s="5">
        <v>1900</v>
      </c>
      <c r="N85" s="5">
        <v>1900</v>
      </c>
      <c r="O85" s="5">
        <v>20</v>
      </c>
      <c r="Q85" s="6">
        <v>38265</v>
      </c>
      <c r="R85" s="7">
        <v>0.66666666666666663</v>
      </c>
      <c r="S85" s="5">
        <v>82.9</v>
      </c>
      <c r="T85" s="5">
        <v>82.9</v>
      </c>
      <c r="U85" s="5">
        <v>79.8</v>
      </c>
      <c r="V85" s="5">
        <v>80.75</v>
      </c>
      <c r="W85" s="5">
        <v>54400</v>
      </c>
      <c r="Y85" s="6">
        <f t="shared" si="2"/>
        <v>39903</v>
      </c>
      <c r="Z85" s="5">
        <f t="shared" si="3"/>
        <v>1900</v>
      </c>
      <c r="AA85" s="5">
        <v>84.64</v>
      </c>
      <c r="AB85" s="5">
        <v>74.489999999999995</v>
      </c>
    </row>
    <row r="86" spans="1:28" x14ac:dyDescent="0.3">
      <c r="A86" s="6">
        <v>38273</v>
      </c>
      <c r="B86" s="7">
        <v>0.66666666666666663</v>
      </c>
      <c r="C86" s="5">
        <v>147.65</v>
      </c>
      <c r="D86" s="5">
        <v>149</v>
      </c>
      <c r="E86" s="5">
        <v>147.65</v>
      </c>
      <c r="F86" s="5">
        <v>149</v>
      </c>
      <c r="G86" s="5">
        <v>900</v>
      </c>
      <c r="I86" s="6">
        <v>39904</v>
      </c>
      <c r="J86" s="7">
        <v>0.66666666666666663</v>
      </c>
      <c r="K86" s="5">
        <v>1854</v>
      </c>
      <c r="L86" s="5">
        <v>1854</v>
      </c>
      <c r="M86" s="5">
        <v>1854</v>
      </c>
      <c r="N86" s="5">
        <v>1854</v>
      </c>
      <c r="O86" s="5">
        <v>120</v>
      </c>
      <c r="Q86" s="6">
        <v>38266</v>
      </c>
      <c r="R86" s="7">
        <v>0.66666666666666663</v>
      </c>
      <c r="S86" s="5">
        <v>80.75</v>
      </c>
      <c r="T86" s="5">
        <v>81.5</v>
      </c>
      <c r="U86" s="5">
        <v>79.650000000000006</v>
      </c>
      <c r="V86" s="5">
        <v>80</v>
      </c>
      <c r="W86" s="5">
        <v>17400</v>
      </c>
      <c r="Y86" s="6">
        <f t="shared" si="2"/>
        <v>39904</v>
      </c>
      <c r="Z86" s="5">
        <f t="shared" si="3"/>
        <v>1854</v>
      </c>
      <c r="AA86" s="5">
        <v>84.5</v>
      </c>
      <c r="AB86" s="5">
        <v>74.75</v>
      </c>
    </row>
    <row r="87" spans="1:28" x14ac:dyDescent="0.3">
      <c r="A87" s="6">
        <v>38274</v>
      </c>
      <c r="B87" s="7">
        <v>0.66666666666666663</v>
      </c>
      <c r="C87" s="5">
        <v>150</v>
      </c>
      <c r="D87" s="5">
        <v>152.5</v>
      </c>
      <c r="E87" s="5">
        <v>150</v>
      </c>
      <c r="F87" s="5">
        <v>151.25</v>
      </c>
      <c r="G87" s="5">
        <v>3400</v>
      </c>
      <c r="I87" s="6">
        <v>39905</v>
      </c>
      <c r="J87" s="7">
        <v>0.66666666666666663</v>
      </c>
      <c r="K87" s="5">
        <v>1897.95</v>
      </c>
      <c r="L87" s="5">
        <v>1899</v>
      </c>
      <c r="M87" s="5">
        <v>1897.95</v>
      </c>
      <c r="N87" s="5">
        <v>1897.95</v>
      </c>
      <c r="O87" s="5">
        <v>160</v>
      </c>
      <c r="Q87" s="6">
        <v>38267</v>
      </c>
      <c r="R87" s="7">
        <v>0.66666666666666663</v>
      </c>
      <c r="S87" s="5">
        <v>80</v>
      </c>
      <c r="T87" s="5">
        <v>80.5</v>
      </c>
      <c r="U87" s="5">
        <v>79.5</v>
      </c>
      <c r="V87" s="5">
        <v>80</v>
      </c>
      <c r="W87" s="5">
        <v>39600</v>
      </c>
      <c r="Y87" s="6">
        <f t="shared" si="2"/>
        <v>39905</v>
      </c>
      <c r="Z87" s="5">
        <f t="shared" si="3"/>
        <v>1897.95</v>
      </c>
      <c r="AA87" s="5">
        <v>88.46</v>
      </c>
      <c r="AB87" s="5">
        <v>75.22</v>
      </c>
    </row>
    <row r="88" spans="1:28" x14ac:dyDescent="0.3">
      <c r="A88" s="6">
        <v>38275</v>
      </c>
      <c r="B88" s="7">
        <v>0.66666666666666663</v>
      </c>
      <c r="C88" s="5">
        <v>152.55000000000001</v>
      </c>
      <c r="D88" s="5">
        <v>153.5</v>
      </c>
      <c r="E88" s="5">
        <v>152.55000000000001</v>
      </c>
      <c r="F88" s="5">
        <v>153.5</v>
      </c>
      <c r="G88" s="5">
        <v>1200</v>
      </c>
      <c r="I88" s="6">
        <v>39906</v>
      </c>
      <c r="J88" s="7">
        <v>0.66666666666666663</v>
      </c>
      <c r="K88" s="5">
        <v>1914</v>
      </c>
      <c r="L88" s="5">
        <v>1916.95</v>
      </c>
      <c r="M88" s="5">
        <v>1914</v>
      </c>
      <c r="N88" s="5">
        <v>1914</v>
      </c>
      <c r="O88" s="5">
        <v>120</v>
      </c>
      <c r="Q88" s="6">
        <v>38268</v>
      </c>
      <c r="R88" s="7">
        <v>0.66666666666666663</v>
      </c>
      <c r="S88" s="5">
        <v>80</v>
      </c>
      <c r="T88" s="5">
        <v>81.5</v>
      </c>
      <c r="U88" s="5">
        <v>79.5</v>
      </c>
      <c r="V88" s="5">
        <v>80</v>
      </c>
      <c r="W88" s="5">
        <v>44600</v>
      </c>
      <c r="Y88" s="6">
        <f t="shared" si="2"/>
        <v>39906</v>
      </c>
      <c r="Z88" s="5">
        <f t="shared" si="3"/>
        <v>1914</v>
      </c>
      <c r="AA88" s="5">
        <v>92.68</v>
      </c>
      <c r="AB88" s="5">
        <v>78</v>
      </c>
    </row>
    <row r="89" spans="1:28" x14ac:dyDescent="0.3">
      <c r="A89" s="6">
        <v>38278</v>
      </c>
      <c r="B89" s="7">
        <v>0.66666666666666663</v>
      </c>
      <c r="C89" s="5">
        <v>155</v>
      </c>
      <c r="D89" s="5">
        <v>157</v>
      </c>
      <c r="E89" s="5">
        <v>155</v>
      </c>
      <c r="F89" s="5">
        <v>157</v>
      </c>
      <c r="G89" s="5">
        <v>3400</v>
      </c>
      <c r="I89" s="6">
        <v>39909</v>
      </c>
      <c r="J89" s="7">
        <v>0.66666666666666663</v>
      </c>
      <c r="K89" s="5">
        <v>1825</v>
      </c>
      <c r="L89" s="5">
        <v>1825</v>
      </c>
      <c r="M89" s="5">
        <v>1820.01</v>
      </c>
      <c r="N89" s="5">
        <v>1820.01</v>
      </c>
      <c r="O89" s="5">
        <v>740</v>
      </c>
      <c r="Q89" s="6">
        <v>38271</v>
      </c>
      <c r="R89" s="7">
        <v>0.66666666666666663</v>
      </c>
      <c r="S89" s="5">
        <v>80</v>
      </c>
      <c r="T89" s="5">
        <v>81.900000000000006</v>
      </c>
      <c r="U89" s="5">
        <v>80</v>
      </c>
      <c r="V89" s="5">
        <v>81.8</v>
      </c>
      <c r="W89" s="5">
        <v>54500</v>
      </c>
      <c r="Y89" s="6">
        <f t="shared" si="2"/>
        <v>39909</v>
      </c>
      <c r="Z89" s="5">
        <f t="shared" si="3"/>
        <v>1820.01</v>
      </c>
      <c r="AA89" s="5">
        <v>97.31</v>
      </c>
      <c r="AB89" s="5">
        <v>79.510000000000005</v>
      </c>
    </row>
    <row r="90" spans="1:28" x14ac:dyDescent="0.3">
      <c r="A90" s="6">
        <v>38279</v>
      </c>
      <c r="B90" s="7">
        <v>0.66666666666666663</v>
      </c>
      <c r="C90" s="5">
        <v>160</v>
      </c>
      <c r="D90" s="5">
        <v>160</v>
      </c>
      <c r="E90" s="5">
        <v>156.5</v>
      </c>
      <c r="F90" s="5">
        <v>160</v>
      </c>
      <c r="G90" s="5">
        <v>7600</v>
      </c>
      <c r="I90" s="6">
        <v>39910</v>
      </c>
      <c r="J90" s="7">
        <v>0.66666666666666663</v>
      </c>
      <c r="K90" s="5">
        <v>1851</v>
      </c>
      <c r="L90" s="5">
        <v>1897</v>
      </c>
      <c r="M90" s="5">
        <v>1851</v>
      </c>
      <c r="N90" s="5">
        <v>1897</v>
      </c>
      <c r="O90" s="5">
        <v>120</v>
      </c>
      <c r="Q90" s="6">
        <v>38272</v>
      </c>
      <c r="R90" s="7">
        <v>0.66666666666666663</v>
      </c>
      <c r="S90" s="5">
        <v>82</v>
      </c>
      <c r="T90" s="5">
        <v>87.9</v>
      </c>
      <c r="U90" s="5">
        <v>82</v>
      </c>
      <c r="V90" s="5">
        <v>87.9</v>
      </c>
      <c r="W90" s="5">
        <v>278000</v>
      </c>
      <c r="Y90" s="6">
        <f t="shared" si="2"/>
        <v>39910</v>
      </c>
      <c r="Z90" s="5">
        <f t="shared" si="3"/>
        <v>1897</v>
      </c>
      <c r="AA90" s="5">
        <v>102.17</v>
      </c>
      <c r="AB90" s="5">
        <v>81</v>
      </c>
    </row>
    <row r="91" spans="1:28" x14ac:dyDescent="0.3">
      <c r="A91" s="6">
        <v>38280</v>
      </c>
      <c r="B91" s="7">
        <v>0.66666666666666663</v>
      </c>
      <c r="C91" s="5">
        <v>160</v>
      </c>
      <c r="D91" s="5">
        <v>172</v>
      </c>
      <c r="E91" s="5">
        <v>160</v>
      </c>
      <c r="F91" s="5">
        <v>172</v>
      </c>
      <c r="G91" s="5">
        <v>7200</v>
      </c>
      <c r="I91" s="6">
        <v>39911</v>
      </c>
      <c r="J91" s="7">
        <v>0.66666666666666663</v>
      </c>
      <c r="K91" s="5">
        <v>1874.99</v>
      </c>
      <c r="L91" s="5">
        <v>1874.99</v>
      </c>
      <c r="M91" s="5">
        <v>1830</v>
      </c>
      <c r="N91" s="5">
        <v>1830</v>
      </c>
      <c r="O91" s="5">
        <v>60</v>
      </c>
      <c r="Q91" s="6">
        <v>38273</v>
      </c>
      <c r="R91" s="7">
        <v>0.66666666666666663</v>
      </c>
      <c r="S91" s="5">
        <v>89.85</v>
      </c>
      <c r="T91" s="5">
        <v>93.9</v>
      </c>
      <c r="U91" s="5">
        <v>89.85</v>
      </c>
      <c r="V91" s="5">
        <v>91.7</v>
      </c>
      <c r="W91" s="5">
        <v>728100</v>
      </c>
      <c r="Y91" s="6">
        <f t="shared" si="2"/>
        <v>39911</v>
      </c>
      <c r="Z91" s="5">
        <f t="shared" si="3"/>
        <v>1830</v>
      </c>
      <c r="AA91" s="5">
        <v>106</v>
      </c>
      <c r="AB91" s="5">
        <v>80.25</v>
      </c>
    </row>
    <row r="92" spans="1:28" x14ac:dyDescent="0.3">
      <c r="A92" s="6">
        <v>38281</v>
      </c>
      <c r="B92" s="7">
        <v>0.66666666666666663</v>
      </c>
      <c r="C92" s="5">
        <v>176.25</v>
      </c>
      <c r="D92" s="5">
        <v>182.5</v>
      </c>
      <c r="E92" s="5">
        <v>175</v>
      </c>
      <c r="F92" s="5">
        <v>176.25</v>
      </c>
      <c r="G92" s="5">
        <v>13100</v>
      </c>
      <c r="I92" s="6">
        <v>39913</v>
      </c>
      <c r="J92" s="7">
        <v>0.66666666666666663</v>
      </c>
      <c r="K92" s="5">
        <v>1825</v>
      </c>
      <c r="L92" s="5">
        <v>1825</v>
      </c>
      <c r="M92" s="5">
        <v>1801</v>
      </c>
      <c r="N92" s="5">
        <v>1820</v>
      </c>
      <c r="O92" s="5">
        <v>180</v>
      </c>
      <c r="Q92" s="6">
        <v>38274</v>
      </c>
      <c r="R92" s="7">
        <v>0.66666666666666663</v>
      </c>
      <c r="S92" s="5">
        <v>91.7</v>
      </c>
      <c r="T92" s="5">
        <v>94.5</v>
      </c>
      <c r="U92" s="5">
        <v>89.5</v>
      </c>
      <c r="V92" s="5">
        <v>89.5</v>
      </c>
      <c r="W92" s="5">
        <v>376500</v>
      </c>
      <c r="Y92" s="6">
        <f t="shared" si="2"/>
        <v>39913</v>
      </c>
      <c r="Z92" s="5">
        <f t="shared" si="3"/>
        <v>1820</v>
      </c>
      <c r="AA92" s="5">
        <v>115.79</v>
      </c>
      <c r="AB92" s="5">
        <v>81</v>
      </c>
    </row>
    <row r="93" spans="1:28" x14ac:dyDescent="0.3">
      <c r="A93" s="6">
        <v>38282</v>
      </c>
      <c r="B93" s="7">
        <v>0.66666666666666663</v>
      </c>
      <c r="C93" s="5">
        <v>181</v>
      </c>
      <c r="D93" s="5">
        <v>181</v>
      </c>
      <c r="E93" s="5">
        <v>176</v>
      </c>
      <c r="F93" s="5">
        <v>177</v>
      </c>
      <c r="G93" s="5">
        <v>3400</v>
      </c>
      <c r="I93" s="6">
        <v>39916</v>
      </c>
      <c r="J93" s="7">
        <v>0.66666666666666663</v>
      </c>
      <c r="K93" s="5">
        <v>1820</v>
      </c>
      <c r="L93" s="5">
        <v>1820</v>
      </c>
      <c r="M93" s="5">
        <v>1801.01</v>
      </c>
      <c r="N93" s="5">
        <v>1805</v>
      </c>
      <c r="O93" s="5">
        <v>360</v>
      </c>
      <c r="Q93" s="6">
        <v>38275</v>
      </c>
      <c r="R93" s="7">
        <v>0.66666666666666663</v>
      </c>
      <c r="S93" s="5">
        <v>89.5</v>
      </c>
      <c r="T93" s="5">
        <v>90.8</v>
      </c>
      <c r="U93" s="5">
        <v>87.05</v>
      </c>
      <c r="V93" s="5">
        <v>88.45</v>
      </c>
      <c r="W93" s="5">
        <v>66300</v>
      </c>
      <c r="Y93" s="6">
        <f t="shared" si="2"/>
        <v>39916</v>
      </c>
      <c r="Z93" s="5">
        <f t="shared" si="3"/>
        <v>1805</v>
      </c>
      <c r="AA93" s="5">
        <v>121.57</v>
      </c>
      <c r="AB93" s="5">
        <v>82.6</v>
      </c>
    </row>
    <row r="94" spans="1:28" x14ac:dyDescent="0.3">
      <c r="A94" s="6">
        <v>38285</v>
      </c>
      <c r="B94" s="7">
        <v>0.66666666666666663</v>
      </c>
      <c r="C94" s="5">
        <v>180.05</v>
      </c>
      <c r="D94" s="5">
        <v>180.5</v>
      </c>
      <c r="E94" s="5">
        <v>180.05</v>
      </c>
      <c r="F94" s="5">
        <v>180.05</v>
      </c>
      <c r="G94" s="5">
        <v>4000</v>
      </c>
      <c r="I94" s="6">
        <v>39917</v>
      </c>
      <c r="J94" s="7">
        <v>0.66666666666666663</v>
      </c>
      <c r="K94" s="5">
        <v>1805</v>
      </c>
      <c r="L94" s="5">
        <v>1830</v>
      </c>
      <c r="M94" s="5">
        <v>1800</v>
      </c>
      <c r="N94" s="5">
        <v>1825</v>
      </c>
      <c r="O94" s="5">
        <v>280</v>
      </c>
      <c r="Q94" s="6">
        <v>38278</v>
      </c>
      <c r="R94" s="7">
        <v>0.66666666666666663</v>
      </c>
      <c r="S94" s="5">
        <v>88.8</v>
      </c>
      <c r="T94" s="5">
        <v>95.05</v>
      </c>
      <c r="U94" s="5">
        <v>88.8</v>
      </c>
      <c r="V94" s="5">
        <v>95.05</v>
      </c>
      <c r="W94" s="5">
        <v>860900</v>
      </c>
      <c r="Y94" s="6">
        <f t="shared" si="2"/>
        <v>39917</v>
      </c>
      <c r="Z94" s="5">
        <f t="shared" si="3"/>
        <v>1825</v>
      </c>
      <c r="AA94" s="5">
        <v>127.6</v>
      </c>
      <c r="AB94" s="5">
        <v>81.8</v>
      </c>
    </row>
    <row r="95" spans="1:28" x14ac:dyDescent="0.3">
      <c r="A95" s="6">
        <v>38286</v>
      </c>
      <c r="B95" s="7">
        <v>0.66666666666666663</v>
      </c>
      <c r="C95" s="5">
        <v>182</v>
      </c>
      <c r="D95" s="5">
        <v>182</v>
      </c>
      <c r="E95" s="5">
        <v>179</v>
      </c>
      <c r="F95" s="5">
        <v>179</v>
      </c>
      <c r="G95" s="5">
        <v>1900</v>
      </c>
      <c r="I95" s="6">
        <v>39918</v>
      </c>
      <c r="J95" s="7">
        <v>0.66666666666666663</v>
      </c>
      <c r="K95" s="5">
        <v>1825</v>
      </c>
      <c r="L95" s="5">
        <v>1830</v>
      </c>
      <c r="M95" s="5">
        <v>1805</v>
      </c>
      <c r="N95" s="5">
        <v>1830</v>
      </c>
      <c r="O95" s="5">
        <v>260</v>
      </c>
      <c r="Q95" s="6">
        <v>38279</v>
      </c>
      <c r="R95" s="7">
        <v>0.66666666666666663</v>
      </c>
      <c r="S95" s="5">
        <v>95.05</v>
      </c>
      <c r="T95" s="5">
        <v>97.75</v>
      </c>
      <c r="U95" s="5">
        <v>95</v>
      </c>
      <c r="V95" s="5">
        <v>96</v>
      </c>
      <c r="W95" s="5">
        <v>583000</v>
      </c>
      <c r="Y95" s="6">
        <f t="shared" si="2"/>
        <v>39918</v>
      </c>
      <c r="Z95" s="5">
        <f t="shared" si="3"/>
        <v>1830</v>
      </c>
      <c r="AA95" s="5">
        <v>133</v>
      </c>
      <c r="AB95" s="5">
        <v>83</v>
      </c>
    </row>
    <row r="96" spans="1:28" x14ac:dyDescent="0.3">
      <c r="A96" s="6">
        <v>38287</v>
      </c>
      <c r="B96" s="7">
        <v>0.66666666666666663</v>
      </c>
      <c r="C96" s="5">
        <v>184</v>
      </c>
      <c r="D96" s="5">
        <v>184</v>
      </c>
      <c r="E96" s="5">
        <v>178.5</v>
      </c>
      <c r="F96" s="5">
        <v>179.05</v>
      </c>
      <c r="G96" s="5">
        <v>2600</v>
      </c>
      <c r="I96" s="6">
        <v>39919</v>
      </c>
      <c r="J96" s="7">
        <v>0.66666666666666663</v>
      </c>
      <c r="K96" s="5">
        <v>1813</v>
      </c>
      <c r="L96" s="5">
        <v>1813</v>
      </c>
      <c r="M96" s="5">
        <v>1813</v>
      </c>
      <c r="N96" s="5">
        <v>1813</v>
      </c>
      <c r="O96" s="5">
        <v>20</v>
      </c>
      <c r="Q96" s="6">
        <v>38280</v>
      </c>
      <c r="R96" s="7">
        <v>0.66666666666666663</v>
      </c>
      <c r="S96" s="5">
        <v>96</v>
      </c>
      <c r="T96" s="5">
        <v>102.5</v>
      </c>
      <c r="U96" s="5">
        <v>95.55</v>
      </c>
      <c r="V96" s="5">
        <v>100.4</v>
      </c>
      <c r="W96" s="5">
        <v>1571900</v>
      </c>
      <c r="Y96" s="6">
        <f t="shared" si="2"/>
        <v>39919</v>
      </c>
      <c r="Z96" s="5">
        <f t="shared" si="3"/>
        <v>1813</v>
      </c>
      <c r="AA96" s="5">
        <v>125.33</v>
      </c>
      <c r="AB96" s="5">
        <v>81.55</v>
      </c>
    </row>
    <row r="97" spans="1:28" x14ac:dyDescent="0.3">
      <c r="A97" s="6">
        <v>38289</v>
      </c>
      <c r="B97" s="7">
        <v>0.66666666666666663</v>
      </c>
      <c r="C97" s="5">
        <v>175.05</v>
      </c>
      <c r="D97" s="5">
        <v>175.05</v>
      </c>
      <c r="E97" s="5">
        <v>172</v>
      </c>
      <c r="F97" s="5">
        <v>172.05</v>
      </c>
      <c r="G97" s="5">
        <v>1400</v>
      </c>
      <c r="I97" s="6">
        <v>39920</v>
      </c>
      <c r="J97" s="7">
        <v>0.66666666666666663</v>
      </c>
      <c r="K97" s="5">
        <v>1815</v>
      </c>
      <c r="L97" s="5">
        <v>1850</v>
      </c>
      <c r="M97" s="5">
        <v>1815</v>
      </c>
      <c r="N97" s="5">
        <v>1815</v>
      </c>
      <c r="O97" s="5">
        <v>80</v>
      </c>
      <c r="Q97" s="6">
        <v>38281</v>
      </c>
      <c r="R97" s="7">
        <v>0.66666666666666663</v>
      </c>
      <c r="S97" s="5">
        <v>100.4</v>
      </c>
      <c r="T97" s="5">
        <v>103.5</v>
      </c>
      <c r="U97" s="5">
        <v>97</v>
      </c>
      <c r="V97" s="5">
        <v>98.25</v>
      </c>
      <c r="W97" s="5">
        <v>1117800</v>
      </c>
      <c r="Y97" s="6">
        <f t="shared" si="2"/>
        <v>39920</v>
      </c>
      <c r="Z97" s="5">
        <f t="shared" si="3"/>
        <v>1815</v>
      </c>
      <c r="AA97" s="5">
        <v>119.24</v>
      </c>
      <c r="AB97" s="5">
        <v>86.27</v>
      </c>
    </row>
    <row r="98" spans="1:28" x14ac:dyDescent="0.3">
      <c r="A98" s="6">
        <v>38292</v>
      </c>
      <c r="B98" s="7">
        <v>0.66666666666666663</v>
      </c>
      <c r="C98" s="5">
        <v>175</v>
      </c>
      <c r="D98" s="5">
        <v>175</v>
      </c>
      <c r="E98" s="5">
        <v>166.55</v>
      </c>
      <c r="F98" s="5">
        <v>166.55</v>
      </c>
      <c r="G98" s="5">
        <v>1000</v>
      </c>
      <c r="I98" s="6">
        <v>39923</v>
      </c>
      <c r="J98" s="7">
        <v>0.66666666666666663</v>
      </c>
      <c r="K98" s="5">
        <v>1850</v>
      </c>
      <c r="L98" s="5">
        <v>1850</v>
      </c>
      <c r="M98" s="5">
        <v>1850</v>
      </c>
      <c r="N98" s="5">
        <v>1850</v>
      </c>
      <c r="O98" s="5">
        <v>20</v>
      </c>
      <c r="Q98" s="6">
        <v>38282</v>
      </c>
      <c r="R98" s="7">
        <v>0.66666666666666663</v>
      </c>
      <c r="S98" s="5">
        <v>98.25</v>
      </c>
      <c r="T98" s="5">
        <v>100.3</v>
      </c>
      <c r="U98" s="5">
        <v>94.5</v>
      </c>
      <c r="V98" s="5">
        <v>94.85</v>
      </c>
      <c r="W98" s="5">
        <v>695000</v>
      </c>
      <c r="Y98" s="6">
        <f t="shared" si="2"/>
        <v>39923</v>
      </c>
      <c r="Z98" s="5">
        <f t="shared" si="3"/>
        <v>1850</v>
      </c>
      <c r="AA98" s="5">
        <v>124</v>
      </c>
      <c r="AB98" s="5">
        <v>90.58</v>
      </c>
    </row>
    <row r="99" spans="1:28" x14ac:dyDescent="0.3">
      <c r="A99" s="6">
        <v>38293</v>
      </c>
      <c r="B99" s="7">
        <v>0.66666666666666663</v>
      </c>
      <c r="C99" s="5">
        <v>178</v>
      </c>
      <c r="D99" s="5">
        <v>178</v>
      </c>
      <c r="E99" s="5">
        <v>170</v>
      </c>
      <c r="F99" s="5">
        <v>174.95</v>
      </c>
      <c r="G99" s="5">
        <v>1200</v>
      </c>
      <c r="I99" s="6">
        <v>39924</v>
      </c>
      <c r="J99" s="7">
        <v>0.66666666666666663</v>
      </c>
      <c r="K99" s="5">
        <v>1890</v>
      </c>
      <c r="L99" s="5">
        <v>1942.5</v>
      </c>
      <c r="M99" s="5">
        <v>1890</v>
      </c>
      <c r="N99" s="5">
        <v>1942.5</v>
      </c>
      <c r="O99" s="5">
        <v>1560</v>
      </c>
      <c r="Q99" s="6">
        <v>38285</v>
      </c>
      <c r="R99" s="7">
        <v>0.66666666666666663</v>
      </c>
      <c r="S99" s="5">
        <v>94.85</v>
      </c>
      <c r="T99" s="5">
        <v>96.95</v>
      </c>
      <c r="U99" s="5">
        <v>93.55</v>
      </c>
      <c r="V99" s="5">
        <v>93.8</v>
      </c>
      <c r="W99" s="5">
        <v>282700</v>
      </c>
      <c r="Y99" s="6">
        <f t="shared" si="2"/>
        <v>39924</v>
      </c>
      <c r="Z99" s="5">
        <f t="shared" si="3"/>
        <v>1942.5</v>
      </c>
      <c r="AA99" s="5">
        <v>130.66999999999999</v>
      </c>
      <c r="AB99" s="5">
        <v>95.1</v>
      </c>
    </row>
    <row r="100" spans="1:28" x14ac:dyDescent="0.3">
      <c r="A100" s="6">
        <v>38294</v>
      </c>
      <c r="B100" s="7">
        <v>0.66666666666666663</v>
      </c>
      <c r="C100" s="5">
        <v>175</v>
      </c>
      <c r="D100" s="5">
        <v>175</v>
      </c>
      <c r="E100" s="5">
        <v>170.25</v>
      </c>
      <c r="F100" s="5">
        <v>170.3</v>
      </c>
      <c r="G100" s="5">
        <v>5800</v>
      </c>
      <c r="I100" s="6">
        <v>39925</v>
      </c>
      <c r="J100" s="7">
        <v>0.66666666666666663</v>
      </c>
      <c r="K100" s="5">
        <v>1949</v>
      </c>
      <c r="L100" s="5">
        <v>2000</v>
      </c>
      <c r="M100" s="5">
        <v>1949</v>
      </c>
      <c r="N100" s="5">
        <v>1980</v>
      </c>
      <c r="O100" s="5">
        <v>89100</v>
      </c>
      <c r="Q100" s="6">
        <v>38286</v>
      </c>
      <c r="R100" s="7">
        <v>0.66666666666666663</v>
      </c>
      <c r="S100" s="5">
        <v>93.8</v>
      </c>
      <c r="T100" s="5">
        <v>94</v>
      </c>
      <c r="U100" s="5">
        <v>89.15</v>
      </c>
      <c r="V100" s="5">
        <v>91</v>
      </c>
      <c r="W100" s="5">
        <v>247600</v>
      </c>
      <c r="Y100" s="6">
        <f t="shared" si="2"/>
        <v>39925</v>
      </c>
      <c r="Z100" s="5">
        <f t="shared" si="3"/>
        <v>1980</v>
      </c>
      <c r="AA100" s="5">
        <v>137.19999999999999</v>
      </c>
      <c r="AB100" s="5">
        <v>91.5</v>
      </c>
    </row>
    <row r="101" spans="1:28" x14ac:dyDescent="0.3">
      <c r="A101" s="6">
        <v>38295</v>
      </c>
      <c r="B101" s="7">
        <v>0.66666666666666663</v>
      </c>
      <c r="C101" s="5">
        <v>171.05</v>
      </c>
      <c r="D101" s="5">
        <v>171.1</v>
      </c>
      <c r="E101" s="5">
        <v>169.25</v>
      </c>
      <c r="F101" s="5">
        <v>170.05</v>
      </c>
      <c r="G101" s="5">
        <v>3600</v>
      </c>
      <c r="I101" s="6">
        <v>39926</v>
      </c>
      <c r="J101" s="7">
        <v>0.66666666666666663</v>
      </c>
      <c r="K101" s="5">
        <v>1950.01</v>
      </c>
      <c r="L101" s="5">
        <v>1950.01</v>
      </c>
      <c r="M101" s="5">
        <v>1948.01</v>
      </c>
      <c r="N101" s="5">
        <v>1948.01</v>
      </c>
      <c r="O101" s="5">
        <v>80</v>
      </c>
      <c r="Q101" s="6">
        <v>38287</v>
      </c>
      <c r="R101" s="7">
        <v>0.66666666666666663</v>
      </c>
      <c r="S101" s="5">
        <v>91</v>
      </c>
      <c r="T101" s="5">
        <v>91.5</v>
      </c>
      <c r="U101" s="5">
        <v>89</v>
      </c>
      <c r="V101" s="5">
        <v>90.5</v>
      </c>
      <c r="W101" s="5">
        <v>106100</v>
      </c>
      <c r="Y101" s="6">
        <f t="shared" si="2"/>
        <v>39926</v>
      </c>
      <c r="Z101" s="5">
        <f t="shared" si="3"/>
        <v>1948.01</v>
      </c>
      <c r="AA101" s="5">
        <v>130.34</v>
      </c>
      <c r="AB101" s="5">
        <v>87.16</v>
      </c>
    </row>
    <row r="102" spans="1:28" x14ac:dyDescent="0.3">
      <c r="A102" s="6">
        <v>38296</v>
      </c>
      <c r="B102" s="7">
        <v>0.66666666666666663</v>
      </c>
      <c r="C102" s="5">
        <v>167</v>
      </c>
      <c r="D102" s="5">
        <v>167</v>
      </c>
      <c r="E102" s="5">
        <v>161.55000000000001</v>
      </c>
      <c r="F102" s="5">
        <v>161.55000000000001</v>
      </c>
      <c r="G102" s="5">
        <v>15600</v>
      </c>
      <c r="I102" s="6">
        <v>39927</v>
      </c>
      <c r="J102" s="7">
        <v>0.66666666666666663</v>
      </c>
      <c r="K102" s="5">
        <v>1948.01</v>
      </c>
      <c r="L102" s="5">
        <v>2000</v>
      </c>
      <c r="M102" s="5">
        <v>1948</v>
      </c>
      <c r="N102" s="5">
        <v>2000</v>
      </c>
      <c r="O102" s="5">
        <v>7680</v>
      </c>
      <c r="Q102" s="6">
        <v>38289</v>
      </c>
      <c r="R102" s="7">
        <v>0.66666666666666663</v>
      </c>
      <c r="S102" s="5">
        <v>89.35</v>
      </c>
      <c r="T102" s="5">
        <v>89.35</v>
      </c>
      <c r="U102" s="5">
        <v>88.3</v>
      </c>
      <c r="V102" s="5">
        <v>89</v>
      </c>
      <c r="W102" s="5">
        <v>40500</v>
      </c>
      <c r="Y102" s="6">
        <f t="shared" si="2"/>
        <v>39927</v>
      </c>
      <c r="Z102" s="5">
        <f t="shared" si="3"/>
        <v>2000</v>
      </c>
      <c r="AA102" s="5">
        <v>130.97999999999999</v>
      </c>
      <c r="AB102" s="5">
        <v>86</v>
      </c>
    </row>
    <row r="103" spans="1:28" x14ac:dyDescent="0.3">
      <c r="A103" s="6">
        <v>38299</v>
      </c>
      <c r="B103" s="7">
        <v>0.66666666666666663</v>
      </c>
      <c r="C103" s="5">
        <v>159.94999999999999</v>
      </c>
      <c r="D103" s="5">
        <v>160</v>
      </c>
      <c r="E103" s="5">
        <v>158</v>
      </c>
      <c r="F103" s="5">
        <v>159</v>
      </c>
      <c r="G103" s="5">
        <v>3400</v>
      </c>
      <c r="I103" s="6">
        <v>39932</v>
      </c>
      <c r="J103" s="7">
        <v>0.66666666666666663</v>
      </c>
      <c r="K103" s="5">
        <v>1946</v>
      </c>
      <c r="L103" s="5">
        <v>1946</v>
      </c>
      <c r="M103" s="5">
        <v>1946</v>
      </c>
      <c r="N103" s="5">
        <v>1946</v>
      </c>
      <c r="O103" s="5">
        <v>80</v>
      </c>
      <c r="Q103" s="6">
        <v>38292</v>
      </c>
      <c r="R103" s="7">
        <v>0.66666666666666663</v>
      </c>
      <c r="S103" s="5">
        <v>89</v>
      </c>
      <c r="T103" s="5">
        <v>89.45</v>
      </c>
      <c r="U103" s="5">
        <v>87.5</v>
      </c>
      <c r="V103" s="5">
        <v>88.5</v>
      </c>
      <c r="W103" s="5">
        <v>45000</v>
      </c>
      <c r="Y103" s="6">
        <f t="shared" si="2"/>
        <v>39932</v>
      </c>
      <c r="Z103" s="5">
        <f t="shared" si="3"/>
        <v>1946</v>
      </c>
      <c r="AA103" s="5">
        <v>124.01</v>
      </c>
      <c r="AB103" s="5">
        <v>79.72</v>
      </c>
    </row>
    <row r="104" spans="1:28" x14ac:dyDescent="0.3">
      <c r="A104" s="6">
        <v>38301</v>
      </c>
      <c r="B104" s="7">
        <v>0.66666666666666663</v>
      </c>
      <c r="C104" s="5">
        <v>159.94999999999999</v>
      </c>
      <c r="D104" s="5">
        <v>164</v>
      </c>
      <c r="E104" s="5">
        <v>159.94999999999999</v>
      </c>
      <c r="F104" s="5">
        <v>164</v>
      </c>
      <c r="G104" s="5">
        <v>3000</v>
      </c>
      <c r="I104" s="6">
        <v>39933</v>
      </c>
      <c r="J104" s="7">
        <v>0.66666666666666663</v>
      </c>
      <c r="K104" s="5">
        <v>1946</v>
      </c>
      <c r="L104" s="5">
        <v>1951.51</v>
      </c>
      <c r="M104" s="5">
        <v>1935.01</v>
      </c>
      <c r="N104" s="5">
        <v>1949</v>
      </c>
      <c r="O104" s="5">
        <v>200</v>
      </c>
      <c r="Q104" s="6">
        <v>38293</v>
      </c>
      <c r="R104" s="7">
        <v>0.66666666666666663</v>
      </c>
      <c r="S104" s="5">
        <v>88.5</v>
      </c>
      <c r="T104" s="5">
        <v>89.55</v>
      </c>
      <c r="U104" s="5">
        <v>87.5</v>
      </c>
      <c r="V104" s="5">
        <v>89</v>
      </c>
      <c r="W104" s="5">
        <v>142000</v>
      </c>
      <c r="Y104" s="6">
        <f t="shared" si="2"/>
        <v>39933</v>
      </c>
      <c r="Z104" s="5">
        <f t="shared" si="3"/>
        <v>1949</v>
      </c>
      <c r="AA104" s="5">
        <v>124</v>
      </c>
      <c r="AB104" s="5">
        <v>76.5</v>
      </c>
    </row>
    <row r="105" spans="1:28" x14ac:dyDescent="0.3">
      <c r="A105" s="6">
        <v>38303</v>
      </c>
      <c r="B105" s="7">
        <v>0.66666666666666663</v>
      </c>
      <c r="C105" s="5">
        <v>160</v>
      </c>
      <c r="D105" s="5">
        <v>160</v>
      </c>
      <c r="E105" s="5">
        <v>159.05000000000001</v>
      </c>
      <c r="F105" s="5">
        <v>159.05000000000001</v>
      </c>
      <c r="G105" s="5">
        <v>5300</v>
      </c>
      <c r="I105" s="6">
        <v>39937</v>
      </c>
      <c r="J105" s="7">
        <v>0.66666666666666663</v>
      </c>
      <c r="K105" s="5">
        <v>1970</v>
      </c>
      <c r="L105" s="5">
        <v>1975</v>
      </c>
      <c r="M105" s="5">
        <v>1970</v>
      </c>
      <c r="N105" s="5">
        <v>1970</v>
      </c>
      <c r="O105" s="5">
        <v>80</v>
      </c>
      <c r="Q105" s="6">
        <v>38294</v>
      </c>
      <c r="R105" s="7">
        <v>0.66666666666666663</v>
      </c>
      <c r="S105" s="5">
        <v>89.75</v>
      </c>
      <c r="T105" s="5">
        <v>95.65</v>
      </c>
      <c r="U105" s="5">
        <v>89.75</v>
      </c>
      <c r="V105" s="5">
        <v>93.8</v>
      </c>
      <c r="W105" s="5">
        <v>562800</v>
      </c>
      <c r="Y105" s="6">
        <f t="shared" si="2"/>
        <v>39937</v>
      </c>
      <c r="Z105" s="5">
        <f t="shared" si="3"/>
        <v>1970</v>
      </c>
      <c r="AA105" s="5">
        <v>117.1</v>
      </c>
      <c r="AB105" s="5">
        <v>75.5</v>
      </c>
    </row>
    <row r="106" spans="1:28" x14ac:dyDescent="0.3">
      <c r="A106" s="6">
        <v>38309</v>
      </c>
      <c r="B106" s="7">
        <v>0.66666666666666663</v>
      </c>
      <c r="C106" s="5">
        <v>160</v>
      </c>
      <c r="D106" s="5">
        <v>163</v>
      </c>
      <c r="E106" s="5">
        <v>158.19999999999999</v>
      </c>
      <c r="F106" s="5">
        <v>159.5</v>
      </c>
      <c r="G106" s="5">
        <v>8500</v>
      </c>
      <c r="I106" s="6">
        <v>39938</v>
      </c>
      <c r="J106" s="7">
        <v>0.66666666666666663</v>
      </c>
      <c r="K106" s="5">
        <v>1980</v>
      </c>
      <c r="L106" s="5">
        <v>1980</v>
      </c>
      <c r="M106" s="5">
        <v>1980</v>
      </c>
      <c r="N106" s="5">
        <v>1980</v>
      </c>
      <c r="O106" s="5">
        <v>40</v>
      </c>
      <c r="Q106" s="6">
        <v>38295</v>
      </c>
      <c r="R106" s="7">
        <v>0.66666666666666663</v>
      </c>
      <c r="S106" s="5">
        <v>93.8</v>
      </c>
      <c r="T106" s="5">
        <v>98</v>
      </c>
      <c r="U106" s="5">
        <v>93.5</v>
      </c>
      <c r="V106" s="5">
        <v>94</v>
      </c>
      <c r="W106" s="5">
        <v>431500</v>
      </c>
      <c r="Y106" s="6">
        <f t="shared" si="2"/>
        <v>39938</v>
      </c>
      <c r="Z106" s="5">
        <f t="shared" si="3"/>
        <v>1980</v>
      </c>
      <c r="AA106" s="5">
        <v>123.42</v>
      </c>
      <c r="AB106" s="5">
        <v>74.8</v>
      </c>
    </row>
    <row r="107" spans="1:28" x14ac:dyDescent="0.3">
      <c r="A107" s="6">
        <v>38310</v>
      </c>
      <c r="B107" s="7">
        <v>0.66666666666666663</v>
      </c>
      <c r="C107" s="5">
        <v>159.05000000000001</v>
      </c>
      <c r="D107" s="5">
        <v>159.05000000000001</v>
      </c>
      <c r="E107" s="5">
        <v>157.05000000000001</v>
      </c>
      <c r="F107" s="5">
        <v>158</v>
      </c>
      <c r="G107" s="5">
        <v>4600</v>
      </c>
      <c r="I107" s="6">
        <v>39939</v>
      </c>
      <c r="J107" s="7">
        <v>0.66666666666666663</v>
      </c>
      <c r="K107" s="5">
        <v>1980</v>
      </c>
      <c r="L107" s="5">
        <v>1980</v>
      </c>
      <c r="M107" s="5">
        <v>1930</v>
      </c>
      <c r="N107" s="5">
        <v>1950</v>
      </c>
      <c r="O107" s="5">
        <v>460</v>
      </c>
      <c r="Q107" s="6">
        <v>38296</v>
      </c>
      <c r="R107" s="7">
        <v>0.66666666666666663</v>
      </c>
      <c r="S107" s="5">
        <v>94</v>
      </c>
      <c r="T107" s="5">
        <v>95.5</v>
      </c>
      <c r="U107" s="5">
        <v>93.5</v>
      </c>
      <c r="V107" s="5">
        <v>95</v>
      </c>
      <c r="W107" s="5">
        <v>77200</v>
      </c>
      <c r="Y107" s="6">
        <f t="shared" si="2"/>
        <v>39939</v>
      </c>
      <c r="Z107" s="5">
        <f t="shared" si="3"/>
        <v>1950</v>
      </c>
      <c r="AA107" s="5">
        <v>128.66999999999999</v>
      </c>
      <c r="AB107" s="5">
        <v>78.540000000000006</v>
      </c>
    </row>
    <row r="108" spans="1:28" x14ac:dyDescent="0.3">
      <c r="A108" s="6">
        <v>38313</v>
      </c>
      <c r="B108" s="7">
        <v>0.66666666666666663</v>
      </c>
      <c r="C108" s="5">
        <v>157.9</v>
      </c>
      <c r="D108" s="5">
        <v>158</v>
      </c>
      <c r="E108" s="5">
        <v>157.9</v>
      </c>
      <c r="F108" s="5">
        <v>158</v>
      </c>
      <c r="G108" s="5">
        <v>1100</v>
      </c>
      <c r="I108" s="6">
        <v>39940</v>
      </c>
      <c r="J108" s="7">
        <v>0.66666666666666663</v>
      </c>
      <c r="K108" s="5">
        <v>1950</v>
      </c>
      <c r="L108" s="5">
        <v>1960</v>
      </c>
      <c r="M108" s="5">
        <v>1939</v>
      </c>
      <c r="N108" s="5">
        <v>1946</v>
      </c>
      <c r="O108" s="5">
        <v>320</v>
      </c>
      <c r="Q108" s="6">
        <v>38299</v>
      </c>
      <c r="R108" s="7">
        <v>0.66666666666666663</v>
      </c>
      <c r="S108" s="5">
        <v>95</v>
      </c>
      <c r="T108" s="5">
        <v>99.5</v>
      </c>
      <c r="U108" s="5">
        <v>94.75</v>
      </c>
      <c r="V108" s="5">
        <v>97.75</v>
      </c>
      <c r="W108" s="5">
        <v>579700</v>
      </c>
      <c r="Y108" s="6">
        <f t="shared" si="2"/>
        <v>39940</v>
      </c>
      <c r="Z108" s="5">
        <f t="shared" si="3"/>
        <v>1946</v>
      </c>
      <c r="AA108" s="5">
        <v>132.01</v>
      </c>
      <c r="AB108" s="5">
        <v>77.55</v>
      </c>
    </row>
    <row r="109" spans="1:28" x14ac:dyDescent="0.3">
      <c r="A109" s="6">
        <v>38314</v>
      </c>
      <c r="B109" s="7">
        <v>0.66666666666666663</v>
      </c>
      <c r="C109" s="5">
        <v>158</v>
      </c>
      <c r="D109" s="5">
        <v>158</v>
      </c>
      <c r="E109" s="5">
        <v>157.5</v>
      </c>
      <c r="F109" s="5">
        <v>157.5</v>
      </c>
      <c r="G109" s="5">
        <v>5700</v>
      </c>
      <c r="I109" s="6">
        <v>39941</v>
      </c>
      <c r="J109" s="7">
        <v>0.66666666666666663</v>
      </c>
      <c r="K109" s="5">
        <v>1970</v>
      </c>
      <c r="L109" s="5">
        <v>1975</v>
      </c>
      <c r="M109" s="5">
        <v>1970</v>
      </c>
      <c r="N109" s="5">
        <v>1970</v>
      </c>
      <c r="O109" s="5">
        <v>300</v>
      </c>
      <c r="Q109" s="6">
        <v>38301</v>
      </c>
      <c r="R109" s="7">
        <v>0.66666666666666663</v>
      </c>
      <c r="S109" s="5">
        <v>97.75</v>
      </c>
      <c r="T109" s="5">
        <v>98.9</v>
      </c>
      <c r="U109" s="5">
        <v>96.55</v>
      </c>
      <c r="V109" s="5">
        <v>96.55</v>
      </c>
      <c r="W109" s="5">
        <v>231000</v>
      </c>
      <c r="Y109" s="6">
        <f t="shared" si="2"/>
        <v>39941</v>
      </c>
      <c r="Z109" s="5">
        <f t="shared" si="3"/>
        <v>1970</v>
      </c>
      <c r="AA109" s="5">
        <v>125.88</v>
      </c>
      <c r="AB109" s="5">
        <v>78</v>
      </c>
    </row>
    <row r="110" spans="1:28" x14ac:dyDescent="0.3">
      <c r="A110" s="6">
        <v>38315</v>
      </c>
      <c r="B110" s="7">
        <v>0.66666666666666663</v>
      </c>
      <c r="C110" s="5">
        <v>158</v>
      </c>
      <c r="D110" s="5">
        <v>158</v>
      </c>
      <c r="E110" s="5">
        <v>157.30000000000001</v>
      </c>
      <c r="F110" s="5">
        <v>158</v>
      </c>
      <c r="G110" s="5">
        <v>2400</v>
      </c>
      <c r="I110" s="6">
        <v>39944</v>
      </c>
      <c r="J110" s="7">
        <v>0.66666666666666663</v>
      </c>
      <c r="K110" s="5">
        <v>1947.5</v>
      </c>
      <c r="L110" s="5">
        <v>1947.5</v>
      </c>
      <c r="M110" s="5">
        <v>1947.5</v>
      </c>
      <c r="N110" s="5">
        <v>1947.5</v>
      </c>
      <c r="O110" s="5">
        <v>20</v>
      </c>
      <c r="Q110" s="6">
        <v>38303</v>
      </c>
      <c r="R110" s="7">
        <v>0.66666666666666663</v>
      </c>
      <c r="S110" s="5">
        <v>96.55</v>
      </c>
      <c r="T110" s="5">
        <v>97.7</v>
      </c>
      <c r="U110" s="5">
        <v>96.35</v>
      </c>
      <c r="V110" s="5">
        <v>96.5</v>
      </c>
      <c r="W110" s="5">
        <v>108800</v>
      </c>
      <c r="Y110" s="6">
        <f t="shared" si="2"/>
        <v>39944</v>
      </c>
      <c r="Z110" s="5">
        <f t="shared" si="3"/>
        <v>1947.5</v>
      </c>
      <c r="AA110" s="5">
        <v>131</v>
      </c>
      <c r="AB110" s="5">
        <v>78</v>
      </c>
    </row>
    <row r="111" spans="1:28" x14ac:dyDescent="0.3">
      <c r="A111" s="6">
        <v>38316</v>
      </c>
      <c r="B111" s="7">
        <v>0.66666666666666663</v>
      </c>
      <c r="C111" s="5">
        <v>158</v>
      </c>
      <c r="D111" s="5">
        <v>158</v>
      </c>
      <c r="E111" s="5">
        <v>157.25</v>
      </c>
      <c r="F111" s="5">
        <v>158</v>
      </c>
      <c r="G111" s="5">
        <v>5800</v>
      </c>
      <c r="I111" s="6">
        <v>39946</v>
      </c>
      <c r="J111" s="7">
        <v>0.66666666666666663</v>
      </c>
      <c r="K111" s="5">
        <v>1947.5</v>
      </c>
      <c r="L111" s="5">
        <v>1965</v>
      </c>
      <c r="M111" s="5">
        <v>1947</v>
      </c>
      <c r="N111" s="5">
        <v>1965</v>
      </c>
      <c r="O111" s="5">
        <v>560</v>
      </c>
      <c r="Q111" s="6">
        <v>38309</v>
      </c>
      <c r="R111" s="7">
        <v>0.66666666666666663</v>
      </c>
      <c r="S111" s="5">
        <v>96.5</v>
      </c>
      <c r="T111" s="5">
        <v>98</v>
      </c>
      <c r="U111" s="5">
        <v>96</v>
      </c>
      <c r="V111" s="5">
        <v>97</v>
      </c>
      <c r="W111" s="5">
        <v>171700</v>
      </c>
      <c r="Y111" s="6">
        <f t="shared" si="2"/>
        <v>39946</v>
      </c>
      <c r="Z111" s="5">
        <f t="shared" si="3"/>
        <v>1965</v>
      </c>
      <c r="AA111" s="5">
        <v>129.31</v>
      </c>
      <c r="AB111" s="5">
        <v>85.99</v>
      </c>
    </row>
    <row r="112" spans="1:28" x14ac:dyDescent="0.3">
      <c r="A112" s="6">
        <v>38317</v>
      </c>
      <c r="B112" s="7">
        <v>0.66666666666666663</v>
      </c>
      <c r="C112" s="5">
        <v>158.5</v>
      </c>
      <c r="D112" s="5">
        <v>159</v>
      </c>
      <c r="E112" s="5">
        <v>158</v>
      </c>
      <c r="F112" s="5">
        <v>158.25</v>
      </c>
      <c r="G112" s="5">
        <v>6800</v>
      </c>
      <c r="I112" s="6">
        <v>39947</v>
      </c>
      <c r="J112" s="7">
        <v>0.66666666666666663</v>
      </c>
      <c r="K112" s="5">
        <v>1960</v>
      </c>
      <c r="L112" s="5">
        <v>1960</v>
      </c>
      <c r="M112" s="5">
        <v>1947.01</v>
      </c>
      <c r="N112" s="5">
        <v>1955</v>
      </c>
      <c r="O112" s="5">
        <v>340</v>
      </c>
      <c r="Q112" s="6">
        <v>38310</v>
      </c>
      <c r="R112" s="7">
        <v>0.66666666666666663</v>
      </c>
      <c r="S112" s="5">
        <v>97</v>
      </c>
      <c r="T112" s="5">
        <v>97.25</v>
      </c>
      <c r="U112" s="5">
        <v>96.8</v>
      </c>
      <c r="V112" s="5">
        <v>96.9</v>
      </c>
      <c r="W112" s="5">
        <v>103500</v>
      </c>
      <c r="Y112" s="6">
        <f t="shared" si="2"/>
        <v>39947</v>
      </c>
      <c r="Z112" s="5">
        <f t="shared" si="3"/>
        <v>1955</v>
      </c>
      <c r="AA112" s="5">
        <v>122.85</v>
      </c>
      <c r="AB112" s="5">
        <v>83.99</v>
      </c>
    </row>
    <row r="113" spans="1:28" x14ac:dyDescent="0.3">
      <c r="A113" s="6">
        <v>38320</v>
      </c>
      <c r="B113" s="7">
        <v>0.66666666666666663</v>
      </c>
      <c r="C113" s="5">
        <v>158.5</v>
      </c>
      <c r="D113" s="5">
        <v>170.1</v>
      </c>
      <c r="E113" s="5">
        <v>158</v>
      </c>
      <c r="F113" s="5">
        <v>169.5</v>
      </c>
      <c r="G113" s="5">
        <v>16500</v>
      </c>
      <c r="I113" s="6">
        <v>39951</v>
      </c>
      <c r="J113" s="7">
        <v>0.66666666666666663</v>
      </c>
      <c r="K113" s="5">
        <v>1955</v>
      </c>
      <c r="L113" s="5">
        <v>1975</v>
      </c>
      <c r="M113" s="5">
        <v>1950</v>
      </c>
      <c r="N113" s="5">
        <v>1975</v>
      </c>
      <c r="O113" s="5">
        <v>80</v>
      </c>
      <c r="Q113" s="6">
        <v>38313</v>
      </c>
      <c r="R113" s="7">
        <v>0.66666666666666663</v>
      </c>
      <c r="S113" s="5">
        <v>96.9</v>
      </c>
      <c r="T113" s="5">
        <v>97</v>
      </c>
      <c r="U113" s="5">
        <v>96</v>
      </c>
      <c r="V113" s="5">
        <v>96.5</v>
      </c>
      <c r="W113" s="5">
        <v>43000</v>
      </c>
      <c r="Y113" s="6">
        <f t="shared" si="2"/>
        <v>39951</v>
      </c>
      <c r="Z113" s="5">
        <f t="shared" si="3"/>
        <v>1975</v>
      </c>
      <c r="AA113" s="5">
        <v>122.7</v>
      </c>
      <c r="AB113" s="5">
        <v>81.5</v>
      </c>
    </row>
    <row r="114" spans="1:28" x14ac:dyDescent="0.3">
      <c r="A114" s="6">
        <v>38321</v>
      </c>
      <c r="B114" s="7">
        <v>0.66666666666666663</v>
      </c>
      <c r="C114" s="5">
        <v>172.85</v>
      </c>
      <c r="D114" s="5">
        <v>175</v>
      </c>
      <c r="E114" s="5">
        <v>162</v>
      </c>
      <c r="F114" s="5">
        <v>162</v>
      </c>
      <c r="G114" s="5">
        <v>18100</v>
      </c>
      <c r="I114" s="6">
        <v>39952</v>
      </c>
      <c r="J114" s="7">
        <v>0.66666666666666663</v>
      </c>
      <c r="K114" s="5">
        <v>1950.02</v>
      </c>
      <c r="L114" s="5">
        <v>1950.02</v>
      </c>
      <c r="M114" s="5">
        <v>1950.01</v>
      </c>
      <c r="N114" s="5">
        <v>1950.01</v>
      </c>
      <c r="O114" s="5">
        <v>40</v>
      </c>
      <c r="Q114" s="6">
        <v>38314</v>
      </c>
      <c r="R114" s="7">
        <v>0.66666666666666663</v>
      </c>
      <c r="S114" s="5">
        <v>96.5</v>
      </c>
      <c r="T114" s="5">
        <v>96.95</v>
      </c>
      <c r="U114" s="5">
        <v>96</v>
      </c>
      <c r="V114" s="5">
        <v>96</v>
      </c>
      <c r="W114" s="5">
        <v>78000</v>
      </c>
      <c r="Y114" s="6">
        <f t="shared" si="2"/>
        <v>39952</v>
      </c>
      <c r="Z114" s="5">
        <f t="shared" si="3"/>
        <v>1950.01</v>
      </c>
      <c r="AA114" s="5">
        <v>118.62</v>
      </c>
      <c r="AB114" s="5">
        <v>80</v>
      </c>
    </row>
    <row r="115" spans="1:28" x14ac:dyDescent="0.3">
      <c r="A115" s="6">
        <v>38322</v>
      </c>
      <c r="B115" s="7">
        <v>0.66666666666666663</v>
      </c>
      <c r="C115" s="5">
        <v>162</v>
      </c>
      <c r="D115" s="5">
        <v>166.25</v>
      </c>
      <c r="E115" s="5">
        <v>162</v>
      </c>
      <c r="F115" s="5">
        <v>164</v>
      </c>
      <c r="G115" s="5">
        <v>2800</v>
      </c>
      <c r="I115" s="6">
        <v>39954</v>
      </c>
      <c r="J115" s="7">
        <v>0.66666666666666663</v>
      </c>
      <c r="K115" s="5">
        <v>1950.01</v>
      </c>
      <c r="L115" s="5">
        <v>1955</v>
      </c>
      <c r="M115" s="5">
        <v>1950</v>
      </c>
      <c r="N115" s="5">
        <v>1950</v>
      </c>
      <c r="O115" s="5">
        <v>9000</v>
      </c>
      <c r="Q115" s="6">
        <v>38315</v>
      </c>
      <c r="R115" s="7">
        <v>0.66666666666666663</v>
      </c>
      <c r="S115" s="5">
        <v>96</v>
      </c>
      <c r="T115" s="5">
        <v>103.2</v>
      </c>
      <c r="U115" s="5">
        <v>96</v>
      </c>
      <c r="V115" s="5">
        <v>103.2</v>
      </c>
      <c r="W115" s="5">
        <v>1658600</v>
      </c>
      <c r="Y115" s="6">
        <f t="shared" si="2"/>
        <v>39954</v>
      </c>
      <c r="Z115" s="5">
        <f t="shared" si="3"/>
        <v>1950</v>
      </c>
      <c r="AA115" s="5">
        <v>116.77</v>
      </c>
      <c r="AB115" s="5">
        <v>78.62</v>
      </c>
    </row>
    <row r="116" spans="1:28" x14ac:dyDescent="0.3">
      <c r="A116" s="6">
        <v>38323</v>
      </c>
      <c r="B116" s="7">
        <v>0.66666666666666663</v>
      </c>
      <c r="C116" s="5">
        <v>164</v>
      </c>
      <c r="D116" s="5">
        <v>164.5</v>
      </c>
      <c r="E116" s="5">
        <v>163.5</v>
      </c>
      <c r="F116" s="5">
        <v>164.5</v>
      </c>
      <c r="G116" s="5">
        <v>1900</v>
      </c>
      <c r="I116" s="6">
        <v>39955</v>
      </c>
      <c r="J116" s="7">
        <v>0.66666666666666663</v>
      </c>
      <c r="K116" s="5">
        <v>1960.01</v>
      </c>
      <c r="L116" s="5">
        <v>2047.5</v>
      </c>
      <c r="M116" s="5">
        <v>1960.01</v>
      </c>
      <c r="N116" s="5">
        <v>1995.01</v>
      </c>
      <c r="O116" s="5">
        <v>5340</v>
      </c>
      <c r="Q116" s="6">
        <v>38316</v>
      </c>
      <c r="R116" s="7">
        <v>0.66666666666666663</v>
      </c>
      <c r="S116" s="5">
        <v>104</v>
      </c>
      <c r="T116" s="5">
        <v>110</v>
      </c>
      <c r="U116" s="5">
        <v>104</v>
      </c>
      <c r="V116" s="5">
        <v>108.55</v>
      </c>
      <c r="W116" s="5">
        <v>5536700</v>
      </c>
      <c r="Y116" s="6">
        <f t="shared" si="2"/>
        <v>39955</v>
      </c>
      <c r="Z116" s="5">
        <f t="shared" si="3"/>
        <v>1995.01</v>
      </c>
      <c r="AA116" s="5">
        <v>122.6</v>
      </c>
      <c r="AB116" s="5">
        <v>80</v>
      </c>
    </row>
    <row r="117" spans="1:28" x14ac:dyDescent="0.3">
      <c r="A117" s="6">
        <v>38324</v>
      </c>
      <c r="B117" s="7">
        <v>0.66666666666666663</v>
      </c>
      <c r="C117" s="5">
        <v>166.5</v>
      </c>
      <c r="D117" s="5">
        <v>168.5</v>
      </c>
      <c r="E117" s="5">
        <v>166.25</v>
      </c>
      <c r="F117" s="5">
        <v>168</v>
      </c>
      <c r="G117" s="5">
        <v>3700</v>
      </c>
      <c r="I117" s="6">
        <v>39958</v>
      </c>
      <c r="J117" s="7">
        <v>0.66666666666666663</v>
      </c>
      <c r="K117" s="5">
        <v>1984.03</v>
      </c>
      <c r="L117" s="5">
        <v>1984.03</v>
      </c>
      <c r="M117" s="5">
        <v>1980</v>
      </c>
      <c r="N117" s="5">
        <v>1984.03</v>
      </c>
      <c r="O117" s="5">
        <v>60</v>
      </c>
      <c r="Q117" s="6">
        <v>38317</v>
      </c>
      <c r="R117" s="7">
        <v>0.66666666666666663</v>
      </c>
      <c r="S117" s="5">
        <v>108.55</v>
      </c>
      <c r="T117" s="5">
        <v>111.5</v>
      </c>
      <c r="U117" s="5">
        <v>108.25</v>
      </c>
      <c r="V117" s="5">
        <v>109.2</v>
      </c>
      <c r="W117" s="5">
        <v>3675300</v>
      </c>
      <c r="Y117" s="6">
        <f t="shared" si="2"/>
        <v>39958</v>
      </c>
      <c r="Z117" s="5">
        <f t="shared" si="3"/>
        <v>1984.03</v>
      </c>
      <c r="AA117" s="5">
        <v>127.12</v>
      </c>
      <c r="AB117" s="5">
        <v>80.25</v>
      </c>
    </row>
    <row r="118" spans="1:28" x14ac:dyDescent="0.3">
      <c r="A118" s="6">
        <v>38327</v>
      </c>
      <c r="B118" s="7">
        <v>0.66666666666666663</v>
      </c>
      <c r="C118" s="5">
        <v>165.05</v>
      </c>
      <c r="D118" s="5">
        <v>169.75</v>
      </c>
      <c r="E118" s="5">
        <v>165</v>
      </c>
      <c r="F118" s="5">
        <v>169.05</v>
      </c>
      <c r="G118" s="5">
        <v>5300</v>
      </c>
      <c r="I118" s="6">
        <v>39959</v>
      </c>
      <c r="J118" s="7">
        <v>0.66666666666666663</v>
      </c>
      <c r="K118" s="5">
        <v>1975.01</v>
      </c>
      <c r="L118" s="5">
        <v>1975.01</v>
      </c>
      <c r="M118" s="5">
        <v>1975.01</v>
      </c>
      <c r="N118" s="5">
        <v>1975.01</v>
      </c>
      <c r="O118" s="5">
        <v>20</v>
      </c>
      <c r="Q118" s="6">
        <v>38320</v>
      </c>
      <c r="R118" s="7">
        <v>0.66666666666666663</v>
      </c>
      <c r="S118" s="5">
        <v>109.2</v>
      </c>
      <c r="T118" s="5">
        <v>110.2</v>
      </c>
      <c r="U118" s="5">
        <v>106</v>
      </c>
      <c r="V118" s="5">
        <v>107.35</v>
      </c>
      <c r="W118" s="5">
        <v>967600</v>
      </c>
      <c r="Y118" s="6">
        <f t="shared" si="2"/>
        <v>39959</v>
      </c>
      <c r="Z118" s="5">
        <f t="shared" si="3"/>
        <v>1975.01</v>
      </c>
      <c r="AA118" s="5">
        <v>124.44</v>
      </c>
      <c r="AB118" s="5">
        <v>81</v>
      </c>
    </row>
    <row r="119" spans="1:28" x14ac:dyDescent="0.3">
      <c r="A119" s="6">
        <v>38328</v>
      </c>
      <c r="B119" s="7">
        <v>0.66666666666666663</v>
      </c>
      <c r="C119" s="5">
        <v>169.85</v>
      </c>
      <c r="D119" s="5">
        <v>172</v>
      </c>
      <c r="E119" s="5">
        <v>169.1</v>
      </c>
      <c r="F119" s="5">
        <v>169.8</v>
      </c>
      <c r="G119" s="5">
        <v>3500</v>
      </c>
      <c r="I119" s="6">
        <v>39960</v>
      </c>
      <c r="J119" s="7">
        <v>0.66666666666666663</v>
      </c>
      <c r="K119" s="5">
        <v>1975.21</v>
      </c>
      <c r="L119" s="5">
        <v>1982.01</v>
      </c>
      <c r="M119" s="5">
        <v>1975.21</v>
      </c>
      <c r="N119" s="5">
        <v>1982.01</v>
      </c>
      <c r="O119" s="5">
        <v>220</v>
      </c>
      <c r="Q119" s="6">
        <v>38321</v>
      </c>
      <c r="R119" s="7">
        <v>0.66666666666666663</v>
      </c>
      <c r="S119" s="5">
        <v>107.35</v>
      </c>
      <c r="T119" s="5">
        <v>109.5</v>
      </c>
      <c r="U119" s="5">
        <v>106.75</v>
      </c>
      <c r="V119" s="5">
        <v>107.5</v>
      </c>
      <c r="W119" s="5">
        <v>326700</v>
      </c>
      <c r="Y119" s="6">
        <f t="shared" si="2"/>
        <v>39960</v>
      </c>
      <c r="Z119" s="5">
        <f t="shared" si="3"/>
        <v>1982.01</v>
      </c>
      <c r="AA119" s="5">
        <v>123.5</v>
      </c>
      <c r="AB119" s="5">
        <v>81.06</v>
      </c>
    </row>
    <row r="120" spans="1:28" x14ac:dyDescent="0.3">
      <c r="A120" s="6">
        <v>38329</v>
      </c>
      <c r="B120" s="7">
        <v>0.66666666666666663</v>
      </c>
      <c r="C120" s="5">
        <v>173</v>
      </c>
      <c r="D120" s="5">
        <v>173.5</v>
      </c>
      <c r="E120" s="5">
        <v>170</v>
      </c>
      <c r="F120" s="5">
        <v>172</v>
      </c>
      <c r="G120" s="5">
        <v>7300</v>
      </c>
      <c r="I120" s="6">
        <v>39961</v>
      </c>
      <c r="J120" s="7">
        <v>0.66666666666666663</v>
      </c>
      <c r="K120" s="5">
        <v>1982.01</v>
      </c>
      <c r="L120" s="5">
        <v>1988</v>
      </c>
      <c r="M120" s="5">
        <v>1951</v>
      </c>
      <c r="N120" s="5">
        <v>1988</v>
      </c>
      <c r="O120" s="5">
        <v>400</v>
      </c>
      <c r="Q120" s="6">
        <v>38322</v>
      </c>
      <c r="R120" s="7">
        <v>0.66666666666666663</v>
      </c>
      <c r="S120" s="5">
        <v>107.5</v>
      </c>
      <c r="T120" s="5">
        <v>111</v>
      </c>
      <c r="U120" s="5">
        <v>107.25</v>
      </c>
      <c r="V120" s="5">
        <v>108.1</v>
      </c>
      <c r="W120" s="5">
        <v>1391100</v>
      </c>
      <c r="Y120" s="6">
        <f t="shared" si="2"/>
        <v>39961</v>
      </c>
      <c r="Z120" s="5">
        <f t="shared" si="3"/>
        <v>1988</v>
      </c>
      <c r="AA120" s="5">
        <v>125.2</v>
      </c>
      <c r="AB120" s="5">
        <v>82.6</v>
      </c>
    </row>
    <row r="121" spans="1:28" x14ac:dyDescent="0.3">
      <c r="A121" s="6">
        <v>38330</v>
      </c>
      <c r="B121" s="7">
        <v>0.66666666666666663</v>
      </c>
      <c r="C121" s="5">
        <v>172</v>
      </c>
      <c r="D121" s="5">
        <v>173</v>
      </c>
      <c r="E121" s="5">
        <v>171</v>
      </c>
      <c r="F121" s="5">
        <v>171.25</v>
      </c>
      <c r="G121" s="5">
        <v>6700</v>
      </c>
      <c r="I121" s="6">
        <v>39962</v>
      </c>
      <c r="J121" s="7">
        <v>0.66666666666666663</v>
      </c>
      <c r="K121" s="5">
        <v>1988</v>
      </c>
      <c r="L121" s="5">
        <v>2000</v>
      </c>
      <c r="M121" s="5">
        <v>1976</v>
      </c>
      <c r="N121" s="5">
        <v>2000</v>
      </c>
      <c r="O121" s="5">
        <v>140</v>
      </c>
      <c r="Q121" s="6">
        <v>38323</v>
      </c>
      <c r="R121" s="7">
        <v>0.66666666666666663</v>
      </c>
      <c r="S121" s="5">
        <v>108.1</v>
      </c>
      <c r="T121" s="5">
        <v>109</v>
      </c>
      <c r="U121" s="5">
        <v>106</v>
      </c>
      <c r="V121" s="5">
        <v>106.1</v>
      </c>
      <c r="W121" s="5">
        <v>485300</v>
      </c>
      <c r="Y121" s="6">
        <f t="shared" si="2"/>
        <v>39962</v>
      </c>
      <c r="Z121" s="5">
        <f t="shared" si="3"/>
        <v>2000</v>
      </c>
      <c r="AA121" s="5">
        <v>127.18</v>
      </c>
      <c r="AB121" s="5">
        <v>83.29</v>
      </c>
    </row>
    <row r="122" spans="1:28" x14ac:dyDescent="0.3">
      <c r="A122" s="6">
        <v>38331</v>
      </c>
      <c r="B122" s="7">
        <v>0.66666666666666663</v>
      </c>
      <c r="C122" s="5">
        <v>174.75</v>
      </c>
      <c r="D122" s="5">
        <v>174.75</v>
      </c>
      <c r="E122" s="5">
        <v>172</v>
      </c>
      <c r="F122" s="5">
        <v>172.5</v>
      </c>
      <c r="G122" s="5">
        <v>10000</v>
      </c>
      <c r="I122" s="6">
        <v>39967</v>
      </c>
      <c r="J122" s="7">
        <v>0.66666666666666663</v>
      </c>
      <c r="K122" s="5">
        <v>1971.01</v>
      </c>
      <c r="L122" s="5">
        <v>1971.01</v>
      </c>
      <c r="M122" s="5">
        <v>1955</v>
      </c>
      <c r="N122" s="5">
        <v>1971.01</v>
      </c>
      <c r="O122" s="5">
        <v>60</v>
      </c>
      <c r="Q122" s="6">
        <v>38324</v>
      </c>
      <c r="R122" s="7">
        <v>0.66666666666666663</v>
      </c>
      <c r="S122" s="5">
        <v>106.1</v>
      </c>
      <c r="T122" s="5">
        <v>107.25</v>
      </c>
      <c r="U122" s="5">
        <v>106.05</v>
      </c>
      <c r="V122" s="5">
        <v>106.5</v>
      </c>
      <c r="W122" s="5">
        <v>203900</v>
      </c>
      <c r="Y122" s="6">
        <f t="shared" si="2"/>
        <v>39967</v>
      </c>
      <c r="Z122" s="5">
        <f t="shared" si="3"/>
        <v>1971.01</v>
      </c>
      <c r="AA122" s="5">
        <v>117.7</v>
      </c>
      <c r="AB122" s="5">
        <v>81.25</v>
      </c>
    </row>
    <row r="123" spans="1:28" x14ac:dyDescent="0.3">
      <c r="A123" s="6">
        <v>38334</v>
      </c>
      <c r="B123" s="7">
        <v>0.66666666666666663</v>
      </c>
      <c r="C123" s="5">
        <v>173.05</v>
      </c>
      <c r="D123" s="5">
        <v>177</v>
      </c>
      <c r="E123" s="5">
        <v>172.5</v>
      </c>
      <c r="F123" s="5">
        <v>176.85</v>
      </c>
      <c r="G123" s="5">
        <v>8900</v>
      </c>
      <c r="I123" s="6">
        <v>39968</v>
      </c>
      <c r="J123" s="7">
        <v>0.66666666666666663</v>
      </c>
      <c r="K123" s="5">
        <v>1966.01</v>
      </c>
      <c r="L123" s="5">
        <v>1966.01</v>
      </c>
      <c r="M123" s="5">
        <v>1950.67</v>
      </c>
      <c r="N123" s="5">
        <v>1966.01</v>
      </c>
      <c r="O123" s="5">
        <v>60</v>
      </c>
      <c r="Q123" s="6">
        <v>38327</v>
      </c>
      <c r="R123" s="7">
        <v>0.66666666666666663</v>
      </c>
      <c r="S123" s="5">
        <v>106.5</v>
      </c>
      <c r="T123" s="5">
        <v>108.2</v>
      </c>
      <c r="U123" s="5">
        <v>106</v>
      </c>
      <c r="V123" s="5">
        <v>107.15</v>
      </c>
      <c r="W123" s="5">
        <v>241600</v>
      </c>
      <c r="Y123" s="6">
        <f t="shared" si="2"/>
        <v>39968</v>
      </c>
      <c r="Z123" s="5">
        <f t="shared" si="3"/>
        <v>1966.01</v>
      </c>
      <c r="AA123" s="5">
        <v>118.64</v>
      </c>
      <c r="AB123" s="5">
        <v>80.06</v>
      </c>
    </row>
    <row r="124" spans="1:28" x14ac:dyDescent="0.3">
      <c r="A124" s="6">
        <v>38335</v>
      </c>
      <c r="B124" s="7">
        <v>0.66666666666666663</v>
      </c>
      <c r="C124" s="5">
        <v>176.85</v>
      </c>
      <c r="D124" s="5">
        <v>176.85</v>
      </c>
      <c r="E124" s="5">
        <v>174.1</v>
      </c>
      <c r="F124" s="5">
        <v>174.1</v>
      </c>
      <c r="G124" s="5">
        <v>32200</v>
      </c>
      <c r="I124" s="6">
        <v>39972</v>
      </c>
      <c r="J124" s="7">
        <v>0.66666666666666663</v>
      </c>
      <c r="K124" s="5">
        <v>1961</v>
      </c>
      <c r="L124" s="5">
        <v>1961</v>
      </c>
      <c r="M124" s="5">
        <v>1961</v>
      </c>
      <c r="N124" s="5">
        <v>1961</v>
      </c>
      <c r="O124" s="5">
        <v>40</v>
      </c>
      <c r="Q124" s="6">
        <v>38328</v>
      </c>
      <c r="R124" s="7">
        <v>0.66666666666666663</v>
      </c>
      <c r="S124" s="5">
        <v>107.15</v>
      </c>
      <c r="T124" s="5">
        <v>109.45</v>
      </c>
      <c r="U124" s="5">
        <v>107.05</v>
      </c>
      <c r="V124" s="5">
        <v>109.15</v>
      </c>
      <c r="W124" s="5">
        <v>528600</v>
      </c>
      <c r="Y124" s="6">
        <f t="shared" si="2"/>
        <v>39972</v>
      </c>
      <c r="Z124" s="5">
        <f t="shared" si="3"/>
        <v>1961</v>
      </c>
      <c r="AA124" s="5">
        <v>120.25</v>
      </c>
      <c r="AB124" s="5">
        <v>80.260000000000005</v>
      </c>
    </row>
    <row r="125" spans="1:28" x14ac:dyDescent="0.3">
      <c r="A125" s="6">
        <v>38336</v>
      </c>
      <c r="B125" s="7">
        <v>0.66666666666666663</v>
      </c>
      <c r="C125" s="5">
        <v>176</v>
      </c>
      <c r="D125" s="5">
        <v>177</v>
      </c>
      <c r="E125" s="5">
        <v>174.15</v>
      </c>
      <c r="F125" s="5">
        <v>174.9</v>
      </c>
      <c r="G125" s="5">
        <v>3600</v>
      </c>
      <c r="I125" s="6">
        <v>39973</v>
      </c>
      <c r="J125" s="7">
        <v>0.66666666666666663</v>
      </c>
      <c r="K125" s="5">
        <v>1960.03</v>
      </c>
      <c r="L125" s="5">
        <v>1960.03</v>
      </c>
      <c r="M125" s="5">
        <v>1960.03</v>
      </c>
      <c r="N125" s="5">
        <v>1960.03</v>
      </c>
      <c r="O125" s="5">
        <v>20</v>
      </c>
      <c r="Q125" s="6">
        <v>38329</v>
      </c>
      <c r="R125" s="7">
        <v>0.66666666666666663</v>
      </c>
      <c r="S125" s="5">
        <v>109.15</v>
      </c>
      <c r="T125" s="5">
        <v>109.45</v>
      </c>
      <c r="U125" s="5">
        <v>108.5</v>
      </c>
      <c r="V125" s="5">
        <v>108.65</v>
      </c>
      <c r="W125" s="5">
        <v>183200</v>
      </c>
      <c r="Y125" s="6">
        <f t="shared" si="2"/>
        <v>39973</v>
      </c>
      <c r="Z125" s="5">
        <f t="shared" si="3"/>
        <v>1960.03</v>
      </c>
      <c r="AA125" s="5">
        <v>126.08</v>
      </c>
      <c r="AB125" s="5">
        <v>82</v>
      </c>
    </row>
    <row r="126" spans="1:28" x14ac:dyDescent="0.3">
      <c r="A126" s="6">
        <v>38337</v>
      </c>
      <c r="B126" s="7">
        <v>0.66666666666666663</v>
      </c>
      <c r="C126" s="5">
        <v>175</v>
      </c>
      <c r="D126" s="5">
        <v>176</v>
      </c>
      <c r="E126" s="5">
        <v>174</v>
      </c>
      <c r="F126" s="5">
        <v>174</v>
      </c>
      <c r="G126" s="5">
        <v>4000</v>
      </c>
      <c r="I126" s="6">
        <v>39974</v>
      </c>
      <c r="J126" s="7">
        <v>0.66666666666666663</v>
      </c>
      <c r="K126" s="5">
        <v>1960.03</v>
      </c>
      <c r="L126" s="5">
        <v>1975</v>
      </c>
      <c r="M126" s="5">
        <v>1890</v>
      </c>
      <c r="N126" s="5">
        <v>1950.04</v>
      </c>
      <c r="O126" s="5">
        <v>260</v>
      </c>
      <c r="Q126" s="6">
        <v>38330</v>
      </c>
      <c r="R126" s="7">
        <v>0.66666666666666663</v>
      </c>
      <c r="S126" s="5">
        <v>108.65</v>
      </c>
      <c r="T126" s="5">
        <v>110.3</v>
      </c>
      <c r="U126" s="5">
        <v>108.5</v>
      </c>
      <c r="V126" s="5">
        <v>109.1</v>
      </c>
      <c r="W126" s="5">
        <v>268600</v>
      </c>
      <c r="Y126" s="6">
        <f t="shared" si="2"/>
        <v>39974</v>
      </c>
      <c r="Z126" s="5">
        <f t="shared" si="3"/>
        <v>1950.04</v>
      </c>
      <c r="AA126" s="5">
        <v>123.98</v>
      </c>
      <c r="AB126" s="5">
        <v>81.08</v>
      </c>
    </row>
    <row r="127" spans="1:28" x14ac:dyDescent="0.3">
      <c r="A127" s="6">
        <v>38338</v>
      </c>
      <c r="B127" s="7">
        <v>0.66666666666666663</v>
      </c>
      <c r="C127" s="5">
        <v>174.25</v>
      </c>
      <c r="D127" s="5">
        <v>175.5</v>
      </c>
      <c r="E127" s="5">
        <v>174.25</v>
      </c>
      <c r="F127" s="5">
        <v>175.1</v>
      </c>
      <c r="G127" s="5">
        <v>3000</v>
      </c>
      <c r="I127" s="6">
        <v>39976</v>
      </c>
      <c r="J127" s="7">
        <v>0.66666666666666663</v>
      </c>
      <c r="K127" s="5">
        <v>1999.99</v>
      </c>
      <c r="L127" s="5">
        <v>2000</v>
      </c>
      <c r="M127" s="5">
        <v>1999.99</v>
      </c>
      <c r="N127" s="5">
        <v>2000</v>
      </c>
      <c r="O127" s="5">
        <v>40</v>
      </c>
      <c r="Q127" s="6">
        <v>38331</v>
      </c>
      <c r="R127" s="7">
        <v>0.66666666666666663</v>
      </c>
      <c r="S127" s="5">
        <v>109.1</v>
      </c>
      <c r="T127" s="5">
        <v>111.95</v>
      </c>
      <c r="U127" s="5">
        <v>107.6</v>
      </c>
      <c r="V127" s="5">
        <v>111.4</v>
      </c>
      <c r="W127" s="5">
        <v>1164700</v>
      </c>
      <c r="Y127" s="6">
        <f t="shared" si="2"/>
        <v>39976</v>
      </c>
      <c r="Z127" s="5">
        <f t="shared" si="3"/>
        <v>2000</v>
      </c>
      <c r="AA127" s="5">
        <v>123.42</v>
      </c>
      <c r="AB127" s="5">
        <v>81.97</v>
      </c>
    </row>
    <row r="128" spans="1:28" x14ac:dyDescent="0.3">
      <c r="A128" s="6">
        <v>38341</v>
      </c>
      <c r="B128" s="7">
        <v>0.66666666666666663</v>
      </c>
      <c r="C128" s="5">
        <v>175.5</v>
      </c>
      <c r="D128" s="5">
        <v>175.5</v>
      </c>
      <c r="E128" s="5">
        <v>174.5</v>
      </c>
      <c r="F128" s="5">
        <v>174.5</v>
      </c>
      <c r="G128" s="5">
        <v>6100</v>
      </c>
      <c r="I128" s="6">
        <v>39979</v>
      </c>
      <c r="J128" s="7">
        <v>0.66666666666666663</v>
      </c>
      <c r="K128" s="5">
        <v>1990</v>
      </c>
      <c r="L128" s="5">
        <v>1990</v>
      </c>
      <c r="M128" s="5">
        <v>1990</v>
      </c>
      <c r="N128" s="5">
        <v>1990</v>
      </c>
      <c r="O128" s="5">
        <v>20</v>
      </c>
      <c r="Q128" s="6">
        <v>38334</v>
      </c>
      <c r="R128" s="7">
        <v>0.66666666666666663</v>
      </c>
      <c r="S128" s="5">
        <v>111.4</v>
      </c>
      <c r="T128" s="5">
        <v>112.95</v>
      </c>
      <c r="U128" s="5">
        <v>109.5</v>
      </c>
      <c r="V128" s="5">
        <v>109.9</v>
      </c>
      <c r="W128" s="5">
        <v>569300</v>
      </c>
      <c r="Y128" s="6">
        <f t="shared" si="2"/>
        <v>39979</v>
      </c>
      <c r="Z128" s="5">
        <f t="shared" si="3"/>
        <v>1990</v>
      </c>
      <c r="AA128" s="5">
        <v>121.97</v>
      </c>
      <c r="AB128" s="5">
        <v>80.45</v>
      </c>
    </row>
    <row r="129" spans="1:28" x14ac:dyDescent="0.3">
      <c r="A129" s="6">
        <v>38342</v>
      </c>
      <c r="B129" s="7">
        <v>0.66666666666666663</v>
      </c>
      <c r="C129" s="5">
        <v>174.5</v>
      </c>
      <c r="D129" s="5">
        <v>174.5</v>
      </c>
      <c r="E129" s="5">
        <v>173</v>
      </c>
      <c r="F129" s="5">
        <v>173</v>
      </c>
      <c r="G129" s="5">
        <v>3500</v>
      </c>
      <c r="I129" s="6">
        <v>39980</v>
      </c>
      <c r="J129" s="7">
        <v>0.66666666666666663</v>
      </c>
      <c r="K129" s="5">
        <v>1951.01</v>
      </c>
      <c r="L129" s="5">
        <v>1951.01</v>
      </c>
      <c r="M129" s="5">
        <v>1900.02</v>
      </c>
      <c r="N129" s="5">
        <v>1950.75</v>
      </c>
      <c r="O129" s="5">
        <v>320</v>
      </c>
      <c r="Q129" s="6">
        <v>38335</v>
      </c>
      <c r="R129" s="7">
        <v>0.66666666666666663</v>
      </c>
      <c r="S129" s="5">
        <v>109.9</v>
      </c>
      <c r="T129" s="5">
        <v>111.7</v>
      </c>
      <c r="U129" s="5">
        <v>109.5</v>
      </c>
      <c r="V129" s="5">
        <v>110</v>
      </c>
      <c r="W129" s="5">
        <v>290300</v>
      </c>
      <c r="Y129" s="6">
        <f t="shared" si="2"/>
        <v>39980</v>
      </c>
      <c r="Z129" s="5">
        <f t="shared" si="3"/>
        <v>1950.75</v>
      </c>
      <c r="AA129" s="5">
        <v>122.26</v>
      </c>
      <c r="AB129" s="5">
        <v>81.569999999999993</v>
      </c>
    </row>
    <row r="130" spans="1:28" x14ac:dyDescent="0.3">
      <c r="A130" s="6">
        <v>38343</v>
      </c>
      <c r="B130" s="7">
        <v>0.66666666666666663</v>
      </c>
      <c r="C130" s="5">
        <v>174.5</v>
      </c>
      <c r="D130" s="5">
        <v>175.5</v>
      </c>
      <c r="E130" s="5">
        <v>174</v>
      </c>
      <c r="F130" s="5">
        <v>175.5</v>
      </c>
      <c r="G130" s="5">
        <v>900</v>
      </c>
      <c r="I130" s="6">
        <v>39982</v>
      </c>
      <c r="J130" s="7">
        <v>0.66666666666666663</v>
      </c>
      <c r="K130" s="5">
        <v>1950</v>
      </c>
      <c r="L130" s="5">
        <v>1950</v>
      </c>
      <c r="M130" s="5">
        <v>1950</v>
      </c>
      <c r="N130" s="5">
        <v>1950</v>
      </c>
      <c r="O130" s="5">
        <v>20</v>
      </c>
      <c r="Q130" s="6">
        <v>38336</v>
      </c>
      <c r="R130" s="7">
        <v>0.66666666666666663</v>
      </c>
      <c r="S130" s="5">
        <v>110.3</v>
      </c>
      <c r="T130" s="5">
        <v>115.45</v>
      </c>
      <c r="U130" s="5">
        <v>110.3</v>
      </c>
      <c r="V130" s="5">
        <v>112.75</v>
      </c>
      <c r="W130" s="5">
        <v>1133800</v>
      </c>
      <c r="Y130" s="6">
        <f t="shared" si="2"/>
        <v>39982</v>
      </c>
      <c r="Z130" s="5">
        <f t="shared" si="3"/>
        <v>1950</v>
      </c>
      <c r="AA130" s="5">
        <v>123.62</v>
      </c>
      <c r="AB130" s="5">
        <v>82.5</v>
      </c>
    </row>
    <row r="131" spans="1:28" x14ac:dyDescent="0.3">
      <c r="A131" s="6">
        <v>38344</v>
      </c>
      <c r="B131" s="7">
        <v>0.66666666666666663</v>
      </c>
      <c r="C131" s="5">
        <v>174</v>
      </c>
      <c r="D131" s="5">
        <v>176</v>
      </c>
      <c r="E131" s="5">
        <v>174</v>
      </c>
      <c r="F131" s="5">
        <v>175</v>
      </c>
      <c r="G131" s="5">
        <v>5400</v>
      </c>
      <c r="I131" s="6">
        <v>39983</v>
      </c>
      <c r="J131" s="7">
        <v>0.66666666666666663</v>
      </c>
      <c r="K131" s="5">
        <v>1927.0600999999999</v>
      </c>
      <c r="L131" s="5">
        <v>1927.0600999999999</v>
      </c>
      <c r="M131" s="5">
        <v>1927.02</v>
      </c>
      <c r="N131" s="5">
        <v>1927.0600999999999</v>
      </c>
      <c r="O131" s="5">
        <v>20</v>
      </c>
      <c r="Q131" s="6">
        <v>38337</v>
      </c>
      <c r="R131" s="7">
        <v>0.66666666666666663</v>
      </c>
      <c r="S131" s="5">
        <v>112.75</v>
      </c>
      <c r="T131" s="5">
        <v>114.5</v>
      </c>
      <c r="U131" s="5">
        <v>111.65</v>
      </c>
      <c r="V131" s="5">
        <v>111.65</v>
      </c>
      <c r="W131" s="5">
        <v>190700</v>
      </c>
      <c r="Y131" s="6">
        <f t="shared" si="2"/>
        <v>39983</v>
      </c>
      <c r="Z131" s="5">
        <f t="shared" si="3"/>
        <v>1927.0600999999999</v>
      </c>
      <c r="AA131" s="5">
        <v>124.22</v>
      </c>
      <c r="AB131" s="5">
        <v>82.2</v>
      </c>
    </row>
    <row r="132" spans="1:28" x14ac:dyDescent="0.3">
      <c r="A132" s="6">
        <v>38345</v>
      </c>
      <c r="B132" s="7">
        <v>0.66666666666666663</v>
      </c>
      <c r="C132" s="5">
        <v>174</v>
      </c>
      <c r="D132" s="5">
        <v>175.5</v>
      </c>
      <c r="E132" s="5">
        <v>174</v>
      </c>
      <c r="F132" s="5">
        <v>175.5</v>
      </c>
      <c r="G132" s="5">
        <v>5800</v>
      </c>
      <c r="I132" s="6">
        <v>39986</v>
      </c>
      <c r="J132" s="7">
        <v>0.66666666666666663</v>
      </c>
      <c r="K132" s="5">
        <v>1955.02</v>
      </c>
      <c r="L132" s="5">
        <v>1960</v>
      </c>
      <c r="M132" s="5">
        <v>1955.02</v>
      </c>
      <c r="N132" s="5">
        <v>1955.02</v>
      </c>
      <c r="O132" s="5">
        <v>40</v>
      </c>
      <c r="Q132" s="6">
        <v>38338</v>
      </c>
      <c r="R132" s="7">
        <v>0.66666666666666663</v>
      </c>
      <c r="S132" s="5">
        <v>111.65</v>
      </c>
      <c r="T132" s="5">
        <v>116.75</v>
      </c>
      <c r="U132" s="5">
        <v>111.4</v>
      </c>
      <c r="V132" s="5">
        <v>114.85</v>
      </c>
      <c r="W132" s="5">
        <v>882300</v>
      </c>
      <c r="Y132" s="6">
        <f t="shared" ref="Y132:Y195" si="4">I132</f>
        <v>39986</v>
      </c>
      <c r="Z132" s="5">
        <f t="shared" ref="Z132:Z195" si="5">N132</f>
        <v>1955.02</v>
      </c>
      <c r="AA132" s="5">
        <v>124.78</v>
      </c>
      <c r="AB132" s="5">
        <v>81.010000000000005</v>
      </c>
    </row>
    <row r="133" spans="1:28" x14ac:dyDescent="0.3">
      <c r="A133" s="6">
        <v>38348</v>
      </c>
      <c r="B133" s="7">
        <v>0.66666666666666663</v>
      </c>
      <c r="C133" s="5">
        <v>176</v>
      </c>
      <c r="D133" s="5">
        <v>176</v>
      </c>
      <c r="E133" s="5">
        <v>174.15</v>
      </c>
      <c r="F133" s="5">
        <v>174.15</v>
      </c>
      <c r="G133" s="5">
        <v>1600</v>
      </c>
      <c r="I133" s="6">
        <v>39987</v>
      </c>
      <c r="J133" s="7">
        <v>0.66666666666666663</v>
      </c>
      <c r="K133" s="5">
        <v>1921.02</v>
      </c>
      <c r="L133" s="5">
        <v>1921.02</v>
      </c>
      <c r="M133" s="5">
        <v>1912.05</v>
      </c>
      <c r="N133" s="5">
        <v>1921.02</v>
      </c>
      <c r="O133" s="5">
        <v>20</v>
      </c>
      <c r="Q133" s="6">
        <v>38341</v>
      </c>
      <c r="R133" s="7">
        <v>0.66666666666666663</v>
      </c>
      <c r="S133" s="5">
        <v>114.85</v>
      </c>
      <c r="T133" s="5">
        <v>115.9</v>
      </c>
      <c r="U133" s="5">
        <v>113.5</v>
      </c>
      <c r="V133" s="5">
        <v>115</v>
      </c>
      <c r="W133" s="5">
        <v>177100</v>
      </c>
      <c r="Y133" s="6">
        <f t="shared" si="4"/>
        <v>39987</v>
      </c>
      <c r="Z133" s="5">
        <f t="shared" si="5"/>
        <v>1921.02</v>
      </c>
      <c r="AA133" s="5">
        <v>126.15</v>
      </c>
      <c r="AB133" s="5">
        <v>81.099999999999994</v>
      </c>
    </row>
    <row r="134" spans="1:28" x14ac:dyDescent="0.3">
      <c r="A134" s="6">
        <v>38349</v>
      </c>
      <c r="B134" s="7">
        <v>0.66666666666666663</v>
      </c>
      <c r="C134" s="5">
        <v>175</v>
      </c>
      <c r="D134" s="5">
        <v>175.5</v>
      </c>
      <c r="E134" s="5">
        <v>174.75</v>
      </c>
      <c r="F134" s="5">
        <v>175</v>
      </c>
      <c r="G134" s="5">
        <v>5400</v>
      </c>
      <c r="I134" s="6">
        <v>39988</v>
      </c>
      <c r="J134" s="7">
        <v>0.66666666666666663</v>
      </c>
      <c r="K134" s="5">
        <v>1950.05</v>
      </c>
      <c r="L134" s="5">
        <v>1980</v>
      </c>
      <c r="M134" s="5">
        <v>1950.05</v>
      </c>
      <c r="N134" s="5">
        <v>1968.76</v>
      </c>
      <c r="O134" s="5">
        <v>220</v>
      </c>
      <c r="Q134" s="6">
        <v>38342</v>
      </c>
      <c r="R134" s="7">
        <v>0.66666666666666663</v>
      </c>
      <c r="S134" s="5">
        <v>115</v>
      </c>
      <c r="T134" s="5">
        <v>115.8</v>
      </c>
      <c r="U134" s="5">
        <v>114</v>
      </c>
      <c r="V134" s="5">
        <v>115</v>
      </c>
      <c r="W134" s="5">
        <v>48300</v>
      </c>
      <c r="Y134" s="6">
        <f t="shared" si="4"/>
        <v>39988</v>
      </c>
      <c r="Z134" s="5">
        <f t="shared" si="5"/>
        <v>1968.76</v>
      </c>
      <c r="AA134" s="5">
        <v>125.57</v>
      </c>
      <c r="AB134" s="5">
        <v>79.319999999999993</v>
      </c>
    </row>
    <row r="135" spans="1:28" x14ac:dyDescent="0.3">
      <c r="A135" s="6">
        <v>38350</v>
      </c>
      <c r="B135" s="7">
        <v>0.66666666666666663</v>
      </c>
      <c r="C135" s="5">
        <v>176</v>
      </c>
      <c r="D135" s="5">
        <v>176</v>
      </c>
      <c r="E135" s="5">
        <v>175.15</v>
      </c>
      <c r="F135" s="5">
        <v>176</v>
      </c>
      <c r="G135" s="5">
        <v>1000</v>
      </c>
      <c r="I135" s="6">
        <v>39989</v>
      </c>
      <c r="J135" s="7">
        <v>0.66666666666666663</v>
      </c>
      <c r="K135" s="5">
        <v>1968.76</v>
      </c>
      <c r="L135" s="5">
        <v>1975</v>
      </c>
      <c r="M135" s="5">
        <v>1950.04</v>
      </c>
      <c r="N135" s="5">
        <v>1973.4399000000001</v>
      </c>
      <c r="O135" s="5">
        <v>380</v>
      </c>
      <c r="Q135" s="6">
        <v>38343</v>
      </c>
      <c r="R135" s="7">
        <v>0.66666666666666663</v>
      </c>
      <c r="S135" s="5">
        <v>115.25</v>
      </c>
      <c r="T135" s="5">
        <v>119.85</v>
      </c>
      <c r="U135" s="5">
        <v>115.25</v>
      </c>
      <c r="V135" s="5">
        <v>119.15</v>
      </c>
      <c r="W135" s="5">
        <v>566200</v>
      </c>
      <c r="Y135" s="6">
        <f t="shared" si="4"/>
        <v>39989</v>
      </c>
      <c r="Z135" s="5">
        <f t="shared" si="5"/>
        <v>1973.4399000000001</v>
      </c>
      <c r="AA135" s="5">
        <v>125.61</v>
      </c>
      <c r="AB135" s="5">
        <v>79.459999999999994</v>
      </c>
    </row>
    <row r="136" spans="1:28" x14ac:dyDescent="0.3">
      <c r="A136" s="6">
        <v>38351</v>
      </c>
      <c r="B136" s="7">
        <v>0.66666666666666663</v>
      </c>
      <c r="C136" s="5">
        <v>175.25</v>
      </c>
      <c r="D136" s="5">
        <v>176.1</v>
      </c>
      <c r="E136" s="5">
        <v>175</v>
      </c>
      <c r="F136" s="5">
        <v>176.1</v>
      </c>
      <c r="G136" s="5">
        <v>3200</v>
      </c>
      <c r="I136" s="6">
        <v>39990</v>
      </c>
      <c r="J136" s="7">
        <v>0.66666666666666663</v>
      </c>
      <c r="K136" s="5">
        <v>1910.05</v>
      </c>
      <c r="L136" s="5">
        <v>1910.05</v>
      </c>
      <c r="M136" s="5">
        <v>1900.05</v>
      </c>
      <c r="N136" s="5">
        <v>1910.03</v>
      </c>
      <c r="O136" s="5">
        <v>60</v>
      </c>
      <c r="Q136" s="6">
        <v>38344</v>
      </c>
      <c r="R136" s="7">
        <v>0.66666666666666663</v>
      </c>
      <c r="S136" s="5">
        <v>119.15</v>
      </c>
      <c r="T136" s="5">
        <v>119.95</v>
      </c>
      <c r="U136" s="5">
        <v>117.9</v>
      </c>
      <c r="V136" s="5">
        <v>118.5</v>
      </c>
      <c r="W136" s="5">
        <v>181400</v>
      </c>
      <c r="Y136" s="6">
        <f t="shared" si="4"/>
        <v>39990</v>
      </c>
      <c r="Z136" s="5">
        <f t="shared" si="5"/>
        <v>1910.03</v>
      </c>
      <c r="AA136" s="5">
        <v>126.65</v>
      </c>
      <c r="AB136" s="5">
        <v>81.93</v>
      </c>
    </row>
    <row r="137" spans="1:28" x14ac:dyDescent="0.3">
      <c r="A137" s="6">
        <v>38352</v>
      </c>
      <c r="B137" s="7">
        <v>0.66666666666666663</v>
      </c>
      <c r="C137" s="5">
        <v>177</v>
      </c>
      <c r="D137" s="5">
        <v>177</v>
      </c>
      <c r="E137" s="5">
        <v>175.15</v>
      </c>
      <c r="F137" s="5">
        <v>175.15</v>
      </c>
      <c r="G137" s="5">
        <v>600</v>
      </c>
      <c r="I137" s="6">
        <v>39993</v>
      </c>
      <c r="J137" s="7">
        <v>0.66666666666666663</v>
      </c>
      <c r="K137" s="5">
        <v>1921.05</v>
      </c>
      <c r="L137" s="5">
        <v>1950</v>
      </c>
      <c r="M137" s="5">
        <v>1921.05</v>
      </c>
      <c r="N137" s="5">
        <v>1930.7</v>
      </c>
      <c r="O137" s="5">
        <v>80</v>
      </c>
      <c r="Q137" s="6">
        <v>38345</v>
      </c>
      <c r="R137" s="7">
        <v>0.66666666666666663</v>
      </c>
      <c r="S137" s="5">
        <v>118.5</v>
      </c>
      <c r="T137" s="5">
        <v>119.95</v>
      </c>
      <c r="U137" s="5">
        <v>117.2</v>
      </c>
      <c r="V137" s="5">
        <v>118.5</v>
      </c>
      <c r="W137" s="5">
        <v>150200</v>
      </c>
      <c r="Y137" s="6">
        <f t="shared" si="4"/>
        <v>39993</v>
      </c>
      <c r="Z137" s="5">
        <f t="shared" si="5"/>
        <v>1930.7</v>
      </c>
      <c r="AA137" s="5">
        <v>126.32</v>
      </c>
      <c r="AB137" s="5">
        <v>81.02</v>
      </c>
    </row>
    <row r="138" spans="1:28" x14ac:dyDescent="0.3">
      <c r="A138" s="6">
        <v>38355</v>
      </c>
      <c r="B138" s="7">
        <v>0.66666666666666663</v>
      </c>
      <c r="C138" s="5">
        <v>175.25</v>
      </c>
      <c r="D138" s="5">
        <v>175.25</v>
      </c>
      <c r="E138" s="5">
        <v>173</v>
      </c>
      <c r="F138" s="5">
        <v>173</v>
      </c>
      <c r="G138" s="5">
        <v>2500</v>
      </c>
      <c r="I138" s="6">
        <v>39994</v>
      </c>
      <c r="J138" s="7">
        <v>0.66666666666666663</v>
      </c>
      <c r="K138" s="5">
        <v>1950.01</v>
      </c>
      <c r="L138" s="5">
        <v>1975</v>
      </c>
      <c r="M138" s="5">
        <v>1950.01</v>
      </c>
      <c r="N138" s="5">
        <v>1950.11</v>
      </c>
      <c r="O138" s="5">
        <v>720</v>
      </c>
      <c r="Q138" s="6">
        <v>38348</v>
      </c>
      <c r="R138" s="7">
        <v>0.66666666666666663</v>
      </c>
      <c r="S138" s="5">
        <v>118.5</v>
      </c>
      <c r="T138" s="5">
        <v>122</v>
      </c>
      <c r="U138" s="5">
        <v>118.5</v>
      </c>
      <c r="V138" s="5">
        <v>119.9</v>
      </c>
      <c r="W138" s="5">
        <v>206900</v>
      </c>
      <c r="Y138" s="6">
        <f t="shared" si="4"/>
        <v>39994</v>
      </c>
      <c r="Z138" s="5">
        <f t="shared" si="5"/>
        <v>1950.11</v>
      </c>
      <c r="AA138" s="5">
        <v>124.79</v>
      </c>
      <c r="AB138" s="5">
        <v>80.2</v>
      </c>
    </row>
    <row r="139" spans="1:28" x14ac:dyDescent="0.3">
      <c r="A139" s="6">
        <v>38356</v>
      </c>
      <c r="B139" s="7">
        <v>0.66666666666666663</v>
      </c>
      <c r="C139" s="5">
        <v>173.5</v>
      </c>
      <c r="D139" s="5">
        <v>175.9</v>
      </c>
      <c r="E139" s="5">
        <v>172</v>
      </c>
      <c r="F139" s="5">
        <v>175</v>
      </c>
      <c r="G139" s="5">
        <v>5300</v>
      </c>
      <c r="I139" s="6">
        <v>39995</v>
      </c>
      <c r="J139" s="7">
        <v>0.66666666666666663</v>
      </c>
      <c r="K139" s="5">
        <v>1950.55</v>
      </c>
      <c r="L139" s="5">
        <v>1950.55</v>
      </c>
      <c r="M139" s="5">
        <v>1950.55</v>
      </c>
      <c r="N139" s="5">
        <v>1950.55</v>
      </c>
      <c r="O139" s="5">
        <v>20</v>
      </c>
      <c r="Q139" s="6">
        <v>38349</v>
      </c>
      <c r="R139" s="7">
        <v>0.66666666666666663</v>
      </c>
      <c r="S139" s="5">
        <v>119.9</v>
      </c>
      <c r="T139" s="5">
        <v>121</v>
      </c>
      <c r="U139" s="5">
        <v>118.5</v>
      </c>
      <c r="V139" s="5">
        <v>119</v>
      </c>
      <c r="W139" s="5">
        <v>55700</v>
      </c>
      <c r="Y139" s="6">
        <f t="shared" si="4"/>
        <v>39995</v>
      </c>
      <c r="Z139" s="5">
        <f t="shared" si="5"/>
        <v>1950.55</v>
      </c>
      <c r="AA139" s="5">
        <v>131.02000000000001</v>
      </c>
      <c r="AB139" s="5">
        <v>81.349999999999994</v>
      </c>
    </row>
    <row r="140" spans="1:28" x14ac:dyDescent="0.3">
      <c r="A140" s="6">
        <v>38357</v>
      </c>
      <c r="B140" s="7">
        <v>0.66666666666666663</v>
      </c>
      <c r="C140" s="5">
        <v>180</v>
      </c>
      <c r="D140" s="5">
        <v>180</v>
      </c>
      <c r="E140" s="5">
        <v>175</v>
      </c>
      <c r="F140" s="5">
        <v>176</v>
      </c>
      <c r="G140" s="5">
        <v>5200</v>
      </c>
      <c r="I140" s="6">
        <v>39996</v>
      </c>
      <c r="J140" s="7">
        <v>0.66666666666666663</v>
      </c>
      <c r="K140" s="5">
        <v>1975</v>
      </c>
      <c r="L140" s="5">
        <v>1975</v>
      </c>
      <c r="M140" s="5">
        <v>1975</v>
      </c>
      <c r="N140" s="5">
        <v>1975</v>
      </c>
      <c r="O140" s="5">
        <v>1740</v>
      </c>
      <c r="Q140" s="6">
        <v>38350</v>
      </c>
      <c r="R140" s="7">
        <v>0.66666666666666663</v>
      </c>
      <c r="S140" s="5">
        <v>119</v>
      </c>
      <c r="T140" s="5">
        <v>119.9</v>
      </c>
      <c r="U140" s="5">
        <v>118.25</v>
      </c>
      <c r="V140" s="5">
        <v>118.5</v>
      </c>
      <c r="W140" s="5">
        <v>65300</v>
      </c>
      <c r="Y140" s="6">
        <f t="shared" si="4"/>
        <v>39996</v>
      </c>
      <c r="Z140" s="5">
        <f t="shared" si="5"/>
        <v>1975</v>
      </c>
      <c r="AA140" s="5">
        <v>137.57</v>
      </c>
      <c r="AB140" s="5">
        <v>81.760000000000005</v>
      </c>
    </row>
    <row r="141" spans="1:28" x14ac:dyDescent="0.3">
      <c r="A141" s="6">
        <v>38358</v>
      </c>
      <c r="B141" s="7">
        <v>0.66666666666666663</v>
      </c>
      <c r="C141" s="5">
        <v>177</v>
      </c>
      <c r="D141" s="5">
        <v>177</v>
      </c>
      <c r="E141" s="5">
        <v>176</v>
      </c>
      <c r="F141" s="5">
        <v>176.5</v>
      </c>
      <c r="G141" s="5">
        <v>4300</v>
      </c>
      <c r="I141" s="6">
        <v>39997</v>
      </c>
      <c r="J141" s="7">
        <v>0.66666666666666663</v>
      </c>
      <c r="K141" s="5">
        <v>1960</v>
      </c>
      <c r="L141" s="5">
        <v>1960</v>
      </c>
      <c r="M141" s="5">
        <v>1955.02</v>
      </c>
      <c r="N141" s="5">
        <v>1956.4399000000001</v>
      </c>
      <c r="O141" s="5">
        <v>140</v>
      </c>
      <c r="Q141" s="6">
        <v>38351</v>
      </c>
      <c r="R141" s="7">
        <v>0.66666666666666663</v>
      </c>
      <c r="S141" s="5">
        <v>118.5</v>
      </c>
      <c r="T141" s="5">
        <v>120.15</v>
      </c>
      <c r="U141" s="5">
        <v>117.25</v>
      </c>
      <c r="V141" s="5">
        <v>117.25</v>
      </c>
      <c r="W141" s="5">
        <v>114500</v>
      </c>
      <c r="Y141" s="6">
        <f t="shared" si="4"/>
        <v>39997</v>
      </c>
      <c r="Z141" s="5">
        <f t="shared" si="5"/>
        <v>1956.4399000000001</v>
      </c>
      <c r="AA141" s="5">
        <v>144.36000000000001</v>
      </c>
      <c r="AB141" s="5">
        <v>81.03</v>
      </c>
    </row>
    <row r="142" spans="1:28" x14ac:dyDescent="0.3">
      <c r="A142" s="6">
        <v>38359</v>
      </c>
      <c r="B142" s="7">
        <v>0.66666666666666663</v>
      </c>
      <c r="C142" s="5">
        <v>177.5</v>
      </c>
      <c r="D142" s="5">
        <v>180</v>
      </c>
      <c r="E142" s="5">
        <v>177.5</v>
      </c>
      <c r="F142" s="5">
        <v>180</v>
      </c>
      <c r="G142" s="5">
        <v>7500</v>
      </c>
      <c r="I142" s="6">
        <v>40000</v>
      </c>
      <c r="J142" s="7">
        <v>0.66666666666666663</v>
      </c>
      <c r="K142" s="5">
        <v>1956.4399000000001</v>
      </c>
      <c r="L142" s="5">
        <v>1994.99</v>
      </c>
      <c r="M142" s="5">
        <v>1951</v>
      </c>
      <c r="N142" s="5">
        <v>1960.03</v>
      </c>
      <c r="O142" s="5">
        <v>60</v>
      </c>
      <c r="Q142" s="6">
        <v>38352</v>
      </c>
      <c r="R142" s="7">
        <v>0.66666666666666663</v>
      </c>
      <c r="S142" s="5">
        <v>118</v>
      </c>
      <c r="T142" s="5">
        <v>126</v>
      </c>
      <c r="U142" s="5">
        <v>118</v>
      </c>
      <c r="V142" s="5">
        <v>126</v>
      </c>
      <c r="W142" s="5">
        <v>936500</v>
      </c>
      <c r="Y142" s="6">
        <f t="shared" si="4"/>
        <v>40000</v>
      </c>
      <c r="Z142" s="5">
        <f t="shared" si="5"/>
        <v>1960.03</v>
      </c>
      <c r="AA142" s="5">
        <v>143.18</v>
      </c>
      <c r="AB142" s="5">
        <v>81</v>
      </c>
    </row>
    <row r="143" spans="1:28" x14ac:dyDescent="0.3">
      <c r="A143" s="6">
        <v>38362</v>
      </c>
      <c r="B143" s="7">
        <v>0.66666666666666663</v>
      </c>
      <c r="C143" s="5">
        <v>181</v>
      </c>
      <c r="D143" s="5">
        <v>181.95</v>
      </c>
      <c r="E143" s="5">
        <v>179</v>
      </c>
      <c r="F143" s="5">
        <v>179</v>
      </c>
      <c r="G143" s="5">
        <v>6100</v>
      </c>
      <c r="I143" s="6">
        <v>40001</v>
      </c>
      <c r="J143" s="7">
        <v>0.66666666666666663</v>
      </c>
      <c r="K143" s="5">
        <v>1960.52</v>
      </c>
      <c r="L143" s="5">
        <v>1960.52</v>
      </c>
      <c r="M143" s="5">
        <v>1960.52</v>
      </c>
      <c r="N143" s="5">
        <v>1960.52</v>
      </c>
      <c r="O143" s="5">
        <v>40</v>
      </c>
      <c r="Q143" s="6">
        <v>38355</v>
      </c>
      <c r="R143" s="7">
        <v>0.66666666666666663</v>
      </c>
      <c r="S143" s="5">
        <v>126</v>
      </c>
      <c r="T143" s="5">
        <v>127.5</v>
      </c>
      <c r="U143" s="5">
        <v>125</v>
      </c>
      <c r="V143" s="5">
        <v>126.2</v>
      </c>
      <c r="W143" s="5">
        <v>454300</v>
      </c>
      <c r="Y143" s="6">
        <f t="shared" si="4"/>
        <v>40001</v>
      </c>
      <c r="Z143" s="5">
        <f t="shared" si="5"/>
        <v>1960.52</v>
      </c>
      <c r="AA143" s="5">
        <v>142.55000000000001</v>
      </c>
      <c r="AB143" s="5">
        <v>81</v>
      </c>
    </row>
    <row r="144" spans="1:28" x14ac:dyDescent="0.3">
      <c r="A144" s="6">
        <v>38363</v>
      </c>
      <c r="B144" s="7">
        <v>0.66666666666666663</v>
      </c>
      <c r="C144" s="5">
        <v>180</v>
      </c>
      <c r="D144" s="5">
        <v>181</v>
      </c>
      <c r="E144" s="5">
        <v>179.25</v>
      </c>
      <c r="F144" s="5">
        <v>179.25</v>
      </c>
      <c r="G144" s="5">
        <v>5700</v>
      </c>
      <c r="I144" s="6">
        <v>40002</v>
      </c>
      <c r="J144" s="7">
        <v>0.66666666666666663</v>
      </c>
      <c r="K144" s="5">
        <v>1960.52</v>
      </c>
      <c r="L144" s="5">
        <v>1975</v>
      </c>
      <c r="M144" s="5">
        <v>1960</v>
      </c>
      <c r="N144" s="5">
        <v>1960.01</v>
      </c>
      <c r="O144" s="5">
        <v>260</v>
      </c>
      <c r="Q144" s="6">
        <v>38356</v>
      </c>
      <c r="R144" s="7">
        <v>0.66666666666666663</v>
      </c>
      <c r="S144" s="5">
        <v>126.2</v>
      </c>
      <c r="T144" s="5">
        <v>129.94999999999999</v>
      </c>
      <c r="U144" s="5">
        <v>125.15</v>
      </c>
      <c r="V144" s="5">
        <v>127.5</v>
      </c>
      <c r="W144" s="5">
        <v>1384500</v>
      </c>
      <c r="Y144" s="6">
        <f t="shared" si="4"/>
        <v>40002</v>
      </c>
      <c r="Z144" s="5">
        <f t="shared" si="5"/>
        <v>1960.01</v>
      </c>
      <c r="AA144" s="5">
        <v>135.53</v>
      </c>
      <c r="AB144" s="5">
        <v>80.09</v>
      </c>
    </row>
    <row r="145" spans="1:28" x14ac:dyDescent="0.3">
      <c r="A145" s="6">
        <v>38364</v>
      </c>
      <c r="B145" s="7">
        <v>0.66666666666666663</v>
      </c>
      <c r="C145" s="5">
        <v>180.5</v>
      </c>
      <c r="D145" s="5">
        <v>182</v>
      </c>
      <c r="E145" s="5">
        <v>180.5</v>
      </c>
      <c r="F145" s="5">
        <v>180.5</v>
      </c>
      <c r="G145" s="5">
        <v>3400</v>
      </c>
      <c r="I145" s="6">
        <v>40003</v>
      </c>
      <c r="J145" s="7">
        <v>0.66666666666666663</v>
      </c>
      <c r="K145" s="5">
        <v>1975</v>
      </c>
      <c r="L145" s="5">
        <v>1975</v>
      </c>
      <c r="M145" s="5">
        <v>1975</v>
      </c>
      <c r="N145" s="5">
        <v>1975</v>
      </c>
      <c r="O145" s="5">
        <v>120</v>
      </c>
      <c r="Q145" s="6">
        <v>38357</v>
      </c>
      <c r="R145" s="7">
        <v>0.66666666666666663</v>
      </c>
      <c r="S145" s="5">
        <v>127.5</v>
      </c>
      <c r="T145" s="5">
        <v>129.9</v>
      </c>
      <c r="U145" s="5">
        <v>126</v>
      </c>
      <c r="V145" s="5">
        <v>126</v>
      </c>
      <c r="W145" s="5">
        <v>588500</v>
      </c>
      <c r="Y145" s="6">
        <f t="shared" si="4"/>
        <v>40003</v>
      </c>
      <c r="Z145" s="5">
        <f t="shared" si="5"/>
        <v>1975</v>
      </c>
      <c r="AA145" s="5">
        <v>136.18</v>
      </c>
      <c r="AB145" s="5">
        <v>81.05</v>
      </c>
    </row>
    <row r="146" spans="1:28" x14ac:dyDescent="0.3">
      <c r="A146" s="6">
        <v>38365</v>
      </c>
      <c r="B146" s="7">
        <v>0.66666666666666663</v>
      </c>
      <c r="C146" s="5">
        <v>180</v>
      </c>
      <c r="D146" s="5">
        <v>182</v>
      </c>
      <c r="E146" s="5">
        <v>179</v>
      </c>
      <c r="F146" s="5">
        <v>179</v>
      </c>
      <c r="G146" s="5">
        <v>4200</v>
      </c>
      <c r="I146" s="6">
        <v>40007</v>
      </c>
      <c r="J146" s="7">
        <v>0.66666666666666663</v>
      </c>
      <c r="K146" s="5">
        <v>1975</v>
      </c>
      <c r="L146" s="5">
        <v>1975</v>
      </c>
      <c r="M146" s="5">
        <v>1975</v>
      </c>
      <c r="N146" s="5">
        <v>1975</v>
      </c>
      <c r="O146" s="5">
        <v>60</v>
      </c>
      <c r="Q146" s="6">
        <v>38358</v>
      </c>
      <c r="R146" s="7">
        <v>0.66666666666666663</v>
      </c>
      <c r="S146" s="5">
        <v>126</v>
      </c>
      <c r="T146" s="5">
        <v>127.6</v>
      </c>
      <c r="U146" s="5">
        <v>125</v>
      </c>
      <c r="V146" s="5">
        <v>125</v>
      </c>
      <c r="W146" s="5">
        <v>230900</v>
      </c>
      <c r="Y146" s="6">
        <f t="shared" si="4"/>
        <v>40007</v>
      </c>
      <c r="Z146" s="5">
        <f t="shared" si="5"/>
        <v>1975</v>
      </c>
      <c r="AA146" s="5">
        <v>144.87</v>
      </c>
      <c r="AB146" s="5">
        <v>82.57</v>
      </c>
    </row>
    <row r="147" spans="1:28" x14ac:dyDescent="0.3">
      <c r="A147" s="6">
        <v>38366</v>
      </c>
      <c r="B147" s="7">
        <v>0.66666666666666663</v>
      </c>
      <c r="C147" s="5">
        <v>179</v>
      </c>
      <c r="D147" s="5">
        <v>180</v>
      </c>
      <c r="E147" s="5">
        <v>179</v>
      </c>
      <c r="F147" s="5">
        <v>180</v>
      </c>
      <c r="G147" s="5">
        <v>1400</v>
      </c>
      <c r="I147" s="6">
        <v>40008</v>
      </c>
      <c r="J147" s="7">
        <v>0.66666666666666663</v>
      </c>
      <c r="K147" s="5">
        <v>1975</v>
      </c>
      <c r="L147" s="5">
        <v>1999</v>
      </c>
      <c r="M147" s="5">
        <v>1952</v>
      </c>
      <c r="N147" s="5">
        <v>1987.33</v>
      </c>
      <c r="O147" s="5">
        <v>320</v>
      </c>
      <c r="Q147" s="6">
        <v>38359</v>
      </c>
      <c r="R147" s="7">
        <v>0.66666666666666663</v>
      </c>
      <c r="S147" s="5">
        <v>125</v>
      </c>
      <c r="T147" s="5">
        <v>126</v>
      </c>
      <c r="U147" s="5">
        <v>118.75</v>
      </c>
      <c r="V147" s="5">
        <v>125</v>
      </c>
      <c r="W147" s="5">
        <v>112900</v>
      </c>
      <c r="Y147" s="6">
        <f t="shared" si="4"/>
        <v>40008</v>
      </c>
      <c r="Z147" s="5">
        <f t="shared" si="5"/>
        <v>1987.33</v>
      </c>
      <c r="AA147" s="5">
        <v>150.30000000000001</v>
      </c>
      <c r="AB147" s="5">
        <v>81.83</v>
      </c>
    </row>
    <row r="148" spans="1:28" x14ac:dyDescent="0.3">
      <c r="A148" s="6">
        <v>38369</v>
      </c>
      <c r="B148" s="7">
        <v>0.66666666666666663</v>
      </c>
      <c r="C148" s="5">
        <v>180</v>
      </c>
      <c r="D148" s="5">
        <v>181.5</v>
      </c>
      <c r="E148" s="5">
        <v>180</v>
      </c>
      <c r="F148" s="5">
        <v>181.5</v>
      </c>
      <c r="G148" s="5">
        <v>3500</v>
      </c>
      <c r="I148" s="6">
        <v>40010</v>
      </c>
      <c r="J148" s="7">
        <v>0.66666666666666663</v>
      </c>
      <c r="K148" s="5">
        <v>1987.33</v>
      </c>
      <c r="L148" s="5">
        <v>2050</v>
      </c>
      <c r="M148" s="5">
        <v>1985</v>
      </c>
      <c r="N148" s="5">
        <v>2049.73</v>
      </c>
      <c r="O148" s="5">
        <v>1360</v>
      </c>
      <c r="Q148" s="6">
        <v>38362</v>
      </c>
      <c r="R148" s="7">
        <v>0.66666666666666663</v>
      </c>
      <c r="S148" s="5">
        <v>125</v>
      </c>
      <c r="T148" s="5">
        <v>126.6</v>
      </c>
      <c r="U148" s="5">
        <v>121</v>
      </c>
      <c r="V148" s="5">
        <v>124.1</v>
      </c>
      <c r="W148" s="5">
        <v>141100</v>
      </c>
      <c r="Y148" s="6">
        <f t="shared" si="4"/>
        <v>40010</v>
      </c>
      <c r="Z148" s="5">
        <f t="shared" si="5"/>
        <v>2049.73</v>
      </c>
      <c r="AA148" s="5">
        <v>152.22999999999999</v>
      </c>
      <c r="AB148" s="5">
        <v>81.900000000000006</v>
      </c>
    </row>
    <row r="149" spans="1:28" x14ac:dyDescent="0.3">
      <c r="A149" s="6">
        <v>38370</v>
      </c>
      <c r="B149" s="7">
        <v>0.66666666666666663</v>
      </c>
      <c r="C149" s="5">
        <v>182.25</v>
      </c>
      <c r="D149" s="5">
        <v>183.75</v>
      </c>
      <c r="E149" s="5">
        <v>181.05</v>
      </c>
      <c r="F149" s="5">
        <v>181.55</v>
      </c>
      <c r="G149" s="5">
        <v>2300</v>
      </c>
      <c r="I149" s="6">
        <v>40011</v>
      </c>
      <c r="J149" s="7">
        <v>0.66666666666666663</v>
      </c>
      <c r="K149" s="5">
        <v>2049.73</v>
      </c>
      <c r="L149" s="5">
        <v>2050</v>
      </c>
      <c r="M149" s="5">
        <v>2000</v>
      </c>
      <c r="N149" s="5">
        <v>2000</v>
      </c>
      <c r="O149" s="5">
        <v>200</v>
      </c>
      <c r="Q149" s="6">
        <v>38363</v>
      </c>
      <c r="R149" s="7">
        <v>0.66666666666666663</v>
      </c>
      <c r="S149" s="5">
        <v>125</v>
      </c>
      <c r="T149" s="5">
        <v>126.5</v>
      </c>
      <c r="U149" s="5">
        <v>125</v>
      </c>
      <c r="V149" s="5">
        <v>125</v>
      </c>
      <c r="W149" s="5">
        <v>161500</v>
      </c>
      <c r="Y149" s="6">
        <f t="shared" si="4"/>
        <v>40011</v>
      </c>
      <c r="Z149" s="5">
        <f t="shared" si="5"/>
        <v>2000</v>
      </c>
      <c r="AA149" s="5">
        <v>149.24</v>
      </c>
      <c r="AB149" s="5">
        <v>82</v>
      </c>
    </row>
    <row r="150" spans="1:28" x14ac:dyDescent="0.3">
      <c r="A150" s="6">
        <v>38371</v>
      </c>
      <c r="B150" s="7">
        <v>0.66666666666666663</v>
      </c>
      <c r="C150" s="5">
        <v>184.9</v>
      </c>
      <c r="D150" s="5">
        <v>184.9</v>
      </c>
      <c r="E150" s="5">
        <v>183.5</v>
      </c>
      <c r="F150" s="5">
        <v>183.85</v>
      </c>
      <c r="G150" s="5">
        <v>2100</v>
      </c>
      <c r="I150" s="6">
        <v>40014</v>
      </c>
      <c r="J150" s="7">
        <v>0.66666666666666663</v>
      </c>
      <c r="K150" s="5">
        <v>2045</v>
      </c>
      <c r="L150" s="5">
        <v>2048</v>
      </c>
      <c r="M150" s="5">
        <v>2045</v>
      </c>
      <c r="N150" s="5">
        <v>2045</v>
      </c>
      <c r="O150" s="5">
        <v>60</v>
      </c>
      <c r="Q150" s="6">
        <v>38364</v>
      </c>
      <c r="R150" s="7">
        <v>0.66666666666666663</v>
      </c>
      <c r="S150" s="5">
        <v>125</v>
      </c>
      <c r="T150" s="5">
        <v>125.5</v>
      </c>
      <c r="U150" s="5">
        <v>122.5</v>
      </c>
      <c r="V150" s="5">
        <v>123.6</v>
      </c>
      <c r="W150" s="5">
        <v>97400</v>
      </c>
      <c r="Y150" s="6">
        <f t="shared" si="4"/>
        <v>40014</v>
      </c>
      <c r="Z150" s="5">
        <f t="shared" si="5"/>
        <v>2045</v>
      </c>
      <c r="AA150" s="5">
        <v>147.21</v>
      </c>
      <c r="AB150" s="5">
        <v>82</v>
      </c>
    </row>
    <row r="151" spans="1:28" x14ac:dyDescent="0.3">
      <c r="A151" s="6">
        <v>38376</v>
      </c>
      <c r="B151" s="7">
        <v>0.66666666666666663</v>
      </c>
      <c r="C151" s="5">
        <v>184.9</v>
      </c>
      <c r="D151" s="5">
        <v>186.25</v>
      </c>
      <c r="E151" s="5">
        <v>183</v>
      </c>
      <c r="F151" s="5">
        <v>185.5</v>
      </c>
      <c r="G151" s="5">
        <v>9600</v>
      </c>
      <c r="I151" s="6">
        <v>40015</v>
      </c>
      <c r="J151" s="7">
        <v>0.66666666666666663</v>
      </c>
      <c r="K151" s="5">
        <v>2045</v>
      </c>
      <c r="L151" s="5">
        <v>2055</v>
      </c>
      <c r="M151" s="5">
        <v>2001</v>
      </c>
      <c r="N151" s="5">
        <v>2052</v>
      </c>
      <c r="O151" s="5">
        <v>146</v>
      </c>
      <c r="Q151" s="6">
        <v>38365</v>
      </c>
      <c r="R151" s="7">
        <v>0.66666666666666663</v>
      </c>
      <c r="S151" s="5">
        <v>123.55</v>
      </c>
      <c r="T151" s="5">
        <v>123.55</v>
      </c>
      <c r="U151" s="5">
        <v>117.45</v>
      </c>
      <c r="V151" s="5">
        <v>119.05</v>
      </c>
      <c r="W151" s="5">
        <v>132500</v>
      </c>
      <c r="Y151" s="6">
        <f t="shared" si="4"/>
        <v>40015</v>
      </c>
      <c r="Z151" s="5">
        <f t="shared" si="5"/>
        <v>2052</v>
      </c>
      <c r="AA151" s="5">
        <v>147.49</v>
      </c>
      <c r="AB151" s="5">
        <v>82.98</v>
      </c>
    </row>
    <row r="152" spans="1:28" x14ac:dyDescent="0.3">
      <c r="A152" s="6">
        <v>38377</v>
      </c>
      <c r="B152" s="7">
        <v>0.66666666666666663</v>
      </c>
      <c r="C152" s="5">
        <v>189.9</v>
      </c>
      <c r="D152" s="5">
        <v>189.9</v>
      </c>
      <c r="E152" s="5">
        <v>185.5</v>
      </c>
      <c r="F152" s="5">
        <v>186.95</v>
      </c>
      <c r="G152" s="5">
        <v>5500</v>
      </c>
      <c r="I152" s="6">
        <v>40016</v>
      </c>
      <c r="J152" s="7">
        <v>0.66666666666666663</v>
      </c>
      <c r="K152" s="5">
        <v>2052</v>
      </c>
      <c r="L152" s="5">
        <v>2085</v>
      </c>
      <c r="M152" s="5">
        <v>2008</v>
      </c>
      <c r="N152" s="5">
        <v>2010</v>
      </c>
      <c r="O152" s="5">
        <v>213</v>
      </c>
      <c r="Q152" s="6">
        <v>38366</v>
      </c>
      <c r="R152" s="7">
        <v>0.66666666666666663</v>
      </c>
      <c r="S152" s="5">
        <v>119.05</v>
      </c>
      <c r="T152" s="5">
        <v>120.9</v>
      </c>
      <c r="U152" s="5">
        <v>119</v>
      </c>
      <c r="V152" s="5">
        <v>119</v>
      </c>
      <c r="W152" s="5">
        <v>154800</v>
      </c>
      <c r="Y152" s="6">
        <f t="shared" si="4"/>
        <v>40016</v>
      </c>
      <c r="Z152" s="5">
        <f t="shared" si="5"/>
        <v>2010</v>
      </c>
      <c r="AA152" s="5">
        <v>147.77000000000001</v>
      </c>
      <c r="AB152" s="5">
        <v>82.32</v>
      </c>
    </row>
    <row r="153" spans="1:28" x14ac:dyDescent="0.3">
      <c r="A153" s="6">
        <v>38378</v>
      </c>
      <c r="B153" s="7">
        <v>0.66666666666666663</v>
      </c>
      <c r="C153" s="5">
        <v>188</v>
      </c>
      <c r="D153" s="5">
        <v>189</v>
      </c>
      <c r="E153" s="5">
        <v>186</v>
      </c>
      <c r="F153" s="5">
        <v>189</v>
      </c>
      <c r="G153" s="5">
        <v>4300</v>
      </c>
      <c r="I153" s="6">
        <v>40017</v>
      </c>
      <c r="J153" s="7">
        <v>0.66666666666666663</v>
      </c>
      <c r="K153" s="5">
        <v>2013.01</v>
      </c>
      <c r="L153" s="5">
        <v>2070</v>
      </c>
      <c r="M153" s="5">
        <v>2013.01</v>
      </c>
      <c r="N153" s="5">
        <v>2013.01</v>
      </c>
      <c r="O153" s="5">
        <v>3</v>
      </c>
      <c r="Q153" s="6">
        <v>38369</v>
      </c>
      <c r="R153" s="7">
        <v>0.66666666666666663</v>
      </c>
      <c r="S153" s="5">
        <v>119</v>
      </c>
      <c r="T153" s="5">
        <v>121.5</v>
      </c>
      <c r="U153" s="5">
        <v>118.5</v>
      </c>
      <c r="V153" s="5">
        <v>119</v>
      </c>
      <c r="W153" s="5">
        <v>457800</v>
      </c>
      <c r="Y153" s="6">
        <f t="shared" si="4"/>
        <v>40017</v>
      </c>
      <c r="Z153" s="5">
        <f t="shared" si="5"/>
        <v>2013.01</v>
      </c>
      <c r="AA153" s="5">
        <v>149.91</v>
      </c>
      <c r="AB153" s="5">
        <v>83.5</v>
      </c>
    </row>
    <row r="154" spans="1:28" x14ac:dyDescent="0.3">
      <c r="A154" s="6">
        <v>38379</v>
      </c>
      <c r="B154" s="7">
        <v>0.66666666666666663</v>
      </c>
      <c r="C154" s="5">
        <v>183.05</v>
      </c>
      <c r="D154" s="5">
        <v>188.5</v>
      </c>
      <c r="E154" s="5">
        <v>183.05</v>
      </c>
      <c r="F154" s="5">
        <v>188</v>
      </c>
      <c r="G154" s="5">
        <v>1800</v>
      </c>
      <c r="I154" s="6">
        <v>40018</v>
      </c>
      <c r="J154" s="7">
        <v>0.66666666666666663</v>
      </c>
      <c r="K154" s="5">
        <v>2013.01</v>
      </c>
      <c r="L154" s="5">
        <v>2050</v>
      </c>
      <c r="M154" s="5">
        <v>1964.01</v>
      </c>
      <c r="N154" s="5">
        <v>2014.62</v>
      </c>
      <c r="O154" s="5">
        <v>493</v>
      </c>
      <c r="Q154" s="6">
        <v>38370</v>
      </c>
      <c r="R154" s="7">
        <v>0.66666666666666663</v>
      </c>
      <c r="S154" s="5">
        <v>119</v>
      </c>
      <c r="T154" s="5">
        <v>119.7</v>
      </c>
      <c r="U154" s="5">
        <v>118.3</v>
      </c>
      <c r="V154" s="5">
        <v>118.75</v>
      </c>
      <c r="W154" s="5">
        <v>99000</v>
      </c>
      <c r="Y154" s="6">
        <f t="shared" si="4"/>
        <v>40018</v>
      </c>
      <c r="Z154" s="5">
        <f t="shared" si="5"/>
        <v>2014.62</v>
      </c>
      <c r="AA154" s="5">
        <v>150.66</v>
      </c>
      <c r="AB154" s="5">
        <v>84.01</v>
      </c>
    </row>
    <row r="155" spans="1:28" x14ac:dyDescent="0.3">
      <c r="A155" s="6">
        <v>38380</v>
      </c>
      <c r="B155" s="7">
        <v>0.66666666666666663</v>
      </c>
      <c r="C155" s="5">
        <v>199.9</v>
      </c>
      <c r="D155" s="5">
        <v>202.1</v>
      </c>
      <c r="E155" s="5">
        <v>193.2</v>
      </c>
      <c r="F155" s="5">
        <v>201</v>
      </c>
      <c r="G155" s="5">
        <v>25200</v>
      </c>
      <c r="I155" s="6">
        <v>40021</v>
      </c>
      <c r="J155" s="7">
        <v>0.66666666666666663</v>
      </c>
      <c r="K155" s="5">
        <v>2014.62</v>
      </c>
      <c r="L155" s="5">
        <v>2084</v>
      </c>
      <c r="M155" s="5">
        <v>2004</v>
      </c>
      <c r="N155" s="5">
        <v>2004</v>
      </c>
      <c r="O155" s="5">
        <v>30</v>
      </c>
      <c r="Q155" s="6">
        <v>38371</v>
      </c>
      <c r="R155" s="7">
        <v>0.66666666666666663</v>
      </c>
      <c r="S155" s="5">
        <v>118.75</v>
      </c>
      <c r="T155" s="5">
        <v>122</v>
      </c>
      <c r="U155" s="5">
        <v>118.1</v>
      </c>
      <c r="V155" s="5">
        <v>119.5</v>
      </c>
      <c r="W155" s="5">
        <v>290300</v>
      </c>
      <c r="Y155" s="6">
        <f t="shared" si="4"/>
        <v>40021</v>
      </c>
      <c r="Z155" s="5">
        <f t="shared" si="5"/>
        <v>2004</v>
      </c>
      <c r="AA155" s="5">
        <v>152.13999999999999</v>
      </c>
      <c r="AB155" s="5">
        <v>88.21</v>
      </c>
    </row>
    <row r="156" spans="1:28" x14ac:dyDescent="0.3">
      <c r="A156" s="6">
        <v>38383</v>
      </c>
      <c r="B156" s="7">
        <v>0.66666666666666663</v>
      </c>
      <c r="C156" s="5">
        <v>208.5</v>
      </c>
      <c r="D156" s="5">
        <v>209.95</v>
      </c>
      <c r="E156" s="5">
        <v>202.25</v>
      </c>
      <c r="F156" s="5">
        <v>203</v>
      </c>
      <c r="G156" s="5">
        <v>22300</v>
      </c>
      <c r="I156" s="6">
        <v>40022</v>
      </c>
      <c r="J156" s="7">
        <v>0.66666666666666663</v>
      </c>
      <c r="K156" s="5">
        <v>2004</v>
      </c>
      <c r="L156" s="5">
        <v>2091.9899999999998</v>
      </c>
      <c r="M156" s="5">
        <v>1990</v>
      </c>
      <c r="N156" s="5">
        <v>2012.61</v>
      </c>
      <c r="O156" s="5">
        <v>75</v>
      </c>
      <c r="Q156" s="6">
        <v>38376</v>
      </c>
      <c r="R156" s="7">
        <v>0.66666666666666663</v>
      </c>
      <c r="S156" s="5">
        <v>120.6</v>
      </c>
      <c r="T156" s="5">
        <v>124.05</v>
      </c>
      <c r="U156" s="5">
        <v>120.6</v>
      </c>
      <c r="V156" s="5">
        <v>122.85</v>
      </c>
      <c r="W156" s="5">
        <v>145900</v>
      </c>
      <c r="Y156" s="6">
        <f t="shared" si="4"/>
        <v>40022</v>
      </c>
      <c r="Z156" s="5">
        <f t="shared" si="5"/>
        <v>2012.61</v>
      </c>
      <c r="AA156" s="5">
        <v>151.88</v>
      </c>
      <c r="AB156" s="5">
        <v>92.62</v>
      </c>
    </row>
    <row r="157" spans="1:28" x14ac:dyDescent="0.3">
      <c r="A157" s="6">
        <v>38384</v>
      </c>
      <c r="B157" s="7">
        <v>0.66666666666666663</v>
      </c>
      <c r="C157" s="5">
        <v>200</v>
      </c>
      <c r="D157" s="5">
        <v>204.95</v>
      </c>
      <c r="E157" s="5">
        <v>199.9</v>
      </c>
      <c r="F157" s="5">
        <v>202</v>
      </c>
      <c r="G157" s="5">
        <v>5300</v>
      </c>
      <c r="I157" s="6">
        <v>40023</v>
      </c>
      <c r="J157" s="7">
        <v>0.66666666666666663</v>
      </c>
      <c r="K157" s="5">
        <v>2012.61</v>
      </c>
      <c r="L157" s="5">
        <v>2074.9899999999998</v>
      </c>
      <c r="M157" s="5">
        <v>2003.01</v>
      </c>
      <c r="N157" s="5">
        <v>2035.33</v>
      </c>
      <c r="O157" s="5">
        <v>14</v>
      </c>
      <c r="Q157" s="6">
        <v>38377</v>
      </c>
      <c r="R157" s="7">
        <v>0.66666666666666663</v>
      </c>
      <c r="S157" s="5">
        <v>122.85</v>
      </c>
      <c r="T157" s="5">
        <v>124.5</v>
      </c>
      <c r="U157" s="5">
        <v>121.1</v>
      </c>
      <c r="V157" s="5">
        <v>122.5</v>
      </c>
      <c r="W157" s="5">
        <v>398100</v>
      </c>
      <c r="Y157" s="6">
        <f t="shared" si="4"/>
        <v>40023</v>
      </c>
      <c r="Z157" s="5">
        <f t="shared" si="5"/>
        <v>2035.33</v>
      </c>
      <c r="AA157" s="5">
        <v>150.41</v>
      </c>
      <c r="AB157" s="5">
        <v>97.25</v>
      </c>
    </row>
    <row r="158" spans="1:28" x14ac:dyDescent="0.3">
      <c r="A158" s="6">
        <v>38385</v>
      </c>
      <c r="B158" s="7">
        <v>0.66666666666666663</v>
      </c>
      <c r="C158" s="5">
        <v>200</v>
      </c>
      <c r="D158" s="5">
        <v>200</v>
      </c>
      <c r="E158" s="5">
        <v>200</v>
      </c>
      <c r="F158" s="5">
        <v>200</v>
      </c>
      <c r="G158" s="5">
        <v>900</v>
      </c>
      <c r="I158" s="6">
        <v>40024</v>
      </c>
      <c r="J158" s="7">
        <v>0.66666666666666663</v>
      </c>
      <c r="K158" s="5">
        <v>2035.33</v>
      </c>
      <c r="L158" s="5">
        <v>2100</v>
      </c>
      <c r="M158" s="5">
        <v>2002.01</v>
      </c>
      <c r="N158" s="5">
        <v>2091.3798999999999</v>
      </c>
      <c r="O158" s="5">
        <v>421</v>
      </c>
      <c r="Q158" s="6">
        <v>38378</v>
      </c>
      <c r="R158" s="7">
        <v>0.66666666666666663</v>
      </c>
      <c r="S158" s="5">
        <v>122.5</v>
      </c>
      <c r="T158" s="5">
        <v>123.05</v>
      </c>
      <c r="U158" s="5">
        <v>119</v>
      </c>
      <c r="V158" s="5">
        <v>122.4</v>
      </c>
      <c r="W158" s="5">
        <v>109000</v>
      </c>
      <c r="Y158" s="6">
        <f t="shared" si="4"/>
        <v>40024</v>
      </c>
      <c r="Z158" s="5">
        <f t="shared" si="5"/>
        <v>2091.3798999999999</v>
      </c>
      <c r="AA158" s="5">
        <v>144.5</v>
      </c>
      <c r="AB158" s="5">
        <v>99.06</v>
      </c>
    </row>
    <row r="159" spans="1:28" x14ac:dyDescent="0.3">
      <c r="A159" s="6">
        <v>38386</v>
      </c>
      <c r="B159" s="7">
        <v>0.66666666666666663</v>
      </c>
      <c r="C159" s="5">
        <v>202</v>
      </c>
      <c r="D159" s="5">
        <v>202</v>
      </c>
      <c r="E159" s="5">
        <v>199</v>
      </c>
      <c r="F159" s="5">
        <v>199</v>
      </c>
      <c r="G159" s="5">
        <v>4600</v>
      </c>
      <c r="I159" s="6">
        <v>40025</v>
      </c>
      <c r="J159" s="7">
        <v>0.66666666666666663</v>
      </c>
      <c r="K159" s="5">
        <v>2091.3798999999999</v>
      </c>
      <c r="L159" s="5">
        <v>2159.9899999999998</v>
      </c>
      <c r="M159" s="5">
        <v>2011</v>
      </c>
      <c r="N159" s="5">
        <v>2127.4899999999998</v>
      </c>
      <c r="O159" s="5">
        <v>114</v>
      </c>
      <c r="Q159" s="6">
        <v>38379</v>
      </c>
      <c r="R159" s="7">
        <v>0.66666666666666663</v>
      </c>
      <c r="S159" s="5">
        <v>121</v>
      </c>
      <c r="T159" s="5">
        <v>121</v>
      </c>
      <c r="U159" s="5">
        <v>119</v>
      </c>
      <c r="V159" s="5">
        <v>119.65</v>
      </c>
      <c r="W159" s="5">
        <v>41400</v>
      </c>
      <c r="Y159" s="6">
        <f t="shared" si="4"/>
        <v>40025</v>
      </c>
      <c r="Z159" s="5">
        <f t="shared" si="5"/>
        <v>2127.4899999999998</v>
      </c>
      <c r="AA159" s="5">
        <v>151.16</v>
      </c>
      <c r="AB159" s="5">
        <v>104.01</v>
      </c>
    </row>
    <row r="160" spans="1:28" x14ac:dyDescent="0.3">
      <c r="A160" s="6">
        <v>38387</v>
      </c>
      <c r="B160" s="7">
        <v>0.66666666666666663</v>
      </c>
      <c r="C160" s="5">
        <v>200</v>
      </c>
      <c r="D160" s="5">
        <v>200</v>
      </c>
      <c r="E160" s="5">
        <v>199</v>
      </c>
      <c r="F160" s="5">
        <v>199</v>
      </c>
      <c r="G160" s="5">
        <v>2500</v>
      </c>
      <c r="I160" s="6">
        <v>40028</v>
      </c>
      <c r="J160" s="7">
        <v>0.66666666666666663</v>
      </c>
      <c r="K160" s="5">
        <v>2127.4899999999998</v>
      </c>
      <c r="L160" s="5">
        <v>2150</v>
      </c>
      <c r="M160" s="5">
        <v>2100</v>
      </c>
      <c r="N160" s="5">
        <v>2100</v>
      </c>
      <c r="O160" s="5">
        <v>100</v>
      </c>
      <c r="Q160" s="6">
        <v>38380</v>
      </c>
      <c r="R160" s="7">
        <v>0.66666666666666663</v>
      </c>
      <c r="S160" s="5">
        <v>119.65</v>
      </c>
      <c r="T160" s="5">
        <v>120.65</v>
      </c>
      <c r="U160" s="5">
        <v>116.75</v>
      </c>
      <c r="V160" s="5">
        <v>116.75</v>
      </c>
      <c r="W160" s="5">
        <v>65300</v>
      </c>
      <c r="Y160" s="6">
        <f t="shared" si="4"/>
        <v>40028</v>
      </c>
      <c r="Z160" s="5">
        <f t="shared" si="5"/>
        <v>2100</v>
      </c>
      <c r="AA160" s="5">
        <v>152.75</v>
      </c>
      <c r="AB160" s="5">
        <v>109.21</v>
      </c>
    </row>
    <row r="161" spans="1:28" x14ac:dyDescent="0.3">
      <c r="A161" s="6">
        <v>38390</v>
      </c>
      <c r="B161" s="7">
        <v>0.66666666666666663</v>
      </c>
      <c r="C161" s="5">
        <v>200.2</v>
      </c>
      <c r="D161" s="5">
        <v>201</v>
      </c>
      <c r="E161" s="5">
        <v>198</v>
      </c>
      <c r="F161" s="5">
        <v>198</v>
      </c>
      <c r="G161" s="5">
        <v>2200</v>
      </c>
      <c r="I161" s="6">
        <v>40029</v>
      </c>
      <c r="J161" s="7">
        <v>0.66666666666666663</v>
      </c>
      <c r="K161" s="5">
        <v>2100.0100000000002</v>
      </c>
      <c r="L161" s="5">
        <v>2148</v>
      </c>
      <c r="M161" s="5">
        <v>2100.0100000000002</v>
      </c>
      <c r="N161" s="5">
        <v>2100.02</v>
      </c>
      <c r="O161" s="5">
        <v>208</v>
      </c>
      <c r="Q161" s="6">
        <v>38383</v>
      </c>
      <c r="R161" s="7">
        <v>0.66666666666666663</v>
      </c>
      <c r="S161" s="5">
        <v>116.75</v>
      </c>
      <c r="T161" s="5">
        <v>118.9</v>
      </c>
      <c r="U161" s="5">
        <v>116</v>
      </c>
      <c r="V161" s="5">
        <v>117.95</v>
      </c>
      <c r="W161" s="5">
        <v>46000</v>
      </c>
      <c r="Y161" s="6">
        <f t="shared" si="4"/>
        <v>40029</v>
      </c>
      <c r="Z161" s="5">
        <f t="shared" si="5"/>
        <v>2100.02</v>
      </c>
      <c r="AA161" s="5">
        <v>155.93</v>
      </c>
      <c r="AB161" s="5">
        <v>114.67</v>
      </c>
    </row>
    <row r="162" spans="1:28" x14ac:dyDescent="0.3">
      <c r="A162" s="6">
        <v>38391</v>
      </c>
      <c r="B162" s="7">
        <v>0.66666666666666663</v>
      </c>
      <c r="C162" s="5">
        <v>198.5</v>
      </c>
      <c r="D162" s="5">
        <v>200</v>
      </c>
      <c r="E162" s="5">
        <v>197.25</v>
      </c>
      <c r="F162" s="5">
        <v>197.5</v>
      </c>
      <c r="G162" s="5">
        <v>2400</v>
      </c>
      <c r="I162" s="6">
        <v>40030</v>
      </c>
      <c r="J162" s="7">
        <v>0.66666666666666663</v>
      </c>
      <c r="K162" s="5">
        <v>2100.02</v>
      </c>
      <c r="L162" s="5">
        <v>2150</v>
      </c>
      <c r="M162" s="5">
        <v>2100.0100000000002</v>
      </c>
      <c r="N162" s="5">
        <v>2125.1498999999999</v>
      </c>
      <c r="O162" s="5">
        <v>188</v>
      </c>
      <c r="Q162" s="6">
        <v>38384</v>
      </c>
      <c r="R162" s="7">
        <v>0.66666666666666663</v>
      </c>
      <c r="S162" s="5">
        <v>117.95</v>
      </c>
      <c r="T162" s="5">
        <v>118.95</v>
      </c>
      <c r="U162" s="5">
        <v>117.5</v>
      </c>
      <c r="V162" s="5">
        <v>118</v>
      </c>
      <c r="W162" s="5">
        <v>43000</v>
      </c>
      <c r="Y162" s="6">
        <f t="shared" si="4"/>
        <v>40030</v>
      </c>
      <c r="Z162" s="5">
        <f t="shared" si="5"/>
        <v>2125.1498999999999</v>
      </c>
      <c r="AA162" s="5">
        <v>155.88</v>
      </c>
      <c r="AB162" s="5">
        <v>120.4</v>
      </c>
    </row>
    <row r="163" spans="1:28" x14ac:dyDescent="0.3">
      <c r="A163" s="6">
        <v>38392</v>
      </c>
      <c r="B163" s="7">
        <v>0.66666666666666663</v>
      </c>
      <c r="C163" s="5">
        <v>197.05</v>
      </c>
      <c r="D163" s="5">
        <v>197.05</v>
      </c>
      <c r="E163" s="5">
        <v>196</v>
      </c>
      <c r="F163" s="5">
        <v>197</v>
      </c>
      <c r="G163" s="5">
        <v>3200</v>
      </c>
      <c r="I163" s="6">
        <v>40031</v>
      </c>
      <c r="J163" s="7">
        <v>0.66666666666666663</v>
      </c>
      <c r="K163" s="5">
        <v>2125.1498999999999</v>
      </c>
      <c r="L163" s="5">
        <v>2150</v>
      </c>
      <c r="M163" s="5">
        <v>2067</v>
      </c>
      <c r="N163" s="5">
        <v>2067</v>
      </c>
      <c r="O163" s="5">
        <v>182</v>
      </c>
      <c r="Q163" s="6">
        <v>38385</v>
      </c>
      <c r="R163" s="7">
        <v>0.66666666666666663</v>
      </c>
      <c r="S163" s="5">
        <v>119</v>
      </c>
      <c r="T163" s="5">
        <v>120</v>
      </c>
      <c r="U163" s="5">
        <v>119</v>
      </c>
      <c r="V163" s="5">
        <v>119</v>
      </c>
      <c r="W163" s="5">
        <v>102100</v>
      </c>
      <c r="Y163" s="6">
        <f t="shared" si="4"/>
        <v>40031</v>
      </c>
      <c r="Z163" s="5">
        <f t="shared" si="5"/>
        <v>2067</v>
      </c>
      <c r="AA163" s="5">
        <v>153.71</v>
      </c>
      <c r="AB163" s="5">
        <v>118.54</v>
      </c>
    </row>
    <row r="164" spans="1:28" x14ac:dyDescent="0.3">
      <c r="A164" s="6">
        <v>38393</v>
      </c>
      <c r="B164" s="7">
        <v>0.66666666666666663</v>
      </c>
      <c r="C164" s="5">
        <v>196</v>
      </c>
      <c r="D164" s="5">
        <v>199.5</v>
      </c>
      <c r="E164" s="5">
        <v>196</v>
      </c>
      <c r="F164" s="5">
        <v>199.5</v>
      </c>
      <c r="G164" s="5">
        <v>4100</v>
      </c>
      <c r="I164" s="6">
        <v>40035</v>
      </c>
      <c r="J164" s="7">
        <v>0.66666666666666663</v>
      </c>
      <c r="K164" s="5">
        <v>2100</v>
      </c>
      <c r="L164" s="5">
        <v>2150</v>
      </c>
      <c r="M164" s="5">
        <v>2100</v>
      </c>
      <c r="N164" s="5">
        <v>2106</v>
      </c>
      <c r="O164" s="5">
        <v>237</v>
      </c>
      <c r="Q164" s="6">
        <v>38386</v>
      </c>
      <c r="R164" s="7">
        <v>0.66666666666666663</v>
      </c>
      <c r="S164" s="5">
        <v>119</v>
      </c>
      <c r="T164" s="5">
        <v>120</v>
      </c>
      <c r="U164" s="5">
        <v>118.6</v>
      </c>
      <c r="V164" s="5">
        <v>119</v>
      </c>
      <c r="W164" s="5">
        <v>34200</v>
      </c>
      <c r="Y164" s="6">
        <f t="shared" si="4"/>
        <v>40035</v>
      </c>
      <c r="Z164" s="5">
        <f t="shared" si="5"/>
        <v>2106</v>
      </c>
      <c r="AA164" s="5">
        <v>159.66999999999999</v>
      </c>
      <c r="AB164" s="5">
        <v>101.08</v>
      </c>
    </row>
    <row r="165" spans="1:28" x14ac:dyDescent="0.3">
      <c r="A165" s="6">
        <v>38394</v>
      </c>
      <c r="B165" s="7">
        <v>0.66666666666666663</v>
      </c>
      <c r="C165" s="5">
        <v>196</v>
      </c>
      <c r="D165" s="5">
        <v>199.95</v>
      </c>
      <c r="E165" s="5">
        <v>196</v>
      </c>
      <c r="F165" s="5">
        <v>199.95</v>
      </c>
      <c r="G165" s="5">
        <v>5800</v>
      </c>
      <c r="I165" s="6">
        <v>40036</v>
      </c>
      <c r="J165" s="7">
        <v>0.66666666666666663</v>
      </c>
      <c r="K165" s="5">
        <v>2106</v>
      </c>
      <c r="L165" s="5">
        <v>2150</v>
      </c>
      <c r="M165" s="5">
        <v>2101.5</v>
      </c>
      <c r="N165" s="5">
        <v>2107</v>
      </c>
      <c r="O165" s="5">
        <v>313</v>
      </c>
      <c r="Q165" s="6">
        <v>38387</v>
      </c>
      <c r="R165" s="7">
        <v>0.66666666666666663</v>
      </c>
      <c r="S165" s="5">
        <v>119.5</v>
      </c>
      <c r="T165" s="5">
        <v>120.4</v>
      </c>
      <c r="U165" s="5">
        <v>119.5</v>
      </c>
      <c r="V165" s="5">
        <v>119.6</v>
      </c>
      <c r="W165" s="5">
        <v>122300</v>
      </c>
      <c r="Y165" s="6">
        <f t="shared" si="4"/>
        <v>40036</v>
      </c>
      <c r="Z165" s="5">
        <f t="shared" si="5"/>
        <v>2107</v>
      </c>
      <c r="AA165" s="5">
        <v>155.97999999999999</v>
      </c>
      <c r="AB165" s="5">
        <v>96.04</v>
      </c>
    </row>
    <row r="166" spans="1:28" x14ac:dyDescent="0.3">
      <c r="A166" s="6">
        <v>38397</v>
      </c>
      <c r="B166" s="7">
        <v>0.66666666666666663</v>
      </c>
      <c r="C166" s="5">
        <v>199</v>
      </c>
      <c r="D166" s="5">
        <v>203</v>
      </c>
      <c r="E166" s="5">
        <v>199</v>
      </c>
      <c r="F166" s="5">
        <v>200.25</v>
      </c>
      <c r="G166" s="5">
        <v>5300</v>
      </c>
      <c r="I166" s="6">
        <v>40037</v>
      </c>
      <c r="J166" s="7">
        <v>0.66666666666666663</v>
      </c>
      <c r="K166" s="5">
        <v>2071</v>
      </c>
      <c r="L166" s="5">
        <v>2071</v>
      </c>
      <c r="M166" s="5">
        <v>2071</v>
      </c>
      <c r="N166" s="5">
        <v>2071</v>
      </c>
      <c r="O166" s="5">
        <v>1</v>
      </c>
      <c r="Q166" s="6">
        <v>38390</v>
      </c>
      <c r="R166" s="7">
        <v>0.66666666666666663</v>
      </c>
      <c r="S166" s="5">
        <v>120.9</v>
      </c>
      <c r="T166" s="5">
        <v>128.55000000000001</v>
      </c>
      <c r="U166" s="5">
        <v>120.9</v>
      </c>
      <c r="V166" s="5">
        <v>128.55000000000001</v>
      </c>
      <c r="W166" s="5">
        <v>350200</v>
      </c>
      <c r="Y166" s="6">
        <f t="shared" si="4"/>
        <v>40037</v>
      </c>
      <c r="Z166" s="5">
        <f t="shared" si="5"/>
        <v>2071</v>
      </c>
      <c r="AA166" s="5">
        <v>154.41999999999999</v>
      </c>
      <c r="AB166" s="5">
        <v>93.44</v>
      </c>
    </row>
    <row r="167" spans="1:28" x14ac:dyDescent="0.3">
      <c r="A167" s="6">
        <v>38398</v>
      </c>
      <c r="B167" s="7">
        <v>0.66666666666666663</v>
      </c>
      <c r="C167" s="5">
        <v>201</v>
      </c>
      <c r="D167" s="5">
        <v>201.45</v>
      </c>
      <c r="E167" s="5">
        <v>199.5</v>
      </c>
      <c r="F167" s="5">
        <v>199.5</v>
      </c>
      <c r="G167" s="5">
        <v>3000</v>
      </c>
      <c r="I167" s="6">
        <v>40038</v>
      </c>
      <c r="J167" s="7">
        <v>0.66666666666666663</v>
      </c>
      <c r="K167" s="5">
        <v>2102</v>
      </c>
      <c r="L167" s="5">
        <v>2102</v>
      </c>
      <c r="M167" s="5">
        <v>2102</v>
      </c>
      <c r="N167" s="5">
        <v>2102</v>
      </c>
      <c r="O167" s="5">
        <v>100</v>
      </c>
      <c r="Q167" s="6">
        <v>38391</v>
      </c>
      <c r="R167" s="7">
        <v>0.66666666666666663</v>
      </c>
      <c r="S167" s="5">
        <v>134</v>
      </c>
      <c r="T167" s="5">
        <v>138.15</v>
      </c>
      <c r="U167" s="5">
        <v>134</v>
      </c>
      <c r="V167" s="5">
        <v>138</v>
      </c>
      <c r="W167" s="5">
        <v>532600</v>
      </c>
      <c r="Y167" s="6">
        <f t="shared" si="4"/>
        <v>40038</v>
      </c>
      <c r="Z167" s="5">
        <f t="shared" si="5"/>
        <v>2102</v>
      </c>
      <c r="AA167" s="5">
        <v>152.4</v>
      </c>
      <c r="AB167" s="5">
        <v>96</v>
      </c>
    </row>
    <row r="168" spans="1:28" x14ac:dyDescent="0.3">
      <c r="A168" s="6">
        <v>38399</v>
      </c>
      <c r="B168" s="7">
        <v>0.66666666666666663</v>
      </c>
      <c r="C168" s="5">
        <v>202.45</v>
      </c>
      <c r="D168" s="5">
        <v>202.45</v>
      </c>
      <c r="E168" s="5">
        <v>200</v>
      </c>
      <c r="F168" s="5">
        <v>200</v>
      </c>
      <c r="G168" s="5">
        <v>2300</v>
      </c>
      <c r="I168" s="6">
        <v>40043</v>
      </c>
      <c r="J168" s="7">
        <v>0.66666666666666663</v>
      </c>
      <c r="K168" s="5">
        <v>2120.0100000000002</v>
      </c>
      <c r="L168" s="5">
        <v>2151</v>
      </c>
      <c r="M168" s="5">
        <v>2120.0100000000002</v>
      </c>
      <c r="N168" s="5">
        <v>2125</v>
      </c>
      <c r="O168" s="5">
        <v>100</v>
      </c>
      <c r="Q168" s="6">
        <v>38392</v>
      </c>
      <c r="R168" s="7">
        <v>0.66666666666666663</v>
      </c>
      <c r="S168" s="5">
        <v>138</v>
      </c>
      <c r="T168" s="5">
        <v>140</v>
      </c>
      <c r="U168" s="5">
        <v>133.25</v>
      </c>
      <c r="V168" s="5">
        <v>135.5</v>
      </c>
      <c r="W168" s="5">
        <v>274400</v>
      </c>
      <c r="Y168" s="6">
        <f t="shared" si="4"/>
        <v>40043</v>
      </c>
      <c r="Z168" s="5">
        <f t="shared" si="5"/>
        <v>2125</v>
      </c>
      <c r="AA168" s="5">
        <v>142.91999999999999</v>
      </c>
      <c r="AB168" s="5">
        <v>94.16</v>
      </c>
    </row>
    <row r="169" spans="1:28" x14ac:dyDescent="0.3">
      <c r="A169" s="6">
        <v>38401</v>
      </c>
      <c r="B169" s="7">
        <v>0.66666666666666663</v>
      </c>
      <c r="C169" s="5">
        <v>200</v>
      </c>
      <c r="D169" s="5">
        <v>201</v>
      </c>
      <c r="E169" s="5">
        <v>198.5</v>
      </c>
      <c r="F169" s="5">
        <v>200.5</v>
      </c>
      <c r="G169" s="5">
        <v>1600</v>
      </c>
      <c r="I169" s="6">
        <v>40044</v>
      </c>
      <c r="J169" s="7">
        <v>0.66666666666666663</v>
      </c>
      <c r="K169" s="5">
        <v>2125</v>
      </c>
      <c r="L169" s="5">
        <v>2175</v>
      </c>
      <c r="M169" s="5">
        <v>2120</v>
      </c>
      <c r="N169" s="5">
        <v>2120</v>
      </c>
      <c r="O169" s="5">
        <v>2</v>
      </c>
      <c r="Q169" s="6">
        <v>38393</v>
      </c>
      <c r="R169" s="7">
        <v>0.66666666666666663</v>
      </c>
      <c r="S169" s="5">
        <v>135.5</v>
      </c>
      <c r="T169" s="5">
        <v>138.94999999999999</v>
      </c>
      <c r="U169" s="5">
        <v>132</v>
      </c>
      <c r="V169" s="5">
        <v>134</v>
      </c>
      <c r="W169" s="5">
        <v>116900</v>
      </c>
      <c r="Y169" s="6">
        <f t="shared" si="4"/>
        <v>40044</v>
      </c>
      <c r="Z169" s="5">
        <f t="shared" si="5"/>
        <v>2120</v>
      </c>
      <c r="AA169" s="5">
        <v>142.36000000000001</v>
      </c>
      <c r="AB169" s="5">
        <v>92.95</v>
      </c>
    </row>
    <row r="170" spans="1:28" x14ac:dyDescent="0.3">
      <c r="A170" s="6">
        <v>38404</v>
      </c>
      <c r="B170" s="7">
        <v>0.66666666666666663</v>
      </c>
      <c r="C170" s="5">
        <v>202.9</v>
      </c>
      <c r="D170" s="5">
        <v>202.9</v>
      </c>
      <c r="E170" s="5">
        <v>200.05</v>
      </c>
      <c r="F170" s="5">
        <v>200.05</v>
      </c>
      <c r="G170" s="5">
        <v>1900</v>
      </c>
      <c r="I170" s="6">
        <v>40045</v>
      </c>
      <c r="J170" s="7">
        <v>0.66666666666666663</v>
      </c>
      <c r="K170" s="5">
        <v>2120</v>
      </c>
      <c r="L170" s="5">
        <v>2226</v>
      </c>
      <c r="M170" s="5">
        <v>2111</v>
      </c>
      <c r="N170" s="5">
        <v>2180</v>
      </c>
      <c r="O170" s="5">
        <v>1175</v>
      </c>
      <c r="Q170" s="6">
        <v>38394</v>
      </c>
      <c r="R170" s="7">
        <v>0.66666666666666663</v>
      </c>
      <c r="S170" s="5">
        <v>134</v>
      </c>
      <c r="T170" s="5">
        <v>137.9</v>
      </c>
      <c r="U170" s="5">
        <v>132</v>
      </c>
      <c r="V170" s="5">
        <v>137.5</v>
      </c>
      <c r="W170" s="5">
        <v>148900</v>
      </c>
      <c r="Y170" s="6">
        <f t="shared" si="4"/>
        <v>40045</v>
      </c>
      <c r="Z170" s="5">
        <f t="shared" si="5"/>
        <v>2180</v>
      </c>
      <c r="AA170" s="5">
        <v>140.88999999999999</v>
      </c>
      <c r="AB170" s="5">
        <v>88.5</v>
      </c>
    </row>
    <row r="171" spans="1:28" x14ac:dyDescent="0.3">
      <c r="A171" s="6">
        <v>38405</v>
      </c>
      <c r="B171" s="7">
        <v>0.66666666666666663</v>
      </c>
      <c r="C171" s="5">
        <v>200</v>
      </c>
      <c r="D171" s="5">
        <v>202</v>
      </c>
      <c r="E171" s="5">
        <v>200</v>
      </c>
      <c r="F171" s="5">
        <v>200.5</v>
      </c>
      <c r="G171" s="5">
        <v>4200</v>
      </c>
      <c r="I171" s="6">
        <v>40046</v>
      </c>
      <c r="J171" s="7">
        <v>0.66666666666666663</v>
      </c>
      <c r="K171" s="5">
        <v>2250</v>
      </c>
      <c r="L171" s="5">
        <v>2289</v>
      </c>
      <c r="M171" s="5">
        <v>2250</v>
      </c>
      <c r="N171" s="5">
        <v>2282.3798999999999</v>
      </c>
      <c r="O171" s="5">
        <v>865</v>
      </c>
      <c r="Q171" s="6">
        <v>38397</v>
      </c>
      <c r="R171" s="7">
        <v>0.66666666666666663</v>
      </c>
      <c r="S171" s="5">
        <v>137.5</v>
      </c>
      <c r="T171" s="5">
        <v>137.5</v>
      </c>
      <c r="U171" s="5">
        <v>135</v>
      </c>
      <c r="V171" s="5">
        <v>136</v>
      </c>
      <c r="W171" s="5">
        <v>62100</v>
      </c>
      <c r="Y171" s="6">
        <f t="shared" si="4"/>
        <v>40046</v>
      </c>
      <c r="Z171" s="5">
        <f t="shared" si="5"/>
        <v>2282.3798999999999</v>
      </c>
      <c r="AA171" s="5">
        <v>141.41</v>
      </c>
      <c r="AB171" s="5">
        <v>91.5</v>
      </c>
    </row>
    <row r="172" spans="1:28" x14ac:dyDescent="0.3">
      <c r="A172" s="6">
        <v>38406</v>
      </c>
      <c r="B172" s="7">
        <v>0.66666666666666663</v>
      </c>
      <c r="C172" s="5">
        <v>199</v>
      </c>
      <c r="D172" s="5">
        <v>200.05</v>
      </c>
      <c r="E172" s="5">
        <v>199</v>
      </c>
      <c r="F172" s="5">
        <v>200</v>
      </c>
      <c r="G172" s="5">
        <v>3600</v>
      </c>
      <c r="I172" s="6">
        <v>40049</v>
      </c>
      <c r="J172" s="7">
        <v>0.66666666666666663</v>
      </c>
      <c r="K172" s="5">
        <v>2280</v>
      </c>
      <c r="L172" s="5">
        <v>2280</v>
      </c>
      <c r="M172" s="5">
        <v>2280</v>
      </c>
      <c r="N172" s="5">
        <v>2280</v>
      </c>
      <c r="O172" s="5">
        <v>21</v>
      </c>
      <c r="Q172" s="6">
        <v>38398</v>
      </c>
      <c r="R172" s="7">
        <v>0.66666666666666663</v>
      </c>
      <c r="S172" s="5">
        <v>136</v>
      </c>
      <c r="T172" s="5">
        <v>144</v>
      </c>
      <c r="U172" s="5">
        <v>135</v>
      </c>
      <c r="V172" s="5">
        <v>140.9</v>
      </c>
      <c r="W172" s="5">
        <v>456700</v>
      </c>
      <c r="Y172" s="6">
        <f t="shared" si="4"/>
        <v>40049</v>
      </c>
      <c r="Z172" s="5">
        <f t="shared" si="5"/>
        <v>2280</v>
      </c>
      <c r="AA172" s="5">
        <v>148.46</v>
      </c>
      <c r="AB172" s="5">
        <v>92.5</v>
      </c>
    </row>
    <row r="173" spans="1:28" x14ac:dyDescent="0.3">
      <c r="A173" s="6">
        <v>38407</v>
      </c>
      <c r="B173" s="7">
        <v>0.66666666666666663</v>
      </c>
      <c r="C173" s="5">
        <v>200</v>
      </c>
      <c r="D173" s="5">
        <v>201.9</v>
      </c>
      <c r="E173" s="5">
        <v>200</v>
      </c>
      <c r="F173" s="5">
        <v>200.5</v>
      </c>
      <c r="G173" s="5">
        <v>4800</v>
      </c>
      <c r="I173" s="6">
        <v>40050</v>
      </c>
      <c r="J173" s="7">
        <v>0.66666666666666663</v>
      </c>
      <c r="K173" s="5">
        <v>2280</v>
      </c>
      <c r="L173" s="5">
        <v>2280</v>
      </c>
      <c r="M173" s="5">
        <v>2167</v>
      </c>
      <c r="N173" s="5">
        <v>2185</v>
      </c>
      <c r="O173" s="5">
        <v>96</v>
      </c>
      <c r="Q173" s="6">
        <v>38399</v>
      </c>
      <c r="R173" s="7">
        <v>0.66666666666666663</v>
      </c>
      <c r="S173" s="5">
        <v>140.9</v>
      </c>
      <c r="T173" s="5">
        <v>149</v>
      </c>
      <c r="U173" s="5">
        <v>140.9</v>
      </c>
      <c r="V173" s="5">
        <v>142.80000000000001</v>
      </c>
      <c r="W173" s="5">
        <v>690800</v>
      </c>
      <c r="Y173" s="6">
        <f t="shared" si="4"/>
        <v>40050</v>
      </c>
      <c r="Z173" s="5">
        <f t="shared" si="5"/>
        <v>2185</v>
      </c>
      <c r="AA173" s="5">
        <v>150.65</v>
      </c>
      <c r="AB173" s="5">
        <v>91.16</v>
      </c>
    </row>
    <row r="174" spans="1:28" x14ac:dyDescent="0.3">
      <c r="A174" s="6">
        <v>38408</v>
      </c>
      <c r="B174" s="7">
        <v>0.66666666666666663</v>
      </c>
      <c r="C174" s="5">
        <v>200.1</v>
      </c>
      <c r="D174" s="5">
        <v>201.85</v>
      </c>
      <c r="E174" s="5">
        <v>200.1</v>
      </c>
      <c r="F174" s="5">
        <v>201.85</v>
      </c>
      <c r="G174" s="5">
        <v>3500</v>
      </c>
      <c r="I174" s="6">
        <v>40051</v>
      </c>
      <c r="J174" s="7">
        <v>0.66666666666666663</v>
      </c>
      <c r="K174" s="5">
        <v>2210</v>
      </c>
      <c r="L174" s="5">
        <v>2290</v>
      </c>
      <c r="M174" s="5">
        <v>2210</v>
      </c>
      <c r="N174" s="5">
        <v>2224.1999999999998</v>
      </c>
      <c r="O174" s="5">
        <v>60</v>
      </c>
      <c r="Q174" s="6">
        <v>38401</v>
      </c>
      <c r="R174" s="7">
        <v>0.66666666666666663</v>
      </c>
      <c r="S174" s="5">
        <v>149.9</v>
      </c>
      <c r="T174" s="5">
        <v>155</v>
      </c>
      <c r="U174" s="5">
        <v>149.9</v>
      </c>
      <c r="V174" s="5">
        <v>153</v>
      </c>
      <c r="W174" s="5">
        <v>521700</v>
      </c>
      <c r="Y174" s="6">
        <f t="shared" si="4"/>
        <v>40051</v>
      </c>
      <c r="Z174" s="5">
        <f t="shared" si="5"/>
        <v>2224.1999999999998</v>
      </c>
      <c r="AA174" s="5">
        <v>154.91999999999999</v>
      </c>
      <c r="AB174" s="5">
        <v>91.56</v>
      </c>
    </row>
    <row r="175" spans="1:28" x14ac:dyDescent="0.3">
      <c r="A175" s="6">
        <v>38411</v>
      </c>
      <c r="B175" s="7">
        <v>0.66666666666666663</v>
      </c>
      <c r="C175" s="5">
        <v>201.85</v>
      </c>
      <c r="D175" s="5">
        <v>201.85</v>
      </c>
      <c r="E175" s="5">
        <v>200.5</v>
      </c>
      <c r="F175" s="5">
        <v>201</v>
      </c>
      <c r="G175" s="5">
        <v>3600</v>
      </c>
      <c r="I175" s="6">
        <v>40052</v>
      </c>
      <c r="J175" s="7">
        <v>0.66666666666666663</v>
      </c>
      <c r="K175" s="5">
        <v>2245</v>
      </c>
      <c r="L175" s="5">
        <v>2325</v>
      </c>
      <c r="M175" s="5">
        <v>2245</v>
      </c>
      <c r="N175" s="5">
        <v>2275.25</v>
      </c>
      <c r="O175" s="5">
        <v>5311</v>
      </c>
      <c r="Q175" s="6">
        <v>38404</v>
      </c>
      <c r="R175" s="7">
        <v>0.66666666666666663</v>
      </c>
      <c r="S175" s="5">
        <v>153</v>
      </c>
      <c r="T175" s="5">
        <v>159</v>
      </c>
      <c r="U175" s="5">
        <v>153</v>
      </c>
      <c r="V175" s="5">
        <v>158.9</v>
      </c>
      <c r="W175" s="5">
        <v>595100</v>
      </c>
      <c r="Y175" s="6">
        <f t="shared" si="4"/>
        <v>40052</v>
      </c>
      <c r="Z175" s="5">
        <f t="shared" si="5"/>
        <v>2275.25</v>
      </c>
      <c r="AA175" s="5">
        <v>151.72999999999999</v>
      </c>
      <c r="AB175" s="5">
        <v>90.49</v>
      </c>
    </row>
    <row r="176" spans="1:28" x14ac:dyDescent="0.3">
      <c r="A176" s="6">
        <v>38412</v>
      </c>
      <c r="B176" s="7">
        <v>0.66666666666666663</v>
      </c>
      <c r="C176" s="5">
        <v>202</v>
      </c>
      <c r="D176" s="5">
        <v>205.9</v>
      </c>
      <c r="E176" s="5">
        <v>201</v>
      </c>
      <c r="F176" s="5">
        <v>205.9</v>
      </c>
      <c r="G176" s="5">
        <v>7800</v>
      </c>
      <c r="I176" s="6">
        <v>40053</v>
      </c>
      <c r="J176" s="7">
        <v>0.66666666666666663</v>
      </c>
      <c r="K176" s="5">
        <v>2275.25</v>
      </c>
      <c r="L176" s="5">
        <v>2300</v>
      </c>
      <c r="M176" s="5">
        <v>2230</v>
      </c>
      <c r="N176" s="5">
        <v>2253.4099000000001</v>
      </c>
      <c r="O176" s="5">
        <v>103</v>
      </c>
      <c r="Q176" s="6">
        <v>38405</v>
      </c>
      <c r="R176" s="7">
        <v>0.66666666666666663</v>
      </c>
      <c r="S176" s="5">
        <v>158.9</v>
      </c>
      <c r="T176" s="5">
        <v>170.8</v>
      </c>
      <c r="U176" s="5">
        <v>157</v>
      </c>
      <c r="V176" s="5">
        <v>170.8</v>
      </c>
      <c r="W176" s="5">
        <v>687100</v>
      </c>
      <c r="Y176" s="6">
        <f t="shared" si="4"/>
        <v>40053</v>
      </c>
      <c r="Z176" s="5">
        <f t="shared" si="5"/>
        <v>2253.4099000000001</v>
      </c>
      <c r="AA176" s="5">
        <v>152.83000000000001</v>
      </c>
      <c r="AB176" s="5">
        <v>90.5</v>
      </c>
    </row>
    <row r="177" spans="1:28" x14ac:dyDescent="0.3">
      <c r="A177" s="6">
        <v>38413</v>
      </c>
      <c r="B177" s="7">
        <v>0.66666666666666663</v>
      </c>
      <c r="C177" s="5">
        <v>207</v>
      </c>
      <c r="D177" s="5">
        <v>210</v>
      </c>
      <c r="E177" s="5">
        <v>205.5</v>
      </c>
      <c r="F177" s="5">
        <v>207.05</v>
      </c>
      <c r="G177" s="5">
        <v>6500</v>
      </c>
      <c r="I177" s="6">
        <v>40056</v>
      </c>
      <c r="J177" s="7">
        <v>0.66666666666666663</v>
      </c>
      <c r="K177" s="5">
        <v>2253.4099000000001</v>
      </c>
      <c r="L177" s="5">
        <v>2294</v>
      </c>
      <c r="M177" s="5">
        <v>2250</v>
      </c>
      <c r="N177" s="5">
        <v>2258.3101000000001</v>
      </c>
      <c r="O177" s="5">
        <v>231</v>
      </c>
      <c r="Q177" s="6">
        <v>38406</v>
      </c>
      <c r="R177" s="7">
        <v>0.66666666666666663</v>
      </c>
      <c r="S177" s="5">
        <v>174</v>
      </c>
      <c r="T177" s="5">
        <v>183.6</v>
      </c>
      <c r="U177" s="5">
        <v>174</v>
      </c>
      <c r="V177" s="5">
        <v>183.6</v>
      </c>
      <c r="W177" s="5">
        <v>597600</v>
      </c>
      <c r="Y177" s="6">
        <f t="shared" si="4"/>
        <v>40056</v>
      </c>
      <c r="Z177" s="5">
        <f t="shared" si="5"/>
        <v>2258.3101000000001</v>
      </c>
      <c r="AA177" s="5">
        <v>151.66999999999999</v>
      </c>
      <c r="AB177" s="5">
        <v>91.84</v>
      </c>
    </row>
    <row r="178" spans="1:28" x14ac:dyDescent="0.3">
      <c r="A178" s="6">
        <v>38414</v>
      </c>
      <c r="B178" s="7">
        <v>0.66666666666666663</v>
      </c>
      <c r="C178" s="5">
        <v>207.05</v>
      </c>
      <c r="D178" s="5">
        <v>207.05</v>
      </c>
      <c r="E178" s="5">
        <v>204</v>
      </c>
      <c r="F178" s="5">
        <v>205</v>
      </c>
      <c r="G178" s="5">
        <v>3600</v>
      </c>
      <c r="I178" s="6">
        <v>40057</v>
      </c>
      <c r="J178" s="7">
        <v>0.66666666666666663</v>
      </c>
      <c r="K178" s="5">
        <v>2258.3101000000001</v>
      </c>
      <c r="L178" s="5">
        <v>2275</v>
      </c>
      <c r="M178" s="5">
        <v>2205</v>
      </c>
      <c r="N178" s="5">
        <v>2254.0801000000001</v>
      </c>
      <c r="O178" s="5">
        <v>345</v>
      </c>
      <c r="Q178" s="6">
        <v>38407</v>
      </c>
      <c r="R178" s="7">
        <v>0.66666666666666663</v>
      </c>
      <c r="S178" s="5">
        <v>183.6</v>
      </c>
      <c r="T178" s="5">
        <v>197.35</v>
      </c>
      <c r="U178" s="5">
        <v>181.6</v>
      </c>
      <c r="V178" s="5">
        <v>185.05</v>
      </c>
      <c r="W178" s="5">
        <v>640900</v>
      </c>
      <c r="Y178" s="6">
        <f t="shared" si="4"/>
        <v>40057</v>
      </c>
      <c r="Z178" s="5">
        <f t="shared" si="5"/>
        <v>2254.0801000000001</v>
      </c>
      <c r="AA178" s="5">
        <v>150.19</v>
      </c>
      <c r="AB178" s="5">
        <v>91.15</v>
      </c>
    </row>
    <row r="179" spans="1:28" x14ac:dyDescent="0.3">
      <c r="A179" s="6">
        <v>38415</v>
      </c>
      <c r="B179" s="7">
        <v>0.66666666666666663</v>
      </c>
      <c r="C179" s="5">
        <v>195</v>
      </c>
      <c r="D179" s="5">
        <v>208.95</v>
      </c>
      <c r="E179" s="5">
        <v>195</v>
      </c>
      <c r="F179" s="5">
        <v>205.95</v>
      </c>
      <c r="G179" s="5">
        <v>3500</v>
      </c>
      <c r="I179" s="6">
        <v>40058</v>
      </c>
      <c r="J179" s="7">
        <v>0.66666666666666663</v>
      </c>
      <c r="K179" s="5">
        <v>2254.0801000000001</v>
      </c>
      <c r="L179" s="5">
        <v>2260</v>
      </c>
      <c r="M179" s="5">
        <v>2235</v>
      </c>
      <c r="N179" s="5">
        <v>2250</v>
      </c>
      <c r="O179" s="5">
        <v>3824</v>
      </c>
      <c r="Q179" s="6">
        <v>38408</v>
      </c>
      <c r="R179" s="7">
        <v>0.66666666666666663</v>
      </c>
      <c r="S179" s="5">
        <v>185.05</v>
      </c>
      <c r="T179" s="5">
        <v>190</v>
      </c>
      <c r="U179" s="5">
        <v>180</v>
      </c>
      <c r="V179" s="5">
        <v>180.95</v>
      </c>
      <c r="W179" s="5">
        <v>306900</v>
      </c>
      <c r="Y179" s="6">
        <f t="shared" si="4"/>
        <v>40058</v>
      </c>
      <c r="Z179" s="5">
        <f t="shared" si="5"/>
        <v>2250</v>
      </c>
      <c r="AA179" s="5">
        <v>150.01</v>
      </c>
      <c r="AB179" s="5">
        <v>92.61</v>
      </c>
    </row>
    <row r="180" spans="1:28" x14ac:dyDescent="0.3">
      <c r="A180" s="6">
        <v>38418</v>
      </c>
      <c r="B180" s="7">
        <v>0.66666666666666663</v>
      </c>
      <c r="C180" s="5">
        <v>208</v>
      </c>
      <c r="D180" s="5">
        <v>208</v>
      </c>
      <c r="E180" s="5">
        <v>203</v>
      </c>
      <c r="F180" s="5">
        <v>203</v>
      </c>
      <c r="G180" s="5">
        <v>7100</v>
      </c>
      <c r="I180" s="6">
        <v>40059</v>
      </c>
      <c r="J180" s="7">
        <v>0.66666666666666663</v>
      </c>
      <c r="K180" s="5">
        <v>2202</v>
      </c>
      <c r="L180" s="5">
        <v>2202</v>
      </c>
      <c r="M180" s="5">
        <v>2202</v>
      </c>
      <c r="N180" s="5">
        <v>2202</v>
      </c>
      <c r="O180" s="5">
        <v>1</v>
      </c>
      <c r="Q180" s="6">
        <v>38411</v>
      </c>
      <c r="R180" s="7">
        <v>0.66666666666666663</v>
      </c>
      <c r="S180" s="5">
        <v>180.95</v>
      </c>
      <c r="T180" s="5">
        <v>185</v>
      </c>
      <c r="U180" s="5">
        <v>175.8</v>
      </c>
      <c r="V180" s="5">
        <v>176.5</v>
      </c>
      <c r="W180" s="5">
        <v>121200</v>
      </c>
      <c r="Y180" s="6">
        <f t="shared" si="4"/>
        <v>40059</v>
      </c>
      <c r="Z180" s="5">
        <f t="shared" si="5"/>
        <v>2202</v>
      </c>
      <c r="AA180" s="5">
        <v>147.76</v>
      </c>
      <c r="AB180" s="5">
        <v>92</v>
      </c>
    </row>
    <row r="181" spans="1:28" x14ac:dyDescent="0.3">
      <c r="A181" s="6">
        <v>38419</v>
      </c>
      <c r="B181" s="7">
        <v>0.66666666666666663</v>
      </c>
      <c r="C181" s="5">
        <v>207.85</v>
      </c>
      <c r="D181" s="5">
        <v>208.75</v>
      </c>
      <c r="E181" s="5">
        <v>204.5</v>
      </c>
      <c r="F181" s="5">
        <v>208.75</v>
      </c>
      <c r="G181" s="5">
        <v>3600</v>
      </c>
      <c r="I181" s="6">
        <v>40060</v>
      </c>
      <c r="J181" s="7">
        <v>0.66666666666666663</v>
      </c>
      <c r="K181" s="5">
        <v>2202</v>
      </c>
      <c r="L181" s="5">
        <v>2260</v>
      </c>
      <c r="M181" s="5">
        <v>2200</v>
      </c>
      <c r="N181" s="5">
        <v>2200</v>
      </c>
      <c r="O181" s="5">
        <v>218</v>
      </c>
      <c r="Q181" s="6">
        <v>38412</v>
      </c>
      <c r="R181" s="7">
        <v>0.66666666666666663</v>
      </c>
      <c r="S181" s="5">
        <v>176.5</v>
      </c>
      <c r="T181" s="5">
        <v>182.85</v>
      </c>
      <c r="U181" s="5">
        <v>175.5</v>
      </c>
      <c r="V181" s="5">
        <v>182</v>
      </c>
      <c r="W181" s="5">
        <v>412300</v>
      </c>
      <c r="Y181" s="6">
        <f t="shared" si="4"/>
        <v>40060</v>
      </c>
      <c r="Z181" s="5">
        <f t="shared" si="5"/>
        <v>2200</v>
      </c>
      <c r="AA181" s="5">
        <v>148.49</v>
      </c>
      <c r="AB181" s="5">
        <v>92</v>
      </c>
    </row>
    <row r="182" spans="1:28" x14ac:dyDescent="0.3">
      <c r="A182" s="6">
        <v>38420</v>
      </c>
      <c r="B182" s="7">
        <v>0.66666666666666663</v>
      </c>
      <c r="C182" s="5">
        <v>207</v>
      </c>
      <c r="D182" s="5">
        <v>215</v>
      </c>
      <c r="E182" s="5">
        <v>205.25</v>
      </c>
      <c r="F182" s="5">
        <v>215</v>
      </c>
      <c r="G182" s="5">
        <v>9600</v>
      </c>
      <c r="I182" s="6">
        <v>40063</v>
      </c>
      <c r="J182" s="7">
        <v>0.66666666666666663</v>
      </c>
      <c r="K182" s="5">
        <v>2200</v>
      </c>
      <c r="L182" s="5">
        <v>2284.9499999999998</v>
      </c>
      <c r="M182" s="5">
        <v>2100.02</v>
      </c>
      <c r="N182" s="5">
        <v>2200</v>
      </c>
      <c r="O182" s="5">
        <v>112</v>
      </c>
      <c r="Q182" s="6">
        <v>38413</v>
      </c>
      <c r="R182" s="7">
        <v>0.66666666666666663</v>
      </c>
      <c r="S182" s="5">
        <v>182</v>
      </c>
      <c r="T182" s="5">
        <v>184</v>
      </c>
      <c r="U182" s="5">
        <v>176</v>
      </c>
      <c r="V182" s="5">
        <v>176</v>
      </c>
      <c r="W182" s="5">
        <v>202700</v>
      </c>
      <c r="Y182" s="6">
        <f t="shared" si="4"/>
        <v>40063</v>
      </c>
      <c r="Z182" s="5">
        <f t="shared" si="5"/>
        <v>2200</v>
      </c>
      <c r="AA182" s="5">
        <v>149.01</v>
      </c>
      <c r="AB182" s="5">
        <v>91.03</v>
      </c>
    </row>
    <row r="183" spans="1:28" x14ac:dyDescent="0.3">
      <c r="A183" s="6">
        <v>38421</v>
      </c>
      <c r="B183" s="7">
        <v>0.66666666666666663</v>
      </c>
      <c r="C183" s="5">
        <v>205</v>
      </c>
      <c r="D183" s="5">
        <v>214.95</v>
      </c>
      <c r="E183" s="5">
        <v>205</v>
      </c>
      <c r="F183" s="5">
        <v>212</v>
      </c>
      <c r="G183" s="5">
        <v>2100</v>
      </c>
      <c r="I183" s="6">
        <v>40064</v>
      </c>
      <c r="J183" s="7">
        <v>0.66666666666666663</v>
      </c>
      <c r="K183" s="5">
        <v>2200</v>
      </c>
      <c r="L183" s="5">
        <v>2245</v>
      </c>
      <c r="M183" s="5">
        <v>2150</v>
      </c>
      <c r="N183" s="5">
        <v>2210.6298999999999</v>
      </c>
      <c r="O183" s="5">
        <v>529</v>
      </c>
      <c r="Q183" s="6">
        <v>38414</v>
      </c>
      <c r="R183" s="7">
        <v>0.66666666666666663</v>
      </c>
      <c r="S183" s="5">
        <v>176</v>
      </c>
      <c r="T183" s="5">
        <v>176.95</v>
      </c>
      <c r="U183" s="5">
        <v>167.25</v>
      </c>
      <c r="V183" s="5">
        <v>176.5</v>
      </c>
      <c r="W183" s="5">
        <v>107100</v>
      </c>
      <c r="Y183" s="6">
        <f t="shared" si="4"/>
        <v>40064</v>
      </c>
      <c r="Z183" s="5">
        <f t="shared" si="5"/>
        <v>2210.6298999999999</v>
      </c>
      <c r="AA183" s="5">
        <v>145.44</v>
      </c>
      <c r="AB183" s="5">
        <v>90.23</v>
      </c>
    </row>
    <row r="184" spans="1:28" x14ac:dyDescent="0.3">
      <c r="A184" s="6">
        <v>38422</v>
      </c>
      <c r="B184" s="7">
        <v>0.66666666666666663</v>
      </c>
      <c r="C184" s="5">
        <v>214.9</v>
      </c>
      <c r="D184" s="5">
        <v>219.9</v>
      </c>
      <c r="E184" s="5">
        <v>210</v>
      </c>
      <c r="F184" s="5">
        <v>210</v>
      </c>
      <c r="G184" s="5">
        <v>7300</v>
      </c>
      <c r="I184" s="6">
        <v>40065</v>
      </c>
      <c r="J184" s="7">
        <v>0.66666666666666663</v>
      </c>
      <c r="K184" s="5">
        <v>2210.6298999999999</v>
      </c>
      <c r="L184" s="5">
        <v>2239.4198999999999</v>
      </c>
      <c r="M184" s="5">
        <v>2150</v>
      </c>
      <c r="N184" s="5">
        <v>2224.9398999999999</v>
      </c>
      <c r="O184" s="5">
        <v>270</v>
      </c>
      <c r="Q184" s="6">
        <v>38415</v>
      </c>
      <c r="R184" s="7">
        <v>0.66666666666666663</v>
      </c>
      <c r="S184" s="5">
        <v>176.5</v>
      </c>
      <c r="T184" s="5">
        <v>180</v>
      </c>
      <c r="U184" s="5">
        <v>170</v>
      </c>
      <c r="V184" s="5">
        <v>173.5</v>
      </c>
      <c r="W184" s="5">
        <v>95100</v>
      </c>
      <c r="Y184" s="6">
        <f t="shared" si="4"/>
        <v>40065</v>
      </c>
      <c r="Z184" s="5">
        <f t="shared" si="5"/>
        <v>2224.9398999999999</v>
      </c>
      <c r="AA184" s="5">
        <v>152.63999999999999</v>
      </c>
      <c r="AB184" s="5">
        <v>91.04</v>
      </c>
    </row>
    <row r="185" spans="1:28" x14ac:dyDescent="0.3">
      <c r="A185" s="6">
        <v>38425</v>
      </c>
      <c r="B185" s="7">
        <v>0.66666666666666663</v>
      </c>
      <c r="C185" s="5">
        <v>217</v>
      </c>
      <c r="D185" s="5">
        <v>218</v>
      </c>
      <c r="E185" s="5">
        <v>214</v>
      </c>
      <c r="F185" s="5">
        <v>214</v>
      </c>
      <c r="G185" s="5">
        <v>2800</v>
      </c>
      <c r="I185" s="6">
        <v>40066</v>
      </c>
      <c r="J185" s="7">
        <v>0.66666666666666663</v>
      </c>
      <c r="K185" s="5">
        <v>2250</v>
      </c>
      <c r="L185" s="5">
        <v>2336</v>
      </c>
      <c r="M185" s="5">
        <v>2250</v>
      </c>
      <c r="N185" s="5">
        <v>2312.3899000000001</v>
      </c>
      <c r="O185" s="5">
        <v>20194</v>
      </c>
      <c r="Q185" s="6">
        <v>38418</v>
      </c>
      <c r="R185" s="7">
        <v>0.66666666666666663</v>
      </c>
      <c r="S185" s="5">
        <v>175</v>
      </c>
      <c r="T185" s="5">
        <v>186.5</v>
      </c>
      <c r="U185" s="5">
        <v>175</v>
      </c>
      <c r="V185" s="5">
        <v>186.5</v>
      </c>
      <c r="W185" s="5">
        <v>767700</v>
      </c>
      <c r="Y185" s="6">
        <f t="shared" si="4"/>
        <v>40066</v>
      </c>
      <c r="Z185" s="5">
        <f t="shared" si="5"/>
        <v>2312.3899000000001</v>
      </c>
      <c r="AA185" s="5">
        <v>154.74</v>
      </c>
      <c r="AB185" s="5">
        <v>90.5</v>
      </c>
    </row>
    <row r="186" spans="1:28" x14ac:dyDescent="0.3">
      <c r="A186" s="6">
        <v>38426</v>
      </c>
      <c r="B186" s="7">
        <v>0.66666666666666663</v>
      </c>
      <c r="C186" s="5">
        <v>214</v>
      </c>
      <c r="D186" s="5">
        <v>219.9</v>
      </c>
      <c r="E186" s="5">
        <v>214</v>
      </c>
      <c r="F186" s="5">
        <v>216</v>
      </c>
      <c r="G186" s="5">
        <v>2600</v>
      </c>
      <c r="I186" s="6">
        <v>40067</v>
      </c>
      <c r="J186" s="7">
        <v>0.66666666666666663</v>
      </c>
      <c r="K186" s="5">
        <v>2300</v>
      </c>
      <c r="L186" s="5">
        <v>2300</v>
      </c>
      <c r="M186" s="5">
        <v>2268</v>
      </c>
      <c r="N186" s="5">
        <v>2290</v>
      </c>
      <c r="O186" s="5">
        <v>39</v>
      </c>
      <c r="Q186" s="6">
        <v>38419</v>
      </c>
      <c r="R186" s="7">
        <v>0.66666666666666663</v>
      </c>
      <c r="S186" s="5">
        <v>193.5</v>
      </c>
      <c r="T186" s="5">
        <v>200.45</v>
      </c>
      <c r="U186" s="5">
        <v>193.5</v>
      </c>
      <c r="V186" s="5">
        <v>200</v>
      </c>
      <c r="W186" s="5">
        <v>928200</v>
      </c>
      <c r="Y186" s="6">
        <f t="shared" si="4"/>
        <v>40067</v>
      </c>
      <c r="Z186" s="5">
        <f t="shared" si="5"/>
        <v>2290</v>
      </c>
      <c r="AA186" s="5">
        <v>154.80000000000001</v>
      </c>
      <c r="AB186" s="5">
        <v>90.84</v>
      </c>
    </row>
    <row r="187" spans="1:28" x14ac:dyDescent="0.3">
      <c r="A187" s="6">
        <v>38427</v>
      </c>
      <c r="B187" s="7">
        <v>0.66666666666666663</v>
      </c>
      <c r="C187" s="5">
        <v>215.25</v>
      </c>
      <c r="D187" s="5">
        <v>215.25</v>
      </c>
      <c r="E187" s="5">
        <v>210</v>
      </c>
      <c r="F187" s="5">
        <v>210</v>
      </c>
      <c r="G187" s="5">
        <v>5300</v>
      </c>
      <c r="I187" s="6">
        <v>40070</v>
      </c>
      <c r="J187" s="7">
        <v>0.66666666666666663</v>
      </c>
      <c r="K187" s="5">
        <v>2294</v>
      </c>
      <c r="L187" s="5">
        <v>2300</v>
      </c>
      <c r="M187" s="5">
        <v>2294</v>
      </c>
      <c r="N187" s="5">
        <v>2294</v>
      </c>
      <c r="O187" s="5">
        <v>22</v>
      </c>
      <c r="Q187" s="6">
        <v>38420</v>
      </c>
      <c r="R187" s="7">
        <v>0.66666666666666663</v>
      </c>
      <c r="S187" s="5">
        <v>211</v>
      </c>
      <c r="T187" s="5">
        <v>215</v>
      </c>
      <c r="U187" s="5">
        <v>211</v>
      </c>
      <c r="V187" s="5">
        <v>215</v>
      </c>
      <c r="W187" s="5">
        <v>531100</v>
      </c>
      <c r="Y187" s="6">
        <f t="shared" si="4"/>
        <v>40070</v>
      </c>
      <c r="Z187" s="5">
        <f t="shared" si="5"/>
        <v>2294</v>
      </c>
      <c r="AA187" s="5">
        <v>150.97</v>
      </c>
      <c r="AB187" s="5">
        <v>90.3</v>
      </c>
    </row>
    <row r="188" spans="1:28" x14ac:dyDescent="0.3">
      <c r="A188" s="6">
        <v>38428</v>
      </c>
      <c r="B188" s="7">
        <v>0.66666666666666663</v>
      </c>
      <c r="C188" s="5">
        <v>170</v>
      </c>
      <c r="D188" s="5">
        <v>179</v>
      </c>
      <c r="E188" s="5">
        <v>163.9</v>
      </c>
      <c r="F188" s="5">
        <v>163.9</v>
      </c>
      <c r="G188" s="5">
        <v>800</v>
      </c>
      <c r="I188" s="6">
        <v>40071</v>
      </c>
      <c r="J188" s="7">
        <v>0.66666666666666663</v>
      </c>
      <c r="K188" s="5">
        <v>2260</v>
      </c>
      <c r="L188" s="5">
        <v>2260</v>
      </c>
      <c r="M188" s="5">
        <v>2249</v>
      </c>
      <c r="N188" s="5">
        <v>2251.4499999999998</v>
      </c>
      <c r="O188" s="5">
        <v>194</v>
      </c>
      <c r="Q188" s="6">
        <v>38421</v>
      </c>
      <c r="R188" s="7">
        <v>0.66666666666666663</v>
      </c>
      <c r="S188" s="5">
        <v>215</v>
      </c>
      <c r="T188" s="5">
        <v>225</v>
      </c>
      <c r="U188" s="5">
        <v>204.25</v>
      </c>
      <c r="V188" s="5">
        <v>211</v>
      </c>
      <c r="W188" s="5">
        <v>632500</v>
      </c>
      <c r="Y188" s="6">
        <f t="shared" si="4"/>
        <v>40071</v>
      </c>
      <c r="Z188" s="5">
        <f t="shared" si="5"/>
        <v>2251.4499999999998</v>
      </c>
      <c r="AA188" s="5">
        <v>150.44999999999999</v>
      </c>
      <c r="AB188" s="5">
        <v>90</v>
      </c>
    </row>
    <row r="189" spans="1:28" x14ac:dyDescent="0.3">
      <c r="A189" s="6">
        <v>38429</v>
      </c>
      <c r="B189" s="7">
        <v>0.66666666666666663</v>
      </c>
      <c r="C189" s="5">
        <v>169</v>
      </c>
      <c r="D189" s="5">
        <v>169</v>
      </c>
      <c r="E189" s="5">
        <v>165</v>
      </c>
      <c r="F189" s="5">
        <v>165</v>
      </c>
      <c r="G189" s="5">
        <v>1100</v>
      </c>
      <c r="I189" s="6">
        <v>40072</v>
      </c>
      <c r="J189" s="7">
        <v>0.66666666666666663</v>
      </c>
      <c r="K189" s="5">
        <v>2251.4499999999998</v>
      </c>
      <c r="L189" s="5">
        <v>2260</v>
      </c>
      <c r="M189" s="5">
        <v>2226.0100000000002</v>
      </c>
      <c r="N189" s="5">
        <v>2226.0100000000002</v>
      </c>
      <c r="O189" s="5">
        <v>141</v>
      </c>
      <c r="Q189" s="6">
        <v>38422</v>
      </c>
      <c r="R189" s="7">
        <v>0.66666666666666663</v>
      </c>
      <c r="S189" s="5">
        <v>211</v>
      </c>
      <c r="T189" s="5">
        <v>218.95</v>
      </c>
      <c r="U189" s="5">
        <v>203.15</v>
      </c>
      <c r="V189" s="5">
        <v>207.8</v>
      </c>
      <c r="W189" s="5">
        <v>149100</v>
      </c>
      <c r="Y189" s="6">
        <f t="shared" si="4"/>
        <v>40072</v>
      </c>
      <c r="Z189" s="5">
        <f t="shared" si="5"/>
        <v>2226.0100000000002</v>
      </c>
      <c r="AA189" s="5">
        <v>152.18</v>
      </c>
      <c r="AB189" s="5">
        <v>90.07</v>
      </c>
    </row>
    <row r="190" spans="1:28" x14ac:dyDescent="0.3">
      <c r="A190" s="6">
        <v>38432</v>
      </c>
      <c r="B190" s="7">
        <v>0.66666666666666663</v>
      </c>
      <c r="C190" s="5">
        <v>160</v>
      </c>
      <c r="D190" s="5">
        <v>160</v>
      </c>
      <c r="E190" s="5">
        <v>156.75</v>
      </c>
      <c r="F190" s="5">
        <v>156.75</v>
      </c>
      <c r="G190" s="5">
        <v>4000</v>
      </c>
      <c r="I190" s="6">
        <v>40073</v>
      </c>
      <c r="J190" s="7">
        <v>0.66666666666666663</v>
      </c>
      <c r="K190" s="5">
        <v>2226.0100000000002</v>
      </c>
      <c r="L190" s="5">
        <v>2265</v>
      </c>
      <c r="M190" s="5">
        <v>2225.0100000000002</v>
      </c>
      <c r="N190" s="5">
        <v>2250.0100000000002</v>
      </c>
      <c r="O190" s="5">
        <v>1357</v>
      </c>
      <c r="Q190" s="6">
        <v>38425</v>
      </c>
      <c r="R190" s="7">
        <v>0.66666666666666663</v>
      </c>
      <c r="S190" s="5">
        <v>208</v>
      </c>
      <c r="T190" s="5">
        <v>217.25</v>
      </c>
      <c r="U190" s="5">
        <v>208</v>
      </c>
      <c r="V190" s="5">
        <v>213</v>
      </c>
      <c r="W190" s="5">
        <v>243000</v>
      </c>
      <c r="Y190" s="6">
        <f t="shared" si="4"/>
        <v>40073</v>
      </c>
      <c r="Z190" s="5">
        <f t="shared" si="5"/>
        <v>2250.0100000000002</v>
      </c>
      <c r="AA190" s="5">
        <v>154.86000000000001</v>
      </c>
      <c r="AB190" s="5">
        <v>91.25</v>
      </c>
    </row>
    <row r="191" spans="1:28" x14ac:dyDescent="0.3">
      <c r="A191" s="6">
        <v>38433</v>
      </c>
      <c r="B191" s="7">
        <v>0.66666666666666663</v>
      </c>
      <c r="C191" s="5">
        <v>155</v>
      </c>
      <c r="D191" s="5">
        <v>155</v>
      </c>
      <c r="E191" s="5">
        <v>148.94999999999999</v>
      </c>
      <c r="F191" s="5">
        <v>148.94999999999999</v>
      </c>
      <c r="G191" s="5">
        <v>900</v>
      </c>
      <c r="I191" s="6">
        <v>40074</v>
      </c>
      <c r="J191" s="7">
        <v>0.66666666666666663</v>
      </c>
      <c r="K191" s="5">
        <v>2250.0100000000002</v>
      </c>
      <c r="L191" s="5">
        <v>2259</v>
      </c>
      <c r="M191" s="5">
        <v>2220</v>
      </c>
      <c r="N191" s="5">
        <v>2259</v>
      </c>
      <c r="O191" s="5">
        <v>35</v>
      </c>
      <c r="Q191" s="6">
        <v>38426</v>
      </c>
      <c r="R191" s="7">
        <v>0.66666666666666663</v>
      </c>
      <c r="S191" s="5">
        <v>213</v>
      </c>
      <c r="T191" s="5">
        <v>216</v>
      </c>
      <c r="U191" s="5">
        <v>203</v>
      </c>
      <c r="V191" s="5">
        <v>208.5</v>
      </c>
      <c r="W191" s="5">
        <v>151300</v>
      </c>
      <c r="Y191" s="6">
        <f t="shared" si="4"/>
        <v>40074</v>
      </c>
      <c r="Z191" s="5">
        <f t="shared" si="5"/>
        <v>2259</v>
      </c>
      <c r="AA191" s="5">
        <v>156.12</v>
      </c>
      <c r="AB191" s="5">
        <v>91.5</v>
      </c>
    </row>
    <row r="192" spans="1:28" x14ac:dyDescent="0.3">
      <c r="A192" s="6">
        <v>38435</v>
      </c>
      <c r="B192" s="7">
        <v>0.66666666666666663</v>
      </c>
      <c r="C192" s="5">
        <v>144.25</v>
      </c>
      <c r="D192" s="5">
        <v>147</v>
      </c>
      <c r="E192" s="5">
        <v>143.25</v>
      </c>
      <c r="F192" s="5">
        <v>146</v>
      </c>
      <c r="G192" s="5">
        <v>1800</v>
      </c>
      <c r="I192" s="6">
        <v>40080</v>
      </c>
      <c r="J192" s="7">
        <v>0.66666666666666663</v>
      </c>
      <c r="K192" s="5">
        <v>2260</v>
      </c>
      <c r="L192" s="5">
        <v>2370</v>
      </c>
      <c r="M192" s="5">
        <v>2260</v>
      </c>
      <c r="N192" s="5">
        <v>2350</v>
      </c>
      <c r="O192" s="5">
        <v>602</v>
      </c>
      <c r="Q192" s="6">
        <v>38427</v>
      </c>
      <c r="R192" s="7">
        <v>0.66666666666666663</v>
      </c>
      <c r="S192" s="5">
        <v>208.5</v>
      </c>
      <c r="T192" s="5">
        <v>210</v>
      </c>
      <c r="U192" s="5">
        <v>200</v>
      </c>
      <c r="V192" s="5">
        <v>204</v>
      </c>
      <c r="W192" s="5">
        <v>149000</v>
      </c>
      <c r="Y192" s="6">
        <f t="shared" si="4"/>
        <v>40080</v>
      </c>
      <c r="Z192" s="5">
        <f t="shared" si="5"/>
        <v>2350</v>
      </c>
      <c r="AA192" s="5">
        <v>163.92</v>
      </c>
      <c r="AB192" s="5">
        <v>92.69</v>
      </c>
    </row>
    <row r="193" spans="1:28" x14ac:dyDescent="0.3">
      <c r="A193" s="6">
        <v>38436</v>
      </c>
      <c r="B193" s="7">
        <v>0.66666666666666663</v>
      </c>
      <c r="C193" s="5">
        <v>141.1</v>
      </c>
      <c r="D193" s="5">
        <v>141.1</v>
      </c>
      <c r="E193" s="5">
        <v>138.69999999999999</v>
      </c>
      <c r="F193" s="5">
        <v>138.69999999999999</v>
      </c>
      <c r="G193" s="5">
        <v>3000</v>
      </c>
      <c r="I193" s="6">
        <v>40081</v>
      </c>
      <c r="J193" s="7">
        <v>0.66666666666666663</v>
      </c>
      <c r="K193" s="5">
        <v>2349</v>
      </c>
      <c r="L193" s="5">
        <v>2349</v>
      </c>
      <c r="M193" s="5">
        <v>2260.0100000000002</v>
      </c>
      <c r="N193" s="5">
        <v>2321</v>
      </c>
      <c r="O193" s="5">
        <v>298</v>
      </c>
      <c r="Q193" s="6">
        <v>38428</v>
      </c>
      <c r="R193" s="7">
        <v>0.66666666666666663</v>
      </c>
      <c r="S193" s="5">
        <v>204</v>
      </c>
      <c r="T193" s="5">
        <v>206</v>
      </c>
      <c r="U193" s="5">
        <v>193.8</v>
      </c>
      <c r="V193" s="5">
        <v>194</v>
      </c>
      <c r="W193" s="5">
        <v>112400</v>
      </c>
      <c r="Y193" s="6">
        <f t="shared" si="4"/>
        <v>40081</v>
      </c>
      <c r="Z193" s="5">
        <f t="shared" si="5"/>
        <v>2321</v>
      </c>
      <c r="AA193" s="5">
        <v>169.62</v>
      </c>
      <c r="AB193" s="5">
        <v>93.09</v>
      </c>
    </row>
    <row r="194" spans="1:28" x14ac:dyDescent="0.3">
      <c r="A194" s="6">
        <v>38439</v>
      </c>
      <c r="B194" s="7">
        <v>0.66666666666666663</v>
      </c>
      <c r="C194" s="5">
        <v>138</v>
      </c>
      <c r="D194" s="5">
        <v>146.9</v>
      </c>
      <c r="E194" s="5">
        <v>132.5</v>
      </c>
      <c r="F194" s="5">
        <v>132.5</v>
      </c>
      <c r="G194" s="5">
        <v>6600</v>
      </c>
      <c r="I194" s="6">
        <v>40084</v>
      </c>
      <c r="J194" s="7">
        <v>0.66666666666666663</v>
      </c>
      <c r="K194" s="5">
        <v>2279</v>
      </c>
      <c r="L194" s="5">
        <v>2279</v>
      </c>
      <c r="M194" s="5">
        <v>2240</v>
      </c>
      <c r="N194" s="5">
        <v>2250</v>
      </c>
      <c r="O194" s="5">
        <v>112</v>
      </c>
      <c r="Q194" s="6">
        <v>38429</v>
      </c>
      <c r="R194" s="7">
        <v>0.66666666666666663</v>
      </c>
      <c r="S194" s="5">
        <v>194</v>
      </c>
      <c r="T194" s="5">
        <v>195</v>
      </c>
      <c r="U194" s="5">
        <v>184.3</v>
      </c>
      <c r="V194" s="5">
        <v>194.9</v>
      </c>
      <c r="W194" s="5">
        <v>52500</v>
      </c>
      <c r="Y194" s="6">
        <f t="shared" si="4"/>
        <v>40084</v>
      </c>
      <c r="Z194" s="5">
        <f t="shared" si="5"/>
        <v>2250</v>
      </c>
      <c r="AA194" s="5">
        <v>162.41999999999999</v>
      </c>
      <c r="AB194" s="5">
        <v>93.05</v>
      </c>
    </row>
    <row r="195" spans="1:28" x14ac:dyDescent="0.3">
      <c r="A195" s="6">
        <v>38440</v>
      </c>
      <c r="B195" s="7">
        <v>0.66666666666666663</v>
      </c>
      <c r="C195" s="5">
        <v>135.5</v>
      </c>
      <c r="D195" s="5">
        <v>142.4</v>
      </c>
      <c r="E195" s="5">
        <v>135.5</v>
      </c>
      <c r="F195" s="5">
        <v>142.4</v>
      </c>
      <c r="G195" s="5">
        <v>900</v>
      </c>
      <c r="I195" s="6">
        <v>40085</v>
      </c>
      <c r="J195" s="7">
        <v>0.66666666666666663</v>
      </c>
      <c r="K195" s="5">
        <v>2250</v>
      </c>
      <c r="L195" s="5">
        <v>2251</v>
      </c>
      <c r="M195" s="5">
        <v>2250</v>
      </c>
      <c r="N195" s="5">
        <v>2250.1999999999998</v>
      </c>
      <c r="O195" s="5">
        <v>100</v>
      </c>
      <c r="Q195" s="6">
        <v>38432</v>
      </c>
      <c r="R195" s="7">
        <v>0.66666666666666663</v>
      </c>
      <c r="S195" s="5">
        <v>187</v>
      </c>
      <c r="T195" s="5">
        <v>187</v>
      </c>
      <c r="U195" s="5">
        <v>185.2</v>
      </c>
      <c r="V195" s="5">
        <v>185.75</v>
      </c>
      <c r="W195" s="5">
        <v>43100</v>
      </c>
      <c r="Y195" s="6">
        <f t="shared" si="4"/>
        <v>40085</v>
      </c>
      <c r="Z195" s="5">
        <f t="shared" si="5"/>
        <v>2250.1999999999998</v>
      </c>
      <c r="AA195" s="5">
        <v>166.82</v>
      </c>
      <c r="AB195" s="5">
        <v>95.02</v>
      </c>
    </row>
    <row r="196" spans="1:28" x14ac:dyDescent="0.3">
      <c r="A196" s="6">
        <v>38441</v>
      </c>
      <c r="B196" s="7">
        <v>0.66666666666666663</v>
      </c>
      <c r="C196" s="5">
        <v>153</v>
      </c>
      <c r="D196" s="5">
        <v>153.05000000000001</v>
      </c>
      <c r="E196" s="5">
        <v>147</v>
      </c>
      <c r="F196" s="5">
        <v>153.05000000000001</v>
      </c>
      <c r="G196" s="5">
        <v>1600</v>
      </c>
      <c r="I196" s="6">
        <v>40086</v>
      </c>
      <c r="J196" s="7">
        <v>0.66666666666666663</v>
      </c>
      <c r="K196" s="5">
        <v>2250.1999999999998</v>
      </c>
      <c r="L196" s="5">
        <v>2290</v>
      </c>
      <c r="M196" s="5">
        <v>2240</v>
      </c>
      <c r="N196" s="5">
        <v>2283.6001000000001</v>
      </c>
      <c r="O196" s="5">
        <v>712</v>
      </c>
      <c r="Q196" s="6">
        <v>38433</v>
      </c>
      <c r="R196" s="7">
        <v>0.66666666666666663</v>
      </c>
      <c r="S196" s="5">
        <v>184</v>
      </c>
      <c r="T196" s="5">
        <v>184</v>
      </c>
      <c r="U196" s="5">
        <v>176.5</v>
      </c>
      <c r="V196" s="5">
        <v>176.5</v>
      </c>
      <c r="W196" s="5">
        <v>30800</v>
      </c>
      <c r="Y196" s="6">
        <f t="shared" ref="Y196:Y259" si="6">I196</f>
        <v>40086</v>
      </c>
      <c r="Z196" s="5">
        <f t="shared" ref="Z196:Z259" si="7">N196</f>
        <v>2283.6001000000001</v>
      </c>
      <c r="AA196" s="5">
        <v>160.88999999999999</v>
      </c>
      <c r="AB196" s="5">
        <v>93</v>
      </c>
    </row>
    <row r="197" spans="1:28" x14ac:dyDescent="0.3">
      <c r="A197" s="6">
        <v>38442</v>
      </c>
      <c r="B197" s="7">
        <v>0.66666666666666663</v>
      </c>
      <c r="C197" s="5">
        <v>160</v>
      </c>
      <c r="D197" s="5">
        <v>164</v>
      </c>
      <c r="E197" s="5">
        <v>155</v>
      </c>
      <c r="F197" s="5">
        <v>159.9</v>
      </c>
      <c r="G197" s="5">
        <v>4100</v>
      </c>
      <c r="I197" s="6">
        <v>40087</v>
      </c>
      <c r="J197" s="7">
        <v>0.66666666666666663</v>
      </c>
      <c r="K197" s="5">
        <v>2283.6001000000001</v>
      </c>
      <c r="L197" s="5">
        <v>2300</v>
      </c>
      <c r="M197" s="5">
        <v>2280</v>
      </c>
      <c r="N197" s="5">
        <v>2290</v>
      </c>
      <c r="O197" s="5">
        <v>634</v>
      </c>
      <c r="Q197" s="6">
        <v>38435</v>
      </c>
      <c r="R197" s="7">
        <v>0.66666666666666663</v>
      </c>
      <c r="S197" s="5">
        <v>167.7</v>
      </c>
      <c r="T197" s="5">
        <v>167.7</v>
      </c>
      <c r="U197" s="5">
        <v>167.7</v>
      </c>
      <c r="V197" s="5">
        <v>167.7</v>
      </c>
      <c r="W197" s="5">
        <v>29400</v>
      </c>
      <c r="Y197" s="6">
        <f t="shared" si="6"/>
        <v>40087</v>
      </c>
      <c r="Z197" s="5">
        <f t="shared" si="7"/>
        <v>2290</v>
      </c>
      <c r="AA197" s="5">
        <v>156.61000000000001</v>
      </c>
      <c r="AB197" s="5">
        <v>94.71</v>
      </c>
    </row>
    <row r="198" spans="1:28" x14ac:dyDescent="0.3">
      <c r="A198" s="6">
        <v>38443</v>
      </c>
      <c r="B198" s="7">
        <v>0.66666666666666663</v>
      </c>
      <c r="C198" s="5">
        <v>152.5</v>
      </c>
      <c r="D198" s="5">
        <v>152.5</v>
      </c>
      <c r="E198" s="5">
        <v>152.5</v>
      </c>
      <c r="F198" s="5">
        <v>152.5</v>
      </c>
      <c r="G198" s="5">
        <v>800</v>
      </c>
      <c r="I198" s="6">
        <v>40088</v>
      </c>
      <c r="J198" s="7">
        <v>0.66666666666666663</v>
      </c>
      <c r="K198" s="5">
        <v>2290</v>
      </c>
      <c r="L198" s="5">
        <v>2300</v>
      </c>
      <c r="M198" s="5">
        <v>2260</v>
      </c>
      <c r="N198" s="5">
        <v>2298.2399999999998</v>
      </c>
      <c r="O198" s="5">
        <v>317</v>
      </c>
      <c r="Q198" s="6">
        <v>38436</v>
      </c>
      <c r="R198" s="7">
        <v>0.66666666666666663</v>
      </c>
      <c r="S198" s="5">
        <v>159.35</v>
      </c>
      <c r="T198" s="5">
        <v>159.35</v>
      </c>
      <c r="U198" s="5">
        <v>159.35</v>
      </c>
      <c r="V198" s="5">
        <v>159.35</v>
      </c>
      <c r="W198" s="5">
        <v>8100</v>
      </c>
      <c r="Y198" s="6">
        <f t="shared" si="6"/>
        <v>40088</v>
      </c>
      <c r="Z198" s="5">
        <f t="shared" si="7"/>
        <v>2298.2399999999998</v>
      </c>
      <c r="AA198" s="5">
        <v>148.78</v>
      </c>
      <c r="AB198" s="5">
        <v>95.76</v>
      </c>
    </row>
    <row r="199" spans="1:28" x14ac:dyDescent="0.3">
      <c r="A199" s="6">
        <v>38446</v>
      </c>
      <c r="B199" s="7">
        <v>0.66666666666666663</v>
      </c>
      <c r="C199" s="5">
        <v>152</v>
      </c>
      <c r="D199" s="5">
        <v>161</v>
      </c>
      <c r="E199" s="5">
        <v>152</v>
      </c>
      <c r="F199" s="5">
        <v>158</v>
      </c>
      <c r="G199" s="5">
        <v>3000</v>
      </c>
      <c r="I199" s="6">
        <v>40091</v>
      </c>
      <c r="J199" s="7">
        <v>0.66666666666666663</v>
      </c>
      <c r="K199" s="5">
        <v>2298.2399999999998</v>
      </c>
      <c r="L199" s="5">
        <v>2340</v>
      </c>
      <c r="M199" s="5">
        <v>2260</v>
      </c>
      <c r="N199" s="5">
        <v>2261.8301000000001</v>
      </c>
      <c r="O199" s="5">
        <v>67</v>
      </c>
      <c r="Q199" s="6">
        <v>38439</v>
      </c>
      <c r="R199" s="7">
        <v>0.66666666666666663</v>
      </c>
      <c r="S199" s="5">
        <v>151.4</v>
      </c>
      <c r="T199" s="5">
        <v>151.4</v>
      </c>
      <c r="U199" s="5">
        <v>151.4</v>
      </c>
      <c r="V199" s="5">
        <v>151.4</v>
      </c>
      <c r="W199" s="5">
        <v>26900</v>
      </c>
      <c r="Y199" s="6">
        <f t="shared" si="6"/>
        <v>40091</v>
      </c>
      <c r="Z199" s="5">
        <f t="shared" si="7"/>
        <v>2261.8301000000001</v>
      </c>
      <c r="AA199" s="5">
        <v>142.72</v>
      </c>
      <c r="AB199" s="5">
        <v>97.33</v>
      </c>
    </row>
    <row r="200" spans="1:28" x14ac:dyDescent="0.3">
      <c r="A200" s="6">
        <v>38447</v>
      </c>
      <c r="B200" s="7">
        <v>0.66666666666666663</v>
      </c>
      <c r="C200" s="5">
        <v>162.94999999999999</v>
      </c>
      <c r="D200" s="5">
        <v>162.94999999999999</v>
      </c>
      <c r="E200" s="5">
        <v>156</v>
      </c>
      <c r="F200" s="5">
        <v>161</v>
      </c>
      <c r="G200" s="5">
        <v>1200</v>
      </c>
      <c r="I200" s="6">
        <v>40092</v>
      </c>
      <c r="J200" s="7">
        <v>0.66666666666666663</v>
      </c>
      <c r="K200" s="5">
        <v>2297</v>
      </c>
      <c r="L200" s="5">
        <v>2300</v>
      </c>
      <c r="M200" s="5">
        <v>2297</v>
      </c>
      <c r="N200" s="5">
        <v>2299.6001000000001</v>
      </c>
      <c r="O200" s="5">
        <v>186</v>
      </c>
      <c r="Q200" s="6">
        <v>38440</v>
      </c>
      <c r="R200" s="7">
        <v>0.66666666666666663</v>
      </c>
      <c r="S200" s="5">
        <v>151.4</v>
      </c>
      <c r="T200" s="5">
        <v>162.75</v>
      </c>
      <c r="U200" s="5">
        <v>143.85</v>
      </c>
      <c r="V200" s="5">
        <v>162.75</v>
      </c>
      <c r="W200" s="5">
        <v>147900</v>
      </c>
      <c r="Y200" s="6">
        <f t="shared" si="6"/>
        <v>40092</v>
      </c>
      <c r="Z200" s="5">
        <f t="shared" si="7"/>
        <v>2299.6001000000001</v>
      </c>
      <c r="AA200" s="5">
        <v>142.38999999999999</v>
      </c>
      <c r="AB200" s="5">
        <v>102.19</v>
      </c>
    </row>
    <row r="201" spans="1:28" x14ac:dyDescent="0.3">
      <c r="A201" s="6">
        <v>38448</v>
      </c>
      <c r="B201" s="7">
        <v>0.66666666666666663</v>
      </c>
      <c r="C201" s="5">
        <v>160</v>
      </c>
      <c r="D201" s="5">
        <v>160</v>
      </c>
      <c r="E201" s="5">
        <v>153</v>
      </c>
      <c r="F201" s="5">
        <v>154</v>
      </c>
      <c r="G201" s="5">
        <v>2900</v>
      </c>
      <c r="I201" s="6">
        <v>40093</v>
      </c>
      <c r="J201" s="7">
        <v>0.66666666666666663</v>
      </c>
      <c r="K201" s="5">
        <v>2299.6001000000001</v>
      </c>
      <c r="L201" s="5">
        <v>2340</v>
      </c>
      <c r="M201" s="5">
        <v>2282</v>
      </c>
      <c r="N201" s="5">
        <v>2295.5</v>
      </c>
      <c r="O201" s="5">
        <v>12</v>
      </c>
      <c r="Q201" s="6">
        <v>38441</v>
      </c>
      <c r="R201" s="7">
        <v>0.66666666666666663</v>
      </c>
      <c r="S201" s="5">
        <v>172</v>
      </c>
      <c r="T201" s="5">
        <v>174.95</v>
      </c>
      <c r="U201" s="5">
        <v>172</v>
      </c>
      <c r="V201" s="5">
        <v>174.95</v>
      </c>
      <c r="W201" s="5">
        <v>15200</v>
      </c>
      <c r="Y201" s="6">
        <f t="shared" si="6"/>
        <v>40093</v>
      </c>
      <c r="Z201" s="5">
        <f t="shared" si="7"/>
        <v>2295.5</v>
      </c>
      <c r="AA201" s="5">
        <v>145.56</v>
      </c>
      <c r="AB201" s="5">
        <v>107.29</v>
      </c>
    </row>
    <row r="202" spans="1:28" x14ac:dyDescent="0.3">
      <c r="A202" s="6">
        <v>38449</v>
      </c>
      <c r="B202" s="7">
        <v>0.66666666666666663</v>
      </c>
      <c r="C202" s="5">
        <v>151.1</v>
      </c>
      <c r="D202" s="5">
        <v>152.94999999999999</v>
      </c>
      <c r="E202" s="5">
        <v>150.05000000000001</v>
      </c>
      <c r="F202" s="5">
        <v>152.94999999999999</v>
      </c>
      <c r="G202" s="5">
        <v>3800</v>
      </c>
      <c r="I202" s="6">
        <v>40094</v>
      </c>
      <c r="J202" s="7">
        <v>0.66666666666666663</v>
      </c>
      <c r="K202" s="5">
        <v>2295.5</v>
      </c>
      <c r="L202" s="5">
        <v>2325</v>
      </c>
      <c r="M202" s="5">
        <v>2260</v>
      </c>
      <c r="N202" s="5">
        <v>2269.8000000000002</v>
      </c>
      <c r="O202" s="5">
        <v>669</v>
      </c>
      <c r="Q202" s="6">
        <v>38442</v>
      </c>
      <c r="R202" s="7">
        <v>0.66666666666666663</v>
      </c>
      <c r="S202" s="5">
        <v>174.95</v>
      </c>
      <c r="T202" s="5">
        <v>188.05</v>
      </c>
      <c r="U202" s="5">
        <v>170</v>
      </c>
      <c r="V202" s="5">
        <v>170</v>
      </c>
      <c r="W202" s="5">
        <v>248000</v>
      </c>
      <c r="Y202" s="6">
        <f t="shared" si="6"/>
        <v>40094</v>
      </c>
      <c r="Z202" s="5">
        <f t="shared" si="7"/>
        <v>2269.8000000000002</v>
      </c>
      <c r="AA202" s="5">
        <v>139.58000000000001</v>
      </c>
      <c r="AB202" s="5">
        <v>108.46</v>
      </c>
    </row>
    <row r="203" spans="1:28" x14ac:dyDescent="0.3">
      <c r="A203" s="6">
        <v>38450</v>
      </c>
      <c r="B203" s="7">
        <v>0.66666666666666663</v>
      </c>
      <c r="C203" s="5">
        <v>150</v>
      </c>
      <c r="D203" s="5">
        <v>150</v>
      </c>
      <c r="E203" s="5">
        <v>150</v>
      </c>
      <c r="F203" s="5">
        <v>150</v>
      </c>
      <c r="G203" s="5">
        <v>500</v>
      </c>
      <c r="I203" s="6">
        <v>40095</v>
      </c>
      <c r="J203" s="7">
        <v>0.66666666666666663</v>
      </c>
      <c r="K203" s="5">
        <v>2269.8000000000002</v>
      </c>
      <c r="L203" s="5">
        <v>2299</v>
      </c>
      <c r="M203" s="5">
        <v>2156.3101000000001</v>
      </c>
      <c r="N203" s="5">
        <v>2211.1001000000001</v>
      </c>
      <c r="O203" s="5">
        <v>52</v>
      </c>
      <c r="Q203" s="6">
        <v>38443</v>
      </c>
      <c r="R203" s="7">
        <v>0.66666666666666663</v>
      </c>
      <c r="S203" s="5">
        <v>170</v>
      </c>
      <c r="T203" s="5">
        <v>182.75</v>
      </c>
      <c r="U203" s="5">
        <v>163.5</v>
      </c>
      <c r="V203" s="5">
        <v>182.75</v>
      </c>
      <c r="W203" s="5">
        <v>55900</v>
      </c>
      <c r="Y203" s="6">
        <f t="shared" si="6"/>
        <v>40095</v>
      </c>
      <c r="Z203" s="5">
        <f t="shared" si="7"/>
        <v>2211.1001000000001</v>
      </c>
      <c r="AA203" s="5">
        <v>138.97</v>
      </c>
      <c r="AB203" s="5">
        <v>103.64</v>
      </c>
    </row>
    <row r="204" spans="1:28" x14ac:dyDescent="0.3">
      <c r="A204" s="6">
        <v>38453</v>
      </c>
      <c r="B204" s="7">
        <v>0.66666666666666663</v>
      </c>
      <c r="C204" s="5">
        <v>145.05000000000001</v>
      </c>
      <c r="D204" s="5">
        <v>150</v>
      </c>
      <c r="E204" s="5">
        <v>143.05000000000001</v>
      </c>
      <c r="F204" s="5">
        <v>143.05000000000001</v>
      </c>
      <c r="G204" s="5">
        <v>3800</v>
      </c>
      <c r="I204" s="6">
        <v>40098</v>
      </c>
      <c r="J204" s="7">
        <v>0.66666666666666663</v>
      </c>
      <c r="K204" s="5">
        <v>2221.0100000000002</v>
      </c>
      <c r="L204" s="5">
        <v>2270</v>
      </c>
      <c r="M204" s="5">
        <v>2221.0100000000002</v>
      </c>
      <c r="N204" s="5">
        <v>2226</v>
      </c>
      <c r="O204" s="5">
        <v>5</v>
      </c>
      <c r="Q204" s="6">
        <v>38446</v>
      </c>
      <c r="R204" s="7">
        <v>0.66666666666666663</v>
      </c>
      <c r="S204" s="5">
        <v>185</v>
      </c>
      <c r="T204" s="5">
        <v>195</v>
      </c>
      <c r="U204" s="5">
        <v>185</v>
      </c>
      <c r="V204" s="5">
        <v>194</v>
      </c>
      <c r="W204" s="5">
        <v>102200</v>
      </c>
      <c r="Y204" s="6">
        <f t="shared" si="6"/>
        <v>40098</v>
      </c>
      <c r="Z204" s="5">
        <f t="shared" si="7"/>
        <v>2226</v>
      </c>
      <c r="AA204" s="5">
        <v>138.32</v>
      </c>
      <c r="AB204" s="5">
        <v>100.65</v>
      </c>
    </row>
    <row r="205" spans="1:28" x14ac:dyDescent="0.3">
      <c r="A205" s="6">
        <v>38454</v>
      </c>
      <c r="B205" s="7">
        <v>0.66666666666666663</v>
      </c>
      <c r="C205" s="5">
        <v>136.25</v>
      </c>
      <c r="D205" s="5">
        <v>146</v>
      </c>
      <c r="E205" s="5">
        <v>135.9</v>
      </c>
      <c r="F205" s="5">
        <v>142</v>
      </c>
      <c r="G205" s="5">
        <v>1500</v>
      </c>
      <c r="I205" s="6">
        <v>40099</v>
      </c>
      <c r="J205" s="7">
        <v>0.66666666666666663</v>
      </c>
      <c r="K205" s="5">
        <v>2226</v>
      </c>
      <c r="L205" s="5">
        <v>2299</v>
      </c>
      <c r="M205" s="5">
        <v>2226</v>
      </c>
      <c r="N205" s="5">
        <v>2280.1599000000001</v>
      </c>
      <c r="O205" s="5">
        <v>25</v>
      </c>
      <c r="Q205" s="6">
        <v>38447</v>
      </c>
      <c r="R205" s="7">
        <v>0.66666666666666663</v>
      </c>
      <c r="S205" s="5">
        <v>194</v>
      </c>
      <c r="T205" s="5">
        <v>203</v>
      </c>
      <c r="U205" s="5">
        <v>184.3</v>
      </c>
      <c r="V205" s="5">
        <v>194.95</v>
      </c>
      <c r="W205" s="5">
        <v>168300</v>
      </c>
      <c r="Y205" s="6">
        <f t="shared" si="6"/>
        <v>40099</v>
      </c>
      <c r="Z205" s="5">
        <f t="shared" si="7"/>
        <v>2280.1599000000001</v>
      </c>
      <c r="AA205" s="5">
        <v>138.61000000000001</v>
      </c>
      <c r="AB205" s="5">
        <v>101.42</v>
      </c>
    </row>
    <row r="206" spans="1:28" x14ac:dyDescent="0.3">
      <c r="A206" s="6">
        <v>38455</v>
      </c>
      <c r="B206" s="7">
        <v>0.66666666666666663</v>
      </c>
      <c r="C206" s="5">
        <v>136</v>
      </c>
      <c r="D206" s="5">
        <v>142</v>
      </c>
      <c r="E206" s="5">
        <v>136</v>
      </c>
      <c r="F206" s="5">
        <v>142</v>
      </c>
      <c r="G206" s="5">
        <v>500</v>
      </c>
      <c r="I206" s="6">
        <v>40100</v>
      </c>
      <c r="J206" s="7">
        <v>0.66666666666666663</v>
      </c>
      <c r="K206" s="5">
        <v>2280.1599000000001</v>
      </c>
      <c r="L206" s="5">
        <v>2299</v>
      </c>
      <c r="M206" s="5">
        <v>2253</v>
      </c>
      <c r="N206" s="5">
        <v>2263.6399000000001</v>
      </c>
      <c r="O206" s="5">
        <v>13</v>
      </c>
      <c r="Q206" s="6">
        <v>38448</v>
      </c>
      <c r="R206" s="7">
        <v>0.66666666666666663</v>
      </c>
      <c r="S206" s="5">
        <v>194.95</v>
      </c>
      <c r="T206" s="5">
        <v>195</v>
      </c>
      <c r="U206" s="5">
        <v>185.8</v>
      </c>
      <c r="V206" s="5">
        <v>187</v>
      </c>
      <c r="W206" s="5">
        <v>174100</v>
      </c>
      <c r="Y206" s="6">
        <f t="shared" si="6"/>
        <v>40100</v>
      </c>
      <c r="Z206" s="5">
        <f t="shared" si="7"/>
        <v>2263.6399000000001</v>
      </c>
      <c r="AA206" s="5">
        <v>140.65</v>
      </c>
      <c r="AB206" s="5">
        <v>102.18</v>
      </c>
    </row>
    <row r="207" spans="1:28" x14ac:dyDescent="0.3">
      <c r="A207" s="6">
        <v>38456</v>
      </c>
      <c r="B207" s="7">
        <v>0.66666666666666663</v>
      </c>
      <c r="C207" s="5">
        <v>145</v>
      </c>
      <c r="D207" s="5">
        <v>146.05000000000001</v>
      </c>
      <c r="E207" s="5">
        <v>145</v>
      </c>
      <c r="F207" s="5">
        <v>146.05000000000001</v>
      </c>
      <c r="G207" s="5">
        <v>1500</v>
      </c>
      <c r="I207" s="6">
        <v>40101</v>
      </c>
      <c r="J207" s="7">
        <v>0.66666666666666663</v>
      </c>
      <c r="K207" s="5">
        <v>2263.6399000000001</v>
      </c>
      <c r="L207" s="5">
        <v>2275</v>
      </c>
      <c r="M207" s="5">
        <v>2260</v>
      </c>
      <c r="N207" s="5">
        <v>2275</v>
      </c>
      <c r="O207" s="5">
        <v>2</v>
      </c>
      <c r="Q207" s="6">
        <v>38449</v>
      </c>
      <c r="R207" s="7">
        <v>0.66666666666666663</v>
      </c>
      <c r="S207" s="5">
        <v>187</v>
      </c>
      <c r="T207" s="5">
        <v>196.5</v>
      </c>
      <c r="U207" s="5">
        <v>180.15</v>
      </c>
      <c r="V207" s="5">
        <v>195.9</v>
      </c>
      <c r="W207" s="5">
        <v>197700</v>
      </c>
      <c r="Y207" s="6">
        <f t="shared" si="6"/>
        <v>40101</v>
      </c>
      <c r="Z207" s="5">
        <f t="shared" si="7"/>
        <v>2275</v>
      </c>
      <c r="AA207" s="5">
        <v>140.63999999999999</v>
      </c>
      <c r="AB207" s="5">
        <v>103.7</v>
      </c>
    </row>
    <row r="208" spans="1:28" x14ac:dyDescent="0.3">
      <c r="A208" s="6">
        <v>38457</v>
      </c>
      <c r="B208" s="7">
        <v>0.66666666666666663</v>
      </c>
      <c r="C208" s="5">
        <v>149.9</v>
      </c>
      <c r="D208" s="5">
        <v>149.9</v>
      </c>
      <c r="E208" s="5">
        <v>144</v>
      </c>
      <c r="F208" s="5">
        <v>144</v>
      </c>
      <c r="G208" s="5">
        <v>1700</v>
      </c>
      <c r="I208" s="6">
        <v>40105</v>
      </c>
      <c r="J208" s="7">
        <v>0.66666666666666663</v>
      </c>
      <c r="K208" s="5">
        <v>2275</v>
      </c>
      <c r="L208" s="5">
        <v>2290</v>
      </c>
      <c r="M208" s="5">
        <v>2210</v>
      </c>
      <c r="N208" s="5">
        <v>2239.3899000000001</v>
      </c>
      <c r="O208" s="5">
        <v>311</v>
      </c>
      <c r="Q208" s="6">
        <v>38450</v>
      </c>
      <c r="R208" s="7">
        <v>0.66666666666666663</v>
      </c>
      <c r="S208" s="5">
        <v>195.9</v>
      </c>
      <c r="T208" s="5">
        <v>199</v>
      </c>
      <c r="U208" s="5">
        <v>189</v>
      </c>
      <c r="V208" s="5">
        <v>193</v>
      </c>
      <c r="W208" s="5">
        <v>64800</v>
      </c>
      <c r="Y208" s="6">
        <f t="shared" si="6"/>
        <v>40105</v>
      </c>
      <c r="Z208" s="5">
        <f t="shared" si="7"/>
        <v>2239.3899000000001</v>
      </c>
      <c r="AA208" s="5">
        <v>134.41</v>
      </c>
      <c r="AB208" s="5">
        <v>98.96</v>
      </c>
    </row>
    <row r="209" spans="1:28" x14ac:dyDescent="0.3">
      <c r="A209" s="6">
        <v>38460</v>
      </c>
      <c r="B209" s="7">
        <v>0.66666666666666663</v>
      </c>
      <c r="C209" s="5">
        <v>145</v>
      </c>
      <c r="D209" s="5">
        <v>149</v>
      </c>
      <c r="E209" s="5">
        <v>145</v>
      </c>
      <c r="F209" s="5">
        <v>148</v>
      </c>
      <c r="G209" s="5">
        <v>1400</v>
      </c>
      <c r="I209" s="6">
        <v>40106</v>
      </c>
      <c r="J209" s="7">
        <v>0.66666666666666663</v>
      </c>
      <c r="K209" s="5">
        <v>2250</v>
      </c>
      <c r="L209" s="5">
        <v>2290</v>
      </c>
      <c r="M209" s="5">
        <v>2250</v>
      </c>
      <c r="N209" s="5">
        <v>2267.27</v>
      </c>
      <c r="O209" s="5">
        <v>57</v>
      </c>
      <c r="Q209" s="6">
        <v>38453</v>
      </c>
      <c r="R209" s="7">
        <v>0.66666666666666663</v>
      </c>
      <c r="S209" s="5">
        <v>192</v>
      </c>
      <c r="T209" s="5">
        <v>192</v>
      </c>
      <c r="U209" s="5">
        <v>183.35</v>
      </c>
      <c r="V209" s="5">
        <v>183.35</v>
      </c>
      <c r="W209" s="5">
        <v>36900</v>
      </c>
      <c r="Y209" s="6">
        <f t="shared" si="6"/>
        <v>40106</v>
      </c>
      <c r="Z209" s="5">
        <f t="shared" si="7"/>
        <v>2267.27</v>
      </c>
      <c r="AA209" s="5">
        <v>136.56</v>
      </c>
      <c r="AB209" s="5">
        <v>100.99</v>
      </c>
    </row>
    <row r="210" spans="1:28" x14ac:dyDescent="0.3">
      <c r="A210" s="6">
        <v>38461</v>
      </c>
      <c r="B210" s="7">
        <v>0.66666666666666663</v>
      </c>
      <c r="C210" s="5">
        <v>148</v>
      </c>
      <c r="D210" s="5">
        <v>148</v>
      </c>
      <c r="E210" s="5">
        <v>145</v>
      </c>
      <c r="F210" s="5">
        <v>145</v>
      </c>
      <c r="G210" s="5">
        <v>2000</v>
      </c>
      <c r="I210" s="6">
        <v>40107</v>
      </c>
      <c r="J210" s="7">
        <v>0.66666666666666663</v>
      </c>
      <c r="K210" s="5">
        <v>2235</v>
      </c>
      <c r="L210" s="5">
        <v>2235</v>
      </c>
      <c r="M210" s="5">
        <v>2230</v>
      </c>
      <c r="N210" s="5">
        <v>2235</v>
      </c>
      <c r="O210" s="5">
        <v>43</v>
      </c>
      <c r="Q210" s="6">
        <v>38454</v>
      </c>
      <c r="R210" s="7">
        <v>0.66666666666666663</v>
      </c>
      <c r="S210" s="5">
        <v>174.2</v>
      </c>
      <c r="T210" s="5">
        <v>174.2</v>
      </c>
      <c r="U210" s="5">
        <v>174.2</v>
      </c>
      <c r="V210" s="5">
        <v>174.2</v>
      </c>
      <c r="W210" s="5">
        <v>800</v>
      </c>
      <c r="Y210" s="6">
        <f t="shared" si="6"/>
        <v>40107</v>
      </c>
      <c r="Z210" s="5">
        <f t="shared" si="7"/>
        <v>2235</v>
      </c>
      <c r="AA210" s="5">
        <v>129.97999999999999</v>
      </c>
      <c r="AB210" s="5">
        <v>97.58</v>
      </c>
    </row>
    <row r="211" spans="1:28" x14ac:dyDescent="0.3">
      <c r="A211" s="6">
        <v>38462</v>
      </c>
      <c r="B211" s="7">
        <v>0.66666666666666663</v>
      </c>
      <c r="C211" s="5">
        <v>146</v>
      </c>
      <c r="D211" s="5">
        <v>147</v>
      </c>
      <c r="E211" s="5">
        <v>146</v>
      </c>
      <c r="F211" s="5">
        <v>147</v>
      </c>
      <c r="G211" s="5">
        <v>1000</v>
      </c>
      <c r="I211" s="6">
        <v>40108</v>
      </c>
      <c r="J211" s="7">
        <v>0.66666666666666663</v>
      </c>
      <c r="K211" s="5">
        <v>2236.1001000000001</v>
      </c>
      <c r="L211" s="5">
        <v>2237</v>
      </c>
      <c r="M211" s="5">
        <v>2236.1001000000001</v>
      </c>
      <c r="N211" s="5">
        <v>2236.1999999999998</v>
      </c>
      <c r="O211" s="5">
        <v>13</v>
      </c>
      <c r="Q211" s="6">
        <v>38455</v>
      </c>
      <c r="R211" s="7">
        <v>0.66666666666666663</v>
      </c>
      <c r="S211" s="5">
        <v>174.2</v>
      </c>
      <c r="T211" s="5">
        <v>187.25</v>
      </c>
      <c r="U211" s="5">
        <v>167</v>
      </c>
      <c r="V211" s="5">
        <v>187.25</v>
      </c>
      <c r="W211" s="5">
        <v>145200</v>
      </c>
      <c r="Y211" s="6">
        <f t="shared" si="6"/>
        <v>40108</v>
      </c>
      <c r="Z211" s="5">
        <f t="shared" si="7"/>
        <v>2236.1999999999998</v>
      </c>
      <c r="AA211" s="5">
        <v>123.49</v>
      </c>
      <c r="AB211" s="5">
        <v>98.5</v>
      </c>
    </row>
    <row r="212" spans="1:28" x14ac:dyDescent="0.3">
      <c r="A212" s="6">
        <v>38463</v>
      </c>
      <c r="B212" s="7">
        <v>0.66666666666666663</v>
      </c>
      <c r="C212" s="5">
        <v>148.25</v>
      </c>
      <c r="D212" s="5">
        <v>148.25</v>
      </c>
      <c r="E212" s="5">
        <v>145</v>
      </c>
      <c r="F212" s="5">
        <v>145.05000000000001</v>
      </c>
      <c r="G212" s="5">
        <v>700</v>
      </c>
      <c r="I212" s="6">
        <v>40109</v>
      </c>
      <c r="J212" s="7">
        <v>0.66666666666666663</v>
      </c>
      <c r="K212" s="5">
        <v>2236.1999999999998</v>
      </c>
      <c r="L212" s="5">
        <v>2323.25</v>
      </c>
      <c r="M212" s="5">
        <v>2201</v>
      </c>
      <c r="N212" s="5">
        <v>2300</v>
      </c>
      <c r="O212" s="5">
        <v>18489</v>
      </c>
      <c r="Q212" s="6">
        <v>38456</v>
      </c>
      <c r="R212" s="7">
        <v>0.66666666666666663</v>
      </c>
      <c r="S212" s="5">
        <v>187.25</v>
      </c>
      <c r="T212" s="5">
        <v>199</v>
      </c>
      <c r="U212" s="5">
        <v>182</v>
      </c>
      <c r="V212" s="5">
        <v>187</v>
      </c>
      <c r="W212" s="5">
        <v>104900</v>
      </c>
      <c r="Y212" s="6">
        <f t="shared" si="6"/>
        <v>40109</v>
      </c>
      <c r="Z212" s="5">
        <f t="shared" si="7"/>
        <v>2300</v>
      </c>
      <c r="AA212" s="5">
        <v>117.32</v>
      </c>
      <c r="AB212" s="5">
        <v>97.24</v>
      </c>
    </row>
    <row r="213" spans="1:28" x14ac:dyDescent="0.3">
      <c r="A213" s="6">
        <v>38467</v>
      </c>
      <c r="B213" s="7">
        <v>0.66666666666666663</v>
      </c>
      <c r="C213" s="5">
        <v>148</v>
      </c>
      <c r="D213" s="5">
        <v>148</v>
      </c>
      <c r="E213" s="5">
        <v>145</v>
      </c>
      <c r="F213" s="5">
        <v>145</v>
      </c>
      <c r="G213" s="5">
        <v>500</v>
      </c>
      <c r="I213" s="6">
        <v>40112</v>
      </c>
      <c r="J213" s="7">
        <v>0.66666666666666663</v>
      </c>
      <c r="K213" s="5">
        <v>2300</v>
      </c>
      <c r="L213" s="5">
        <v>2344</v>
      </c>
      <c r="M213" s="5">
        <v>2300</v>
      </c>
      <c r="N213" s="5">
        <v>2314</v>
      </c>
      <c r="O213" s="5">
        <v>79</v>
      </c>
      <c r="Q213" s="6">
        <v>38457</v>
      </c>
      <c r="R213" s="7">
        <v>0.66666666666666663</v>
      </c>
      <c r="S213" s="5">
        <v>188</v>
      </c>
      <c r="T213" s="5">
        <v>192</v>
      </c>
      <c r="U213" s="5">
        <v>188</v>
      </c>
      <c r="V213" s="5">
        <v>190</v>
      </c>
      <c r="W213" s="5">
        <v>96200</v>
      </c>
      <c r="Y213" s="6">
        <f t="shared" si="6"/>
        <v>40112</v>
      </c>
      <c r="Z213" s="5">
        <f t="shared" si="7"/>
        <v>2314</v>
      </c>
      <c r="AA213" s="5">
        <v>118.8</v>
      </c>
      <c r="AB213" s="5">
        <v>98.96</v>
      </c>
    </row>
    <row r="214" spans="1:28" x14ac:dyDescent="0.3">
      <c r="A214" s="6">
        <v>38469</v>
      </c>
      <c r="B214" s="7">
        <v>0.66666666666666663</v>
      </c>
      <c r="C214" s="5">
        <v>145</v>
      </c>
      <c r="D214" s="5">
        <v>145</v>
      </c>
      <c r="E214" s="5">
        <v>141</v>
      </c>
      <c r="F214" s="5">
        <v>141</v>
      </c>
      <c r="G214" s="5">
        <v>1500</v>
      </c>
      <c r="I214" s="6">
        <v>40113</v>
      </c>
      <c r="J214" s="7">
        <v>0.66666666666666663</v>
      </c>
      <c r="K214" s="5">
        <v>2314</v>
      </c>
      <c r="L214" s="5">
        <v>2350</v>
      </c>
      <c r="M214" s="5">
        <v>2300</v>
      </c>
      <c r="N214" s="5">
        <v>2306.4099000000001</v>
      </c>
      <c r="O214" s="5">
        <v>23</v>
      </c>
      <c r="Q214" s="6">
        <v>38460</v>
      </c>
      <c r="R214" s="7">
        <v>0.66666666666666663</v>
      </c>
      <c r="S214" s="5">
        <v>188.95</v>
      </c>
      <c r="T214" s="5">
        <v>188.95</v>
      </c>
      <c r="U214" s="5">
        <v>185</v>
      </c>
      <c r="V214" s="5">
        <v>186</v>
      </c>
      <c r="W214" s="5">
        <v>24300</v>
      </c>
      <c r="Y214" s="6">
        <f t="shared" si="6"/>
        <v>40113</v>
      </c>
      <c r="Z214" s="5">
        <f t="shared" si="7"/>
        <v>2306.4099000000001</v>
      </c>
      <c r="AA214" s="5">
        <v>116.33</v>
      </c>
      <c r="AB214" s="5">
        <v>99.06</v>
      </c>
    </row>
    <row r="215" spans="1:28" x14ac:dyDescent="0.3">
      <c r="A215" s="6">
        <v>38470</v>
      </c>
      <c r="B215" s="7">
        <v>0.66666666666666663</v>
      </c>
      <c r="C215" s="5">
        <v>141</v>
      </c>
      <c r="D215" s="5">
        <v>142</v>
      </c>
      <c r="E215" s="5">
        <v>135.25</v>
      </c>
      <c r="F215" s="5">
        <v>135.25</v>
      </c>
      <c r="G215" s="5">
        <v>2900</v>
      </c>
      <c r="I215" s="6">
        <v>40114</v>
      </c>
      <c r="J215" s="7">
        <v>0.66666666666666663</v>
      </c>
      <c r="K215" s="5">
        <v>2300</v>
      </c>
      <c r="L215" s="5">
        <v>2300</v>
      </c>
      <c r="M215" s="5">
        <v>2225</v>
      </c>
      <c r="N215" s="5">
        <v>2297.3701000000001</v>
      </c>
      <c r="O215" s="5">
        <v>508</v>
      </c>
      <c r="Q215" s="6">
        <v>38461</v>
      </c>
      <c r="R215" s="7">
        <v>0.66666666666666663</v>
      </c>
      <c r="S215" s="5">
        <v>186</v>
      </c>
      <c r="T215" s="5">
        <v>195</v>
      </c>
      <c r="U215" s="5">
        <v>176.7</v>
      </c>
      <c r="V215" s="5">
        <v>182</v>
      </c>
      <c r="W215" s="5">
        <v>245100</v>
      </c>
      <c r="Y215" s="6">
        <f t="shared" si="6"/>
        <v>40114</v>
      </c>
      <c r="Z215" s="5">
        <f t="shared" si="7"/>
        <v>2297.3701000000001</v>
      </c>
      <c r="AA215" s="5">
        <v>113.08</v>
      </c>
      <c r="AB215" s="5">
        <v>98.75</v>
      </c>
    </row>
    <row r="216" spans="1:28" x14ac:dyDescent="0.3">
      <c r="A216" s="6">
        <v>38471</v>
      </c>
      <c r="B216" s="7">
        <v>0.66666666666666663</v>
      </c>
      <c r="C216" s="5">
        <v>136.5</v>
      </c>
      <c r="D216" s="5">
        <v>138</v>
      </c>
      <c r="E216" s="5">
        <v>136.25</v>
      </c>
      <c r="F216" s="5">
        <v>137.75</v>
      </c>
      <c r="G216" s="5">
        <v>1600</v>
      </c>
      <c r="I216" s="6">
        <v>40115</v>
      </c>
      <c r="J216" s="7">
        <v>0.66666666666666663</v>
      </c>
      <c r="K216" s="5">
        <v>2297.3701000000001</v>
      </c>
      <c r="L216" s="5">
        <v>2300</v>
      </c>
      <c r="M216" s="5">
        <v>2259</v>
      </c>
      <c r="N216" s="5">
        <v>2300</v>
      </c>
      <c r="O216" s="5">
        <v>114</v>
      </c>
      <c r="Q216" s="6">
        <v>38462</v>
      </c>
      <c r="R216" s="7">
        <v>0.66666666666666663</v>
      </c>
      <c r="S216" s="5">
        <v>182</v>
      </c>
      <c r="T216" s="5">
        <v>195.65</v>
      </c>
      <c r="U216" s="5">
        <v>175</v>
      </c>
      <c r="V216" s="5">
        <v>195.65</v>
      </c>
      <c r="W216" s="5">
        <v>346400</v>
      </c>
      <c r="Y216" s="6">
        <f t="shared" si="6"/>
        <v>40115</v>
      </c>
      <c r="Z216" s="5">
        <f t="shared" si="7"/>
        <v>2300</v>
      </c>
      <c r="AA216" s="5">
        <v>118.73</v>
      </c>
      <c r="AB216" s="5">
        <v>98.79</v>
      </c>
    </row>
    <row r="217" spans="1:28" x14ac:dyDescent="0.3">
      <c r="A217" s="6">
        <v>38474</v>
      </c>
      <c r="B217" s="7">
        <v>0.66666666666666663</v>
      </c>
      <c r="C217" s="5">
        <v>140</v>
      </c>
      <c r="D217" s="5">
        <v>140</v>
      </c>
      <c r="E217" s="5">
        <v>135</v>
      </c>
      <c r="F217" s="5">
        <v>136</v>
      </c>
      <c r="G217" s="5">
        <v>6900</v>
      </c>
      <c r="I217" s="6">
        <v>40116</v>
      </c>
      <c r="J217" s="7">
        <v>0.66666666666666663</v>
      </c>
      <c r="K217" s="5">
        <v>2301</v>
      </c>
      <c r="L217" s="5">
        <v>2376</v>
      </c>
      <c r="M217" s="5">
        <v>2301</v>
      </c>
      <c r="N217" s="5">
        <v>2375</v>
      </c>
      <c r="O217" s="5">
        <v>1039</v>
      </c>
      <c r="Q217" s="6">
        <v>38463</v>
      </c>
      <c r="R217" s="7">
        <v>0.66666666666666663</v>
      </c>
      <c r="S217" s="5">
        <v>200</v>
      </c>
      <c r="T217" s="5">
        <v>210.3</v>
      </c>
      <c r="U217" s="5">
        <v>200</v>
      </c>
      <c r="V217" s="5">
        <v>208</v>
      </c>
      <c r="W217" s="5">
        <v>783500</v>
      </c>
      <c r="Y217" s="6">
        <f t="shared" si="6"/>
        <v>40116</v>
      </c>
      <c r="Z217" s="5">
        <f t="shared" si="7"/>
        <v>2375</v>
      </c>
      <c r="AA217" s="5">
        <v>124.66</v>
      </c>
      <c r="AB217" s="5">
        <v>97.21</v>
      </c>
    </row>
    <row r="218" spans="1:28" x14ac:dyDescent="0.3">
      <c r="A218" s="6">
        <v>38475</v>
      </c>
      <c r="B218" s="7">
        <v>0.66666666666666663</v>
      </c>
      <c r="C218" s="5">
        <v>138</v>
      </c>
      <c r="D218" s="5">
        <v>138</v>
      </c>
      <c r="E218" s="5">
        <v>135</v>
      </c>
      <c r="F218" s="5">
        <v>135</v>
      </c>
      <c r="G218" s="5">
        <v>1400</v>
      </c>
      <c r="I218" s="6">
        <v>40119</v>
      </c>
      <c r="J218" s="7">
        <v>0.66666666666666663</v>
      </c>
      <c r="K218" s="5">
        <v>2375</v>
      </c>
      <c r="L218" s="5">
        <v>2376</v>
      </c>
      <c r="M218" s="5">
        <v>2350</v>
      </c>
      <c r="N218" s="5">
        <v>2375</v>
      </c>
      <c r="O218" s="5">
        <v>39</v>
      </c>
      <c r="Q218" s="6">
        <v>38467</v>
      </c>
      <c r="R218" s="7">
        <v>0.66666666666666663</v>
      </c>
      <c r="S218" s="5">
        <v>208</v>
      </c>
      <c r="T218" s="5">
        <v>215</v>
      </c>
      <c r="U218" s="5">
        <v>205</v>
      </c>
      <c r="V218" s="5">
        <v>207</v>
      </c>
      <c r="W218" s="5">
        <v>129000</v>
      </c>
      <c r="Y218" s="6">
        <f t="shared" si="6"/>
        <v>40119</v>
      </c>
      <c r="Z218" s="5">
        <f t="shared" si="7"/>
        <v>2375</v>
      </c>
      <c r="AA218" s="5">
        <v>119.43</v>
      </c>
      <c r="AB218" s="5">
        <v>95.11</v>
      </c>
    </row>
    <row r="219" spans="1:28" x14ac:dyDescent="0.3">
      <c r="A219" s="6">
        <v>38477</v>
      </c>
      <c r="B219" s="7">
        <v>0.66666666666666663</v>
      </c>
      <c r="C219" s="5">
        <v>138</v>
      </c>
      <c r="D219" s="5">
        <v>138</v>
      </c>
      <c r="E219" s="5">
        <v>135</v>
      </c>
      <c r="F219" s="5">
        <v>136.5</v>
      </c>
      <c r="G219" s="5">
        <v>800</v>
      </c>
      <c r="I219" s="6">
        <v>40120</v>
      </c>
      <c r="J219" s="7">
        <v>0.66666666666666663</v>
      </c>
      <c r="K219" s="5">
        <v>2375</v>
      </c>
      <c r="L219" s="5">
        <v>2394</v>
      </c>
      <c r="M219" s="5">
        <v>2373</v>
      </c>
      <c r="N219" s="5">
        <v>2392.6698999999999</v>
      </c>
      <c r="O219" s="5">
        <v>44</v>
      </c>
      <c r="Q219" s="6">
        <v>38468</v>
      </c>
      <c r="R219" s="7">
        <v>0.66666666666666663</v>
      </c>
      <c r="S219" s="5">
        <v>207</v>
      </c>
      <c r="T219" s="5">
        <v>208.75</v>
      </c>
      <c r="U219" s="5">
        <v>197.8</v>
      </c>
      <c r="V219" s="5">
        <v>204</v>
      </c>
      <c r="W219" s="5">
        <v>51700</v>
      </c>
      <c r="Y219" s="6">
        <f t="shared" si="6"/>
        <v>40120</v>
      </c>
      <c r="Z219" s="5">
        <f t="shared" si="7"/>
        <v>2392.6698999999999</v>
      </c>
      <c r="AA219" s="5">
        <v>118.11</v>
      </c>
      <c r="AB219" s="5">
        <v>94.76</v>
      </c>
    </row>
    <row r="220" spans="1:28" x14ac:dyDescent="0.3">
      <c r="A220" s="6">
        <v>38481</v>
      </c>
      <c r="B220" s="7">
        <v>0.66666666666666663</v>
      </c>
      <c r="C220" s="5">
        <v>135</v>
      </c>
      <c r="D220" s="5">
        <v>140</v>
      </c>
      <c r="E220" s="5">
        <v>133</v>
      </c>
      <c r="F220" s="5">
        <v>140</v>
      </c>
      <c r="G220" s="5">
        <v>2800</v>
      </c>
      <c r="I220" s="6">
        <v>40121</v>
      </c>
      <c r="J220" s="7">
        <v>0.66666666666666663</v>
      </c>
      <c r="K220" s="5">
        <v>2392.6698999999999</v>
      </c>
      <c r="L220" s="5">
        <v>2400</v>
      </c>
      <c r="M220" s="5">
        <v>2390</v>
      </c>
      <c r="N220" s="5">
        <v>2392</v>
      </c>
      <c r="O220" s="5">
        <v>37</v>
      </c>
      <c r="Q220" s="6">
        <v>38469</v>
      </c>
      <c r="R220" s="7">
        <v>0.66666666666666663</v>
      </c>
      <c r="S220" s="5">
        <v>204</v>
      </c>
      <c r="T220" s="5">
        <v>208</v>
      </c>
      <c r="U220" s="5">
        <v>200</v>
      </c>
      <c r="V220" s="5">
        <v>202</v>
      </c>
      <c r="W220" s="5">
        <v>44200</v>
      </c>
      <c r="Y220" s="6">
        <f t="shared" si="6"/>
        <v>40121</v>
      </c>
      <c r="Z220" s="5">
        <f t="shared" si="7"/>
        <v>2392</v>
      </c>
      <c r="AA220" s="5">
        <v>123.46</v>
      </c>
      <c r="AB220" s="5">
        <v>95.99</v>
      </c>
    </row>
    <row r="221" spans="1:28" x14ac:dyDescent="0.3">
      <c r="A221" s="6">
        <v>38482</v>
      </c>
      <c r="B221" s="7">
        <v>0.66666666666666663</v>
      </c>
      <c r="C221" s="5">
        <v>141</v>
      </c>
      <c r="D221" s="5">
        <v>141</v>
      </c>
      <c r="E221" s="5">
        <v>138</v>
      </c>
      <c r="F221" s="5">
        <v>140.5</v>
      </c>
      <c r="G221" s="5">
        <v>1900</v>
      </c>
      <c r="I221" s="6">
        <v>40123</v>
      </c>
      <c r="J221" s="7">
        <v>0.66666666666666663</v>
      </c>
      <c r="K221" s="5">
        <v>2392</v>
      </c>
      <c r="L221" s="5">
        <v>2400</v>
      </c>
      <c r="M221" s="5">
        <v>2390</v>
      </c>
      <c r="N221" s="5">
        <v>2390</v>
      </c>
      <c r="O221" s="5">
        <v>57</v>
      </c>
      <c r="Q221" s="6">
        <v>38470</v>
      </c>
      <c r="R221" s="7">
        <v>0.66666666666666663</v>
      </c>
      <c r="S221" s="5">
        <v>202</v>
      </c>
      <c r="T221" s="5">
        <v>204.4</v>
      </c>
      <c r="U221" s="5">
        <v>199.4</v>
      </c>
      <c r="V221" s="5">
        <v>199.8</v>
      </c>
      <c r="W221" s="5">
        <v>8200</v>
      </c>
      <c r="Y221" s="6">
        <f t="shared" si="6"/>
        <v>40123</v>
      </c>
      <c r="Z221" s="5">
        <f t="shared" si="7"/>
        <v>2390</v>
      </c>
      <c r="AA221" s="5">
        <v>135.15</v>
      </c>
      <c r="AB221" s="5">
        <v>95.74</v>
      </c>
    </row>
    <row r="222" spans="1:28" x14ac:dyDescent="0.3">
      <c r="A222" s="6">
        <v>38484</v>
      </c>
      <c r="B222" s="7">
        <v>0.66666666666666663</v>
      </c>
      <c r="C222" s="5">
        <v>140</v>
      </c>
      <c r="D222" s="5">
        <v>141</v>
      </c>
      <c r="E222" s="5">
        <v>138.5</v>
      </c>
      <c r="F222" s="5">
        <v>141</v>
      </c>
      <c r="G222" s="5">
        <v>300</v>
      </c>
      <c r="I222" s="6">
        <v>40127</v>
      </c>
      <c r="J222" s="7">
        <v>0.66666666666666663</v>
      </c>
      <c r="K222" s="5">
        <v>2390</v>
      </c>
      <c r="L222" s="5">
        <v>2410</v>
      </c>
      <c r="M222" s="5">
        <v>2383.9899999999998</v>
      </c>
      <c r="N222" s="5">
        <v>2410</v>
      </c>
      <c r="O222" s="5">
        <v>41</v>
      </c>
      <c r="Q222" s="6">
        <v>38471</v>
      </c>
      <c r="R222" s="7">
        <v>0.66666666666666663</v>
      </c>
      <c r="S222" s="5">
        <v>199.8</v>
      </c>
      <c r="T222" s="5">
        <v>204</v>
      </c>
      <c r="U222" s="5">
        <v>194</v>
      </c>
      <c r="V222" s="5">
        <v>198.9</v>
      </c>
      <c r="W222" s="5">
        <v>26200</v>
      </c>
      <c r="Y222" s="6">
        <f t="shared" si="6"/>
        <v>40127</v>
      </c>
      <c r="Z222" s="5">
        <f t="shared" si="7"/>
        <v>2410</v>
      </c>
      <c r="AA222" s="5">
        <v>128.4</v>
      </c>
      <c r="AB222" s="5">
        <v>95</v>
      </c>
    </row>
    <row r="223" spans="1:28" x14ac:dyDescent="0.3">
      <c r="A223" s="6">
        <v>38485</v>
      </c>
      <c r="B223" s="7">
        <v>0.66666666666666663</v>
      </c>
      <c r="C223" s="5">
        <v>137</v>
      </c>
      <c r="D223" s="5">
        <v>137</v>
      </c>
      <c r="E223" s="5">
        <v>135</v>
      </c>
      <c r="F223" s="5">
        <v>135</v>
      </c>
      <c r="G223" s="5">
        <v>1100</v>
      </c>
      <c r="I223" s="6">
        <v>40128</v>
      </c>
      <c r="J223" s="7">
        <v>0.66666666666666663</v>
      </c>
      <c r="K223" s="5">
        <v>2400</v>
      </c>
      <c r="L223" s="5">
        <v>2400</v>
      </c>
      <c r="M223" s="5">
        <v>2351</v>
      </c>
      <c r="N223" s="5">
        <v>2399.5</v>
      </c>
      <c r="O223" s="5">
        <v>266</v>
      </c>
      <c r="Q223" s="6">
        <v>38474</v>
      </c>
      <c r="R223" s="7">
        <v>0.66666666666666663</v>
      </c>
      <c r="S223" s="5">
        <v>198.9</v>
      </c>
      <c r="T223" s="5">
        <v>208.8</v>
      </c>
      <c r="U223" s="5">
        <v>195</v>
      </c>
      <c r="V223" s="5">
        <v>197</v>
      </c>
      <c r="W223" s="5">
        <v>165400</v>
      </c>
      <c r="Y223" s="6">
        <f t="shared" si="6"/>
        <v>40128</v>
      </c>
      <c r="Z223" s="5">
        <f t="shared" si="7"/>
        <v>2399.5</v>
      </c>
      <c r="AA223" s="5">
        <v>133.93</v>
      </c>
      <c r="AB223" s="5">
        <v>95.49</v>
      </c>
    </row>
    <row r="224" spans="1:28" x14ac:dyDescent="0.3">
      <c r="A224" s="6">
        <v>38488</v>
      </c>
      <c r="B224" s="7">
        <v>0.66666666666666663</v>
      </c>
      <c r="C224" s="5">
        <v>135</v>
      </c>
      <c r="D224" s="5">
        <v>136.75</v>
      </c>
      <c r="E224" s="5">
        <v>133</v>
      </c>
      <c r="F224" s="5">
        <v>133</v>
      </c>
      <c r="G224" s="5">
        <v>1400</v>
      </c>
      <c r="I224" s="6">
        <v>40129</v>
      </c>
      <c r="J224" s="7">
        <v>0.66666666666666663</v>
      </c>
      <c r="K224" s="5">
        <v>2400</v>
      </c>
      <c r="L224" s="5">
        <v>2400</v>
      </c>
      <c r="M224" s="5">
        <v>2400</v>
      </c>
      <c r="N224" s="5">
        <v>2400</v>
      </c>
      <c r="O224" s="5">
        <v>1127</v>
      </c>
      <c r="Q224" s="6">
        <v>38475</v>
      </c>
      <c r="R224" s="7">
        <v>0.66666666666666663</v>
      </c>
      <c r="S224" s="5">
        <v>197</v>
      </c>
      <c r="T224" s="5">
        <v>200</v>
      </c>
      <c r="U224" s="5">
        <v>193</v>
      </c>
      <c r="V224" s="5">
        <v>196</v>
      </c>
      <c r="W224" s="5">
        <v>58400</v>
      </c>
      <c r="Y224" s="6">
        <f t="shared" si="6"/>
        <v>40129</v>
      </c>
      <c r="Z224" s="5">
        <f t="shared" si="7"/>
        <v>2400</v>
      </c>
      <c r="AA224" s="5">
        <v>139.01</v>
      </c>
      <c r="AB224" s="5">
        <v>95.02</v>
      </c>
    </row>
    <row r="225" spans="1:28" x14ac:dyDescent="0.3">
      <c r="A225" s="6">
        <v>38489</v>
      </c>
      <c r="B225" s="7">
        <v>0.66666666666666663</v>
      </c>
      <c r="C225" s="5">
        <v>132.1</v>
      </c>
      <c r="D225" s="5">
        <v>138</v>
      </c>
      <c r="E225" s="5">
        <v>131.5</v>
      </c>
      <c r="F225" s="5">
        <v>138</v>
      </c>
      <c r="G225" s="5">
        <v>3700</v>
      </c>
      <c r="I225" s="6">
        <v>40130</v>
      </c>
      <c r="J225" s="7">
        <v>0.66666666666666663</v>
      </c>
      <c r="K225" s="5">
        <v>2400</v>
      </c>
      <c r="L225" s="5">
        <v>2424.98</v>
      </c>
      <c r="M225" s="5">
        <v>2280</v>
      </c>
      <c r="N225" s="5">
        <v>2424</v>
      </c>
      <c r="O225" s="5">
        <v>5</v>
      </c>
      <c r="Q225" s="6">
        <v>38476</v>
      </c>
      <c r="R225" s="7">
        <v>0.66666666666666663</v>
      </c>
      <c r="S225" s="5">
        <v>197</v>
      </c>
      <c r="T225" s="5">
        <v>200</v>
      </c>
      <c r="U225" s="5">
        <v>197</v>
      </c>
      <c r="V225" s="5">
        <v>200</v>
      </c>
      <c r="W225" s="5">
        <v>26000</v>
      </c>
      <c r="Y225" s="6">
        <f t="shared" si="6"/>
        <v>40130</v>
      </c>
      <c r="Z225" s="5">
        <f t="shared" si="7"/>
        <v>2424</v>
      </c>
      <c r="AA225" s="5">
        <v>145.96</v>
      </c>
      <c r="AB225" s="5">
        <v>94.9</v>
      </c>
    </row>
    <row r="226" spans="1:28" x14ac:dyDescent="0.3">
      <c r="A226" s="6">
        <v>38490</v>
      </c>
      <c r="B226" s="7">
        <v>0.66666666666666663</v>
      </c>
      <c r="C226" s="5">
        <v>132.69999999999999</v>
      </c>
      <c r="D226" s="5">
        <v>136.5</v>
      </c>
      <c r="E226" s="5">
        <v>132.65</v>
      </c>
      <c r="F226" s="5">
        <v>133.1</v>
      </c>
      <c r="G226" s="5">
        <v>2000</v>
      </c>
      <c r="I226" s="6">
        <v>40133</v>
      </c>
      <c r="J226" s="7">
        <v>0.66666666666666663</v>
      </c>
      <c r="K226" s="5">
        <v>2422</v>
      </c>
      <c r="L226" s="5">
        <v>2422</v>
      </c>
      <c r="M226" s="5">
        <v>2422</v>
      </c>
      <c r="N226" s="5">
        <v>2422</v>
      </c>
      <c r="O226" s="5">
        <v>1</v>
      </c>
      <c r="Q226" s="6">
        <v>38477</v>
      </c>
      <c r="R226" s="7">
        <v>0.66666666666666663</v>
      </c>
      <c r="S226" s="5">
        <v>200</v>
      </c>
      <c r="T226" s="5">
        <v>209</v>
      </c>
      <c r="U226" s="5">
        <v>198</v>
      </c>
      <c r="V226" s="5">
        <v>204</v>
      </c>
      <c r="W226" s="5">
        <v>98800</v>
      </c>
      <c r="Y226" s="6">
        <f t="shared" si="6"/>
        <v>40133</v>
      </c>
      <c r="Z226" s="5">
        <f t="shared" si="7"/>
        <v>2422</v>
      </c>
      <c r="AA226" s="5">
        <v>153.25</v>
      </c>
      <c r="AB226" s="5">
        <v>96.03</v>
      </c>
    </row>
    <row r="227" spans="1:28" x14ac:dyDescent="0.3">
      <c r="A227" s="6">
        <v>38491</v>
      </c>
      <c r="B227" s="7">
        <v>0.66666666666666663</v>
      </c>
      <c r="C227" s="5">
        <v>133</v>
      </c>
      <c r="D227" s="5">
        <v>134</v>
      </c>
      <c r="E227" s="5">
        <v>130</v>
      </c>
      <c r="F227" s="5">
        <v>134</v>
      </c>
      <c r="G227" s="5">
        <v>4000</v>
      </c>
      <c r="I227" s="6">
        <v>40134</v>
      </c>
      <c r="J227" s="7">
        <v>0.66666666666666663</v>
      </c>
      <c r="K227" s="5">
        <v>2400</v>
      </c>
      <c r="L227" s="5">
        <v>2400</v>
      </c>
      <c r="M227" s="5">
        <v>2400</v>
      </c>
      <c r="N227" s="5">
        <v>2400</v>
      </c>
      <c r="O227" s="5">
        <v>1</v>
      </c>
      <c r="Q227" s="6">
        <v>38478</v>
      </c>
      <c r="R227" s="7">
        <v>0.66666666666666663</v>
      </c>
      <c r="S227" s="5">
        <v>204</v>
      </c>
      <c r="T227" s="5">
        <v>213.9</v>
      </c>
      <c r="U227" s="5">
        <v>204</v>
      </c>
      <c r="V227" s="5">
        <v>210</v>
      </c>
      <c r="W227" s="5">
        <v>503100</v>
      </c>
      <c r="Y227" s="6">
        <f t="shared" si="6"/>
        <v>40134</v>
      </c>
      <c r="Z227" s="5">
        <f t="shared" si="7"/>
        <v>2400</v>
      </c>
      <c r="AA227" s="5">
        <v>156.28</v>
      </c>
      <c r="AB227" s="5">
        <v>95.15</v>
      </c>
    </row>
    <row r="228" spans="1:28" x14ac:dyDescent="0.3">
      <c r="A228" s="6">
        <v>38492</v>
      </c>
      <c r="B228" s="7">
        <v>0.66666666666666663</v>
      </c>
      <c r="C228" s="5">
        <v>134</v>
      </c>
      <c r="D228" s="5">
        <v>134</v>
      </c>
      <c r="E228" s="5">
        <v>132.5</v>
      </c>
      <c r="F228" s="5">
        <v>133.5</v>
      </c>
      <c r="G228" s="5">
        <v>2200</v>
      </c>
      <c r="I228" s="6">
        <v>40135</v>
      </c>
      <c r="J228" s="7">
        <v>0.66666666666666663</v>
      </c>
      <c r="K228" s="5">
        <v>2400</v>
      </c>
      <c r="L228" s="5">
        <v>2475</v>
      </c>
      <c r="M228" s="5">
        <v>2282</v>
      </c>
      <c r="N228" s="5">
        <v>2313.9398999999999</v>
      </c>
      <c r="O228" s="5">
        <v>1023</v>
      </c>
      <c r="Q228" s="6">
        <v>38481</v>
      </c>
      <c r="R228" s="7">
        <v>0.66666666666666663</v>
      </c>
      <c r="S228" s="5">
        <v>210</v>
      </c>
      <c r="T228" s="5">
        <v>213</v>
      </c>
      <c r="U228" s="5">
        <v>204.5</v>
      </c>
      <c r="V228" s="5">
        <v>210</v>
      </c>
      <c r="W228" s="5">
        <v>304000</v>
      </c>
      <c r="Y228" s="6">
        <f t="shared" si="6"/>
        <v>40135</v>
      </c>
      <c r="Z228" s="5">
        <f t="shared" si="7"/>
        <v>2313.9398999999999</v>
      </c>
      <c r="AA228" s="5">
        <v>151.97</v>
      </c>
      <c r="AB228" s="5">
        <v>94.49</v>
      </c>
    </row>
    <row r="229" spans="1:28" x14ac:dyDescent="0.3">
      <c r="A229" s="6">
        <v>38495</v>
      </c>
      <c r="B229" s="7">
        <v>0.66666666666666663</v>
      </c>
      <c r="C229" s="5">
        <v>130.19999999999999</v>
      </c>
      <c r="D229" s="5">
        <v>130.19999999999999</v>
      </c>
      <c r="E229" s="5">
        <v>127</v>
      </c>
      <c r="F229" s="5">
        <v>128.05000000000001</v>
      </c>
      <c r="G229" s="5">
        <v>1800</v>
      </c>
      <c r="I229" s="6">
        <v>40136</v>
      </c>
      <c r="J229" s="7">
        <v>0.66666666666666663</v>
      </c>
      <c r="K229" s="5">
        <v>2313.9398999999999</v>
      </c>
      <c r="L229" s="5">
        <v>2335</v>
      </c>
      <c r="M229" s="5">
        <v>2200</v>
      </c>
      <c r="N229" s="5">
        <v>2267.3101000000001</v>
      </c>
      <c r="O229" s="5">
        <v>1543</v>
      </c>
      <c r="Q229" s="6">
        <v>38482</v>
      </c>
      <c r="R229" s="7">
        <v>0.66666666666666663</v>
      </c>
      <c r="S229" s="5">
        <v>210</v>
      </c>
      <c r="T229" s="5">
        <v>212</v>
      </c>
      <c r="U229" s="5">
        <v>207</v>
      </c>
      <c r="V229" s="5">
        <v>207</v>
      </c>
      <c r="W229" s="5">
        <v>184800</v>
      </c>
      <c r="Y229" s="6">
        <f t="shared" si="6"/>
        <v>40136</v>
      </c>
      <c r="Z229" s="5">
        <f t="shared" si="7"/>
        <v>2267.3101000000001</v>
      </c>
      <c r="AA229" s="5">
        <v>155.47</v>
      </c>
      <c r="AB229" s="5">
        <v>94.85</v>
      </c>
    </row>
    <row r="230" spans="1:28" x14ac:dyDescent="0.3">
      <c r="A230" s="6">
        <v>38497</v>
      </c>
      <c r="B230" s="7">
        <v>0.66666666666666663</v>
      </c>
      <c r="C230" s="5">
        <v>132.75</v>
      </c>
      <c r="D230" s="5">
        <v>132.75</v>
      </c>
      <c r="E230" s="5">
        <v>130.1</v>
      </c>
      <c r="F230" s="5">
        <v>130.1</v>
      </c>
      <c r="G230" s="5">
        <v>2300</v>
      </c>
      <c r="I230" s="6">
        <v>40137</v>
      </c>
      <c r="J230" s="7">
        <v>0.66666666666666663</v>
      </c>
      <c r="K230" s="5">
        <v>2275</v>
      </c>
      <c r="L230" s="5">
        <v>2350</v>
      </c>
      <c r="M230" s="5">
        <v>2275</v>
      </c>
      <c r="N230" s="5">
        <v>2275</v>
      </c>
      <c r="O230" s="5">
        <v>106</v>
      </c>
      <c r="Q230" s="6">
        <v>38483</v>
      </c>
      <c r="R230" s="7">
        <v>0.66666666666666663</v>
      </c>
      <c r="S230" s="5">
        <v>209.1</v>
      </c>
      <c r="T230" s="5">
        <v>211.95</v>
      </c>
      <c r="U230" s="5">
        <v>209.1</v>
      </c>
      <c r="V230" s="5">
        <v>209.5</v>
      </c>
      <c r="W230" s="5">
        <v>152700</v>
      </c>
      <c r="Y230" s="6">
        <f t="shared" si="6"/>
        <v>40137</v>
      </c>
      <c r="Z230" s="5">
        <f t="shared" si="7"/>
        <v>2275</v>
      </c>
      <c r="AA230" s="5">
        <v>156.4</v>
      </c>
      <c r="AB230" s="5">
        <v>94.95</v>
      </c>
    </row>
    <row r="231" spans="1:28" x14ac:dyDescent="0.3">
      <c r="A231" s="6">
        <v>38498</v>
      </c>
      <c r="B231" s="7">
        <v>0.66666666666666663</v>
      </c>
      <c r="C231" s="5">
        <v>128</v>
      </c>
      <c r="D231" s="5">
        <v>130</v>
      </c>
      <c r="E231" s="5">
        <v>128</v>
      </c>
      <c r="F231" s="5">
        <v>128</v>
      </c>
      <c r="G231" s="5">
        <v>1100</v>
      </c>
      <c r="I231" s="6">
        <v>40140</v>
      </c>
      <c r="J231" s="7">
        <v>0.66666666666666663</v>
      </c>
      <c r="K231" s="5">
        <v>2275</v>
      </c>
      <c r="L231" s="5">
        <v>2300</v>
      </c>
      <c r="M231" s="5">
        <v>2241.1999999999998</v>
      </c>
      <c r="N231" s="5">
        <v>2300</v>
      </c>
      <c r="O231" s="5">
        <v>74</v>
      </c>
      <c r="Q231" s="6">
        <v>38484</v>
      </c>
      <c r="R231" s="7">
        <v>0.66666666666666663</v>
      </c>
      <c r="S231" s="5">
        <v>209.5</v>
      </c>
      <c r="T231" s="5">
        <v>213.75</v>
      </c>
      <c r="U231" s="5">
        <v>208</v>
      </c>
      <c r="V231" s="5">
        <v>208.9</v>
      </c>
      <c r="W231" s="5">
        <v>149700</v>
      </c>
      <c r="Y231" s="6">
        <f t="shared" si="6"/>
        <v>40140</v>
      </c>
      <c r="Z231" s="5">
        <f t="shared" si="7"/>
        <v>2300</v>
      </c>
      <c r="AA231" s="5">
        <v>153.71</v>
      </c>
      <c r="AB231" s="5">
        <v>94.5</v>
      </c>
    </row>
    <row r="232" spans="1:28" x14ac:dyDescent="0.3">
      <c r="A232" s="6">
        <v>38499</v>
      </c>
      <c r="B232" s="7">
        <v>0.66666666666666663</v>
      </c>
      <c r="C232" s="5">
        <v>126.1</v>
      </c>
      <c r="D232" s="5">
        <v>126.1</v>
      </c>
      <c r="E232" s="5">
        <v>121.6</v>
      </c>
      <c r="F232" s="5">
        <v>121.6</v>
      </c>
      <c r="G232" s="5">
        <v>6700</v>
      </c>
      <c r="I232" s="6">
        <v>40141</v>
      </c>
      <c r="J232" s="7">
        <v>0.66666666666666663</v>
      </c>
      <c r="K232" s="5">
        <v>2300</v>
      </c>
      <c r="L232" s="5">
        <v>2329.98</v>
      </c>
      <c r="M232" s="5">
        <v>2300</v>
      </c>
      <c r="N232" s="5">
        <v>2300.1001000000001</v>
      </c>
      <c r="O232" s="5">
        <v>126</v>
      </c>
      <c r="Q232" s="6">
        <v>38485</v>
      </c>
      <c r="R232" s="7">
        <v>0.66666666666666663</v>
      </c>
      <c r="S232" s="5">
        <v>208.9</v>
      </c>
      <c r="T232" s="5">
        <v>211</v>
      </c>
      <c r="U232" s="5">
        <v>208.05</v>
      </c>
      <c r="V232" s="5">
        <v>208.05</v>
      </c>
      <c r="W232" s="5">
        <v>43500</v>
      </c>
      <c r="Y232" s="6">
        <f t="shared" si="6"/>
        <v>40141</v>
      </c>
      <c r="Z232" s="5">
        <f t="shared" si="7"/>
        <v>2300.1001000000001</v>
      </c>
      <c r="AA232" s="5">
        <v>153.05000000000001</v>
      </c>
      <c r="AB232" s="5">
        <v>94.23</v>
      </c>
    </row>
    <row r="233" spans="1:28" x14ac:dyDescent="0.3">
      <c r="A233" s="6">
        <v>38502</v>
      </c>
      <c r="B233" s="7">
        <v>0.66666666666666663</v>
      </c>
      <c r="C233" s="5">
        <v>126.95</v>
      </c>
      <c r="D233" s="5">
        <v>127.2</v>
      </c>
      <c r="E233" s="5">
        <v>125</v>
      </c>
      <c r="F233" s="5">
        <v>125</v>
      </c>
      <c r="G233" s="5">
        <v>2800</v>
      </c>
      <c r="I233" s="6">
        <v>40142</v>
      </c>
      <c r="J233" s="7">
        <v>0.66666666666666663</v>
      </c>
      <c r="K233" s="5">
        <v>2300.1001000000001</v>
      </c>
      <c r="L233" s="5">
        <v>2300.5</v>
      </c>
      <c r="M233" s="5">
        <v>2300</v>
      </c>
      <c r="N233" s="5">
        <v>2300.5</v>
      </c>
      <c r="O233" s="5">
        <v>16</v>
      </c>
      <c r="Q233" s="6">
        <v>38488</v>
      </c>
      <c r="R233" s="7">
        <v>0.66666666666666663</v>
      </c>
      <c r="S233" s="5">
        <v>208.05</v>
      </c>
      <c r="T233" s="5">
        <v>212.5</v>
      </c>
      <c r="U233" s="5">
        <v>203</v>
      </c>
      <c r="V233" s="5">
        <v>207</v>
      </c>
      <c r="W233" s="5">
        <v>86600</v>
      </c>
      <c r="Y233" s="6">
        <f t="shared" si="6"/>
        <v>40142</v>
      </c>
      <c r="Z233" s="5">
        <f t="shared" si="7"/>
        <v>2300.5</v>
      </c>
      <c r="AA233" s="5">
        <v>152.47999999999999</v>
      </c>
      <c r="AB233" s="5">
        <v>95</v>
      </c>
    </row>
    <row r="234" spans="1:28" x14ac:dyDescent="0.3">
      <c r="A234" s="6">
        <v>38503</v>
      </c>
      <c r="B234" s="7">
        <v>0.66666666666666663</v>
      </c>
      <c r="C234" s="5">
        <v>129.75</v>
      </c>
      <c r="D234" s="5">
        <v>129.75</v>
      </c>
      <c r="E234" s="5">
        <v>123</v>
      </c>
      <c r="F234" s="5">
        <v>125.8</v>
      </c>
      <c r="G234" s="5">
        <v>1800</v>
      </c>
      <c r="I234" s="6">
        <v>40148</v>
      </c>
      <c r="J234" s="7">
        <v>0.66666666666666663</v>
      </c>
      <c r="K234" s="5">
        <v>2300.5</v>
      </c>
      <c r="L234" s="5">
        <v>2301</v>
      </c>
      <c r="M234" s="5">
        <v>2300</v>
      </c>
      <c r="N234" s="5">
        <v>2300</v>
      </c>
      <c r="O234" s="5">
        <v>51</v>
      </c>
      <c r="Q234" s="6">
        <v>38489</v>
      </c>
      <c r="R234" s="7">
        <v>0.66666666666666663</v>
      </c>
      <c r="S234" s="5">
        <v>207</v>
      </c>
      <c r="T234" s="5">
        <v>210</v>
      </c>
      <c r="U234" s="5">
        <v>206</v>
      </c>
      <c r="V234" s="5">
        <v>206</v>
      </c>
      <c r="W234" s="5">
        <v>158100</v>
      </c>
      <c r="Y234" s="6">
        <f t="shared" si="6"/>
        <v>40148</v>
      </c>
      <c r="Z234" s="5">
        <f t="shared" si="7"/>
        <v>2300</v>
      </c>
      <c r="AA234" s="5">
        <v>147.26</v>
      </c>
      <c r="AB234" s="5">
        <v>94.9</v>
      </c>
    </row>
    <row r="235" spans="1:28" x14ac:dyDescent="0.3">
      <c r="A235" s="6">
        <v>38504</v>
      </c>
      <c r="B235" s="7">
        <v>0.66666666666666663</v>
      </c>
      <c r="C235" s="5">
        <v>127.75</v>
      </c>
      <c r="D235" s="5">
        <v>129.9</v>
      </c>
      <c r="E235" s="5">
        <v>127.2</v>
      </c>
      <c r="F235" s="5">
        <v>129.9</v>
      </c>
      <c r="G235" s="5">
        <v>5500</v>
      </c>
      <c r="I235" s="6">
        <v>40149</v>
      </c>
      <c r="J235" s="7">
        <v>0.66666666666666663</v>
      </c>
      <c r="K235" s="5">
        <v>2300</v>
      </c>
      <c r="L235" s="5">
        <v>2320</v>
      </c>
      <c r="M235" s="5">
        <v>2300</v>
      </c>
      <c r="N235" s="5">
        <v>2302</v>
      </c>
      <c r="O235" s="5">
        <v>154</v>
      </c>
      <c r="Q235" s="6">
        <v>38490</v>
      </c>
      <c r="R235" s="7">
        <v>0.66666666666666663</v>
      </c>
      <c r="S235" s="5">
        <v>175</v>
      </c>
      <c r="T235" s="5">
        <v>175</v>
      </c>
      <c r="U235" s="5">
        <v>167.05</v>
      </c>
      <c r="V235" s="5">
        <v>170</v>
      </c>
      <c r="W235" s="5">
        <v>35400</v>
      </c>
      <c r="Y235" s="6">
        <f t="shared" si="6"/>
        <v>40149</v>
      </c>
      <c r="Z235" s="5">
        <f t="shared" si="7"/>
        <v>2302</v>
      </c>
      <c r="AA235" s="5">
        <v>153.18</v>
      </c>
      <c r="AB235" s="5">
        <v>94.8</v>
      </c>
    </row>
    <row r="236" spans="1:28" x14ac:dyDescent="0.3">
      <c r="A236" s="6">
        <v>38505</v>
      </c>
      <c r="B236" s="7">
        <v>0.66666666666666663</v>
      </c>
      <c r="C236" s="5">
        <v>128.5</v>
      </c>
      <c r="D236" s="5">
        <v>132</v>
      </c>
      <c r="E236" s="5">
        <v>128.5</v>
      </c>
      <c r="F236" s="5">
        <v>130.5</v>
      </c>
      <c r="G236" s="5">
        <v>4100</v>
      </c>
      <c r="I236" s="6">
        <v>40150</v>
      </c>
      <c r="J236" s="7">
        <v>0.66666666666666663</v>
      </c>
      <c r="K236" s="5">
        <v>2302</v>
      </c>
      <c r="L236" s="5">
        <v>2324</v>
      </c>
      <c r="M236" s="5">
        <v>2300</v>
      </c>
      <c r="N236" s="5">
        <v>2300.0100000000002</v>
      </c>
      <c r="O236" s="5">
        <v>93</v>
      </c>
      <c r="Q236" s="6">
        <v>38491</v>
      </c>
      <c r="R236" s="7">
        <v>0.66666666666666663</v>
      </c>
      <c r="S236" s="5">
        <v>170</v>
      </c>
      <c r="T236" s="5">
        <v>171</v>
      </c>
      <c r="U236" s="5">
        <v>163</v>
      </c>
      <c r="V236" s="5">
        <v>165</v>
      </c>
      <c r="W236" s="5">
        <v>32300</v>
      </c>
      <c r="Y236" s="6">
        <f t="shared" si="6"/>
        <v>40150</v>
      </c>
      <c r="Z236" s="5">
        <f t="shared" si="7"/>
        <v>2300.0100000000002</v>
      </c>
      <c r="AA236" s="5">
        <v>153.24</v>
      </c>
      <c r="AB236" s="5">
        <v>95.36</v>
      </c>
    </row>
    <row r="237" spans="1:28" x14ac:dyDescent="0.3">
      <c r="A237" s="6">
        <v>38506</v>
      </c>
      <c r="B237" s="7">
        <v>0.66666666666666663</v>
      </c>
      <c r="C237" s="5">
        <v>130</v>
      </c>
      <c r="D237" s="5">
        <v>130</v>
      </c>
      <c r="E237" s="5">
        <v>128</v>
      </c>
      <c r="F237" s="5">
        <v>128</v>
      </c>
      <c r="G237" s="5">
        <v>4400</v>
      </c>
      <c r="I237" s="6">
        <v>40151</v>
      </c>
      <c r="J237" s="7">
        <v>0.66666666666666663</v>
      </c>
      <c r="K237" s="5">
        <v>2300.0100000000002</v>
      </c>
      <c r="L237" s="5">
        <v>2300.02</v>
      </c>
      <c r="M237" s="5">
        <v>2300</v>
      </c>
      <c r="N237" s="5">
        <v>2300</v>
      </c>
      <c r="O237" s="5">
        <v>1314</v>
      </c>
      <c r="Q237" s="6">
        <v>38492</v>
      </c>
      <c r="R237" s="7">
        <v>0.66666666666666663</v>
      </c>
      <c r="S237" s="5">
        <v>165</v>
      </c>
      <c r="T237" s="5">
        <v>172</v>
      </c>
      <c r="U237" s="5">
        <v>159</v>
      </c>
      <c r="V237" s="5">
        <v>163.19999999999999</v>
      </c>
      <c r="W237" s="5">
        <v>11200</v>
      </c>
      <c r="Y237" s="6">
        <f t="shared" si="6"/>
        <v>40151</v>
      </c>
      <c r="Z237" s="5">
        <f t="shared" si="7"/>
        <v>2300</v>
      </c>
      <c r="AA237" s="5">
        <v>146.12</v>
      </c>
      <c r="AB237" s="5">
        <v>95.13</v>
      </c>
    </row>
    <row r="238" spans="1:28" x14ac:dyDescent="0.3">
      <c r="A238" s="6">
        <v>38509</v>
      </c>
      <c r="B238" s="7">
        <v>0.66666666666666663</v>
      </c>
      <c r="C238" s="5">
        <v>125.5</v>
      </c>
      <c r="D238" s="5">
        <v>128</v>
      </c>
      <c r="E238" s="5">
        <v>123.05</v>
      </c>
      <c r="F238" s="5">
        <v>128</v>
      </c>
      <c r="G238" s="5">
        <v>2200</v>
      </c>
      <c r="I238" s="6">
        <v>40154</v>
      </c>
      <c r="J238" s="7">
        <v>0.66666666666666663</v>
      </c>
      <c r="K238" s="5">
        <v>2300</v>
      </c>
      <c r="L238" s="5">
        <v>2335</v>
      </c>
      <c r="M238" s="5">
        <v>2300</v>
      </c>
      <c r="N238" s="5">
        <v>2300</v>
      </c>
      <c r="O238" s="5">
        <v>60</v>
      </c>
      <c r="Q238" s="6">
        <v>38495</v>
      </c>
      <c r="R238" s="7">
        <v>0.66666666666666663</v>
      </c>
      <c r="S238" s="5">
        <v>162</v>
      </c>
      <c r="T238" s="5">
        <v>162</v>
      </c>
      <c r="U238" s="5">
        <v>155.05000000000001</v>
      </c>
      <c r="V238" s="5">
        <v>155.05000000000001</v>
      </c>
      <c r="W238" s="5">
        <v>11400</v>
      </c>
      <c r="Y238" s="6">
        <f t="shared" si="6"/>
        <v>40154</v>
      </c>
      <c r="Z238" s="5">
        <f t="shared" si="7"/>
        <v>2300</v>
      </c>
      <c r="AA238" s="5">
        <v>138.84</v>
      </c>
      <c r="AB238" s="5">
        <v>95.13</v>
      </c>
    </row>
    <row r="239" spans="1:28" x14ac:dyDescent="0.3">
      <c r="A239" s="6">
        <v>38510</v>
      </c>
      <c r="B239" s="7">
        <v>0.66666666666666663</v>
      </c>
      <c r="C239" s="5">
        <v>130.85</v>
      </c>
      <c r="D239" s="5">
        <v>130.85</v>
      </c>
      <c r="E239" s="5">
        <v>126</v>
      </c>
      <c r="F239" s="5">
        <v>129.85</v>
      </c>
      <c r="G239" s="5">
        <v>4100</v>
      </c>
      <c r="I239" s="6">
        <v>40155</v>
      </c>
      <c r="J239" s="7">
        <v>0.66666666666666663</v>
      </c>
      <c r="K239" s="5">
        <v>2300.0100000000002</v>
      </c>
      <c r="L239" s="5">
        <v>2320</v>
      </c>
      <c r="M239" s="5">
        <v>2300.0100000000002</v>
      </c>
      <c r="N239" s="5">
        <v>2315</v>
      </c>
      <c r="O239" s="5">
        <v>1531</v>
      </c>
      <c r="Q239" s="6">
        <v>38496</v>
      </c>
      <c r="R239" s="7">
        <v>0.66666666666666663</v>
      </c>
      <c r="S239" s="5">
        <v>154.5</v>
      </c>
      <c r="T239" s="5">
        <v>154.5</v>
      </c>
      <c r="U239" s="5">
        <v>147.30000000000001</v>
      </c>
      <c r="V239" s="5">
        <v>153.69999999999999</v>
      </c>
      <c r="W239" s="5">
        <v>25100</v>
      </c>
      <c r="Y239" s="6">
        <f t="shared" si="6"/>
        <v>40155</v>
      </c>
      <c r="Z239" s="5">
        <f t="shared" si="7"/>
        <v>2315</v>
      </c>
      <c r="AA239" s="5">
        <v>131.9</v>
      </c>
      <c r="AB239" s="5">
        <v>93.29</v>
      </c>
    </row>
    <row r="240" spans="1:28" x14ac:dyDescent="0.3">
      <c r="A240" s="6">
        <v>38511</v>
      </c>
      <c r="B240" s="7">
        <v>0.66666666666666663</v>
      </c>
      <c r="C240" s="5">
        <v>129.85</v>
      </c>
      <c r="D240" s="5">
        <v>129.85</v>
      </c>
      <c r="E240" s="5">
        <v>126.25</v>
      </c>
      <c r="F240" s="5">
        <v>126.25</v>
      </c>
      <c r="G240" s="5">
        <v>1400</v>
      </c>
      <c r="I240" s="6">
        <v>40156</v>
      </c>
      <c r="J240" s="7">
        <v>0.66666666666666663</v>
      </c>
      <c r="K240" s="5">
        <v>2315</v>
      </c>
      <c r="L240" s="5">
        <v>2335</v>
      </c>
      <c r="M240" s="5">
        <v>2300</v>
      </c>
      <c r="N240" s="5">
        <v>2310</v>
      </c>
      <c r="O240" s="5">
        <v>1681</v>
      </c>
      <c r="Q240" s="6">
        <v>38497</v>
      </c>
      <c r="R240" s="7">
        <v>0.66666666666666663</v>
      </c>
      <c r="S240" s="5">
        <v>153.69999999999999</v>
      </c>
      <c r="T240" s="5">
        <v>161.35</v>
      </c>
      <c r="U240" s="5">
        <v>153</v>
      </c>
      <c r="V240" s="5">
        <v>157</v>
      </c>
      <c r="W240" s="5">
        <v>49800</v>
      </c>
      <c r="Y240" s="6">
        <f t="shared" si="6"/>
        <v>40156</v>
      </c>
      <c r="Z240" s="5">
        <f t="shared" si="7"/>
        <v>2310</v>
      </c>
      <c r="AA240" s="5">
        <v>136.62</v>
      </c>
      <c r="AB240" s="5">
        <v>95</v>
      </c>
    </row>
    <row r="241" spans="1:28" x14ac:dyDescent="0.3">
      <c r="A241" s="6">
        <v>38512</v>
      </c>
      <c r="B241" s="7">
        <v>0.66666666666666663</v>
      </c>
      <c r="C241" s="5">
        <v>126.5</v>
      </c>
      <c r="D241" s="5">
        <v>127</v>
      </c>
      <c r="E241" s="5">
        <v>126.15</v>
      </c>
      <c r="F241" s="5">
        <v>126.2</v>
      </c>
      <c r="G241" s="5">
        <v>1800</v>
      </c>
      <c r="I241" s="6">
        <v>40157</v>
      </c>
      <c r="J241" s="7">
        <v>0.66666666666666663</v>
      </c>
      <c r="K241" s="5">
        <v>2310</v>
      </c>
      <c r="L241" s="5">
        <v>2315</v>
      </c>
      <c r="M241" s="5">
        <v>2300.0100000000002</v>
      </c>
      <c r="N241" s="5">
        <v>2300.0100000000002</v>
      </c>
      <c r="O241" s="5">
        <v>48</v>
      </c>
      <c r="Q241" s="6">
        <v>38498</v>
      </c>
      <c r="R241" s="7">
        <v>0.66666666666666663</v>
      </c>
      <c r="S241" s="5">
        <v>157</v>
      </c>
      <c r="T241" s="5">
        <v>159.75</v>
      </c>
      <c r="U241" s="5">
        <v>149.15</v>
      </c>
      <c r="V241" s="5">
        <v>150</v>
      </c>
      <c r="W241" s="5">
        <v>17400</v>
      </c>
      <c r="Y241" s="6">
        <f t="shared" si="6"/>
        <v>40157</v>
      </c>
      <c r="Z241" s="5">
        <f t="shared" si="7"/>
        <v>2300.0100000000002</v>
      </c>
      <c r="AA241" s="5">
        <v>135.68</v>
      </c>
      <c r="AB241" s="5">
        <v>94.53</v>
      </c>
    </row>
    <row r="242" spans="1:28" x14ac:dyDescent="0.3">
      <c r="A242" s="6">
        <v>38513</v>
      </c>
      <c r="B242" s="7">
        <v>0.66666666666666663</v>
      </c>
      <c r="C242" s="5">
        <v>128</v>
      </c>
      <c r="D242" s="5">
        <v>130</v>
      </c>
      <c r="E242" s="5">
        <v>128</v>
      </c>
      <c r="F242" s="5">
        <v>128</v>
      </c>
      <c r="G242" s="5">
        <v>300</v>
      </c>
      <c r="I242" s="6">
        <v>40158</v>
      </c>
      <c r="J242" s="7">
        <v>0.66666666666666663</v>
      </c>
      <c r="K242" s="5">
        <v>2300.0100000000002</v>
      </c>
      <c r="L242" s="5">
        <v>2300.02</v>
      </c>
      <c r="M242" s="5">
        <v>2300.0100000000002</v>
      </c>
      <c r="N242" s="5">
        <v>2300.0100000000002</v>
      </c>
      <c r="O242" s="5">
        <v>15</v>
      </c>
      <c r="Q242" s="6">
        <v>38499</v>
      </c>
      <c r="R242" s="7">
        <v>0.66666666666666663</v>
      </c>
      <c r="S242" s="5">
        <v>150</v>
      </c>
      <c r="T242" s="5">
        <v>150.9</v>
      </c>
      <c r="U242" s="5">
        <v>143</v>
      </c>
      <c r="V242" s="5">
        <v>144.1</v>
      </c>
      <c r="W242" s="5">
        <v>13500</v>
      </c>
      <c r="Y242" s="6">
        <f t="shared" si="6"/>
        <v>40158</v>
      </c>
      <c r="Z242" s="5">
        <f t="shared" si="7"/>
        <v>2300.0100000000002</v>
      </c>
      <c r="AA242" s="5">
        <v>134.34</v>
      </c>
      <c r="AB242" s="5">
        <v>95.95</v>
      </c>
    </row>
    <row r="243" spans="1:28" x14ac:dyDescent="0.3">
      <c r="A243" s="6">
        <v>38516</v>
      </c>
      <c r="B243" s="7">
        <v>0.66666666666666663</v>
      </c>
      <c r="C243" s="5">
        <v>127</v>
      </c>
      <c r="D243" s="5">
        <v>128</v>
      </c>
      <c r="E243" s="5">
        <v>127</v>
      </c>
      <c r="F243" s="5">
        <v>128</v>
      </c>
      <c r="G243" s="5">
        <v>900</v>
      </c>
      <c r="I243" s="6">
        <v>40161</v>
      </c>
      <c r="J243" s="7">
        <v>0.66666666666666663</v>
      </c>
      <c r="K243" s="5">
        <v>2300.0100000000002</v>
      </c>
      <c r="L243" s="5">
        <v>2324</v>
      </c>
      <c r="M243" s="5">
        <v>2300</v>
      </c>
      <c r="N243" s="5">
        <v>2300.5601000000001</v>
      </c>
      <c r="O243" s="5">
        <v>296</v>
      </c>
      <c r="Q243" s="6">
        <v>38502</v>
      </c>
      <c r="R243" s="7">
        <v>0.66666666666666663</v>
      </c>
      <c r="S243" s="5">
        <v>144.1</v>
      </c>
      <c r="T243" s="5">
        <v>151.30000000000001</v>
      </c>
      <c r="U243" s="5">
        <v>141.1</v>
      </c>
      <c r="V243" s="5">
        <v>151</v>
      </c>
      <c r="W243" s="5">
        <v>29900</v>
      </c>
      <c r="Y243" s="6">
        <f t="shared" si="6"/>
        <v>40161</v>
      </c>
      <c r="Z243" s="5">
        <f t="shared" si="7"/>
        <v>2300.5601000000001</v>
      </c>
      <c r="AA243" s="5">
        <v>137.69999999999999</v>
      </c>
      <c r="AB243" s="5">
        <v>100.74</v>
      </c>
    </row>
    <row r="244" spans="1:28" x14ac:dyDescent="0.3">
      <c r="A244" s="6">
        <v>38517</v>
      </c>
      <c r="B244" s="7">
        <v>0.66666666666666663</v>
      </c>
      <c r="C244" s="5">
        <v>128</v>
      </c>
      <c r="D244" s="5">
        <v>128.94999999999999</v>
      </c>
      <c r="E244" s="5">
        <v>128</v>
      </c>
      <c r="F244" s="5">
        <v>128.94999999999999</v>
      </c>
      <c r="G244" s="5">
        <v>600</v>
      </c>
      <c r="I244" s="6">
        <v>40162</v>
      </c>
      <c r="J244" s="7">
        <v>0.66666666666666663</v>
      </c>
      <c r="K244" s="5">
        <v>2300.0100000000002</v>
      </c>
      <c r="L244" s="5">
        <v>2300.0100000000002</v>
      </c>
      <c r="M244" s="5">
        <v>2300.0100000000002</v>
      </c>
      <c r="N244" s="5">
        <v>2300.0100000000002</v>
      </c>
      <c r="O244" s="5">
        <v>6</v>
      </c>
      <c r="Q244" s="6">
        <v>38503</v>
      </c>
      <c r="R244" s="7">
        <v>0.66666666666666663</v>
      </c>
      <c r="S244" s="5">
        <v>151</v>
      </c>
      <c r="T244" s="5">
        <v>158.55000000000001</v>
      </c>
      <c r="U244" s="5">
        <v>148</v>
      </c>
      <c r="V244" s="5">
        <v>158.55000000000001</v>
      </c>
      <c r="W244" s="5">
        <v>66000</v>
      </c>
      <c r="Y244" s="6">
        <f t="shared" si="6"/>
        <v>40162</v>
      </c>
      <c r="Z244" s="5">
        <f t="shared" si="7"/>
        <v>2300.0100000000002</v>
      </c>
      <c r="AA244" s="5">
        <v>136.77000000000001</v>
      </c>
      <c r="AB244" s="5">
        <v>102.93</v>
      </c>
    </row>
    <row r="245" spans="1:28" x14ac:dyDescent="0.3">
      <c r="A245" s="6">
        <v>38518</v>
      </c>
      <c r="B245" s="7">
        <v>0.66666666666666663</v>
      </c>
      <c r="C245" s="5">
        <v>130</v>
      </c>
      <c r="D245" s="5">
        <v>130</v>
      </c>
      <c r="E245" s="5">
        <v>127</v>
      </c>
      <c r="F245" s="5">
        <v>129.94999999999999</v>
      </c>
      <c r="G245" s="5">
        <v>1200</v>
      </c>
      <c r="I245" s="6">
        <v>40163</v>
      </c>
      <c r="J245" s="7">
        <v>0.66666666666666663</v>
      </c>
      <c r="K245" s="5">
        <v>2300.0100000000002</v>
      </c>
      <c r="L245" s="5">
        <v>2300.0100000000002</v>
      </c>
      <c r="M245" s="5">
        <v>2300</v>
      </c>
      <c r="N245" s="5">
        <v>2300</v>
      </c>
      <c r="O245" s="5">
        <v>84</v>
      </c>
      <c r="Q245" s="6">
        <v>38504</v>
      </c>
      <c r="R245" s="7">
        <v>0.66666666666666663</v>
      </c>
      <c r="S245" s="5">
        <v>163</v>
      </c>
      <c r="T245" s="5">
        <v>166.45</v>
      </c>
      <c r="U245" s="5">
        <v>163</v>
      </c>
      <c r="V245" s="5">
        <v>166.45</v>
      </c>
      <c r="W245" s="5">
        <v>104300</v>
      </c>
      <c r="Y245" s="6">
        <f t="shared" si="6"/>
        <v>40163</v>
      </c>
      <c r="Z245" s="5">
        <f t="shared" si="7"/>
        <v>2300</v>
      </c>
      <c r="AA245" s="5">
        <v>136.06</v>
      </c>
      <c r="AB245" s="5">
        <v>100.42</v>
      </c>
    </row>
    <row r="246" spans="1:28" x14ac:dyDescent="0.3">
      <c r="A246" s="6">
        <v>38519</v>
      </c>
      <c r="B246" s="7">
        <v>0.66666666666666663</v>
      </c>
      <c r="C246" s="5">
        <v>127</v>
      </c>
      <c r="D246" s="5">
        <v>128.9</v>
      </c>
      <c r="E246" s="5">
        <v>127</v>
      </c>
      <c r="F246" s="5">
        <v>128.9</v>
      </c>
      <c r="G246" s="5">
        <v>300</v>
      </c>
      <c r="I246" s="6">
        <v>40164</v>
      </c>
      <c r="J246" s="7">
        <v>0.66666666666666663</v>
      </c>
      <c r="K246" s="5">
        <v>2300.0100000000002</v>
      </c>
      <c r="L246" s="5">
        <v>2340</v>
      </c>
      <c r="M246" s="5">
        <v>2300.0100000000002</v>
      </c>
      <c r="N246" s="5">
        <v>2300.0100000000002</v>
      </c>
      <c r="O246" s="5">
        <v>55</v>
      </c>
      <c r="Q246" s="6">
        <v>38505</v>
      </c>
      <c r="R246" s="7">
        <v>0.66666666666666663</v>
      </c>
      <c r="S246" s="5">
        <v>166.45</v>
      </c>
      <c r="T246" s="5">
        <v>173.9</v>
      </c>
      <c r="U246" s="5">
        <v>164.1</v>
      </c>
      <c r="V246" s="5">
        <v>167.45</v>
      </c>
      <c r="W246" s="5">
        <v>255600</v>
      </c>
      <c r="Y246" s="6">
        <f t="shared" si="6"/>
        <v>40164</v>
      </c>
      <c r="Z246" s="5">
        <f t="shared" si="7"/>
        <v>2300.0100000000002</v>
      </c>
      <c r="AA246" s="5">
        <v>135.69</v>
      </c>
      <c r="AB246" s="5">
        <v>100.6</v>
      </c>
    </row>
    <row r="247" spans="1:28" x14ac:dyDescent="0.3">
      <c r="A247" s="6">
        <v>38520</v>
      </c>
      <c r="B247" s="7">
        <v>0.66666666666666663</v>
      </c>
      <c r="C247" s="5">
        <v>127</v>
      </c>
      <c r="D247" s="5">
        <v>127</v>
      </c>
      <c r="E247" s="5">
        <v>125</v>
      </c>
      <c r="F247" s="5">
        <v>125</v>
      </c>
      <c r="G247" s="5">
        <v>13000</v>
      </c>
      <c r="I247" s="6">
        <v>40165</v>
      </c>
      <c r="J247" s="7">
        <v>0.66666666666666663</v>
      </c>
      <c r="K247" s="5">
        <v>2300.0100000000002</v>
      </c>
      <c r="L247" s="5">
        <v>2305</v>
      </c>
      <c r="M247" s="5">
        <v>2300.0100000000002</v>
      </c>
      <c r="N247" s="5">
        <v>2301</v>
      </c>
      <c r="O247" s="5">
        <v>52</v>
      </c>
      <c r="Q247" s="6">
        <v>38506</v>
      </c>
      <c r="R247" s="7">
        <v>0.66666666666666663</v>
      </c>
      <c r="S247" s="5">
        <v>167.45</v>
      </c>
      <c r="T247" s="5">
        <v>169.8</v>
      </c>
      <c r="U247" s="5">
        <v>159.1</v>
      </c>
      <c r="V247" s="5">
        <v>160.5</v>
      </c>
      <c r="W247" s="5">
        <v>54100</v>
      </c>
      <c r="Y247" s="6">
        <f t="shared" si="6"/>
        <v>40165</v>
      </c>
      <c r="Z247" s="5">
        <f t="shared" si="7"/>
        <v>2301</v>
      </c>
      <c r="AA247" s="5">
        <v>134.13999999999999</v>
      </c>
      <c r="AB247" s="5">
        <v>99.14</v>
      </c>
    </row>
    <row r="248" spans="1:28" x14ac:dyDescent="0.3">
      <c r="A248" s="6">
        <v>38523</v>
      </c>
      <c r="B248" s="7">
        <v>0.66666666666666663</v>
      </c>
      <c r="C248" s="5">
        <v>128</v>
      </c>
      <c r="D248" s="5">
        <v>128</v>
      </c>
      <c r="E248" s="5">
        <v>125</v>
      </c>
      <c r="F248" s="5">
        <v>127</v>
      </c>
      <c r="G248" s="5">
        <v>13500</v>
      </c>
      <c r="I248" s="6">
        <v>40168</v>
      </c>
      <c r="J248" s="7">
        <v>0.66666666666666663</v>
      </c>
      <c r="K248" s="5">
        <v>2301</v>
      </c>
      <c r="L248" s="5">
        <v>2301</v>
      </c>
      <c r="M248" s="5">
        <v>2300</v>
      </c>
      <c r="N248" s="5">
        <v>2300.0100000000002</v>
      </c>
      <c r="O248" s="5">
        <v>82</v>
      </c>
      <c r="Q248" s="6">
        <v>38509</v>
      </c>
      <c r="R248" s="7">
        <v>0.66666666666666663</v>
      </c>
      <c r="S248" s="5">
        <v>158</v>
      </c>
      <c r="T248" s="5">
        <v>158</v>
      </c>
      <c r="U248" s="5">
        <v>152.5</v>
      </c>
      <c r="V248" s="5">
        <v>156</v>
      </c>
      <c r="W248" s="5">
        <v>62500</v>
      </c>
      <c r="Y248" s="6">
        <f t="shared" si="6"/>
        <v>40168</v>
      </c>
      <c r="Z248" s="5">
        <f t="shared" si="7"/>
        <v>2300.0100000000002</v>
      </c>
      <c r="AA248" s="5">
        <v>134.18</v>
      </c>
      <c r="AB248" s="5">
        <v>104.09</v>
      </c>
    </row>
    <row r="249" spans="1:28" x14ac:dyDescent="0.3">
      <c r="A249" s="6">
        <v>38524</v>
      </c>
      <c r="B249" s="7">
        <v>0.66666666666666663</v>
      </c>
      <c r="C249" s="5">
        <v>126</v>
      </c>
      <c r="D249" s="5">
        <v>126</v>
      </c>
      <c r="E249" s="5">
        <v>125</v>
      </c>
      <c r="F249" s="5">
        <v>125</v>
      </c>
      <c r="G249" s="5">
        <v>3300</v>
      </c>
      <c r="I249" s="6">
        <v>40169</v>
      </c>
      <c r="J249" s="7">
        <v>0.66666666666666663</v>
      </c>
      <c r="K249" s="5">
        <v>2300.0100000000002</v>
      </c>
      <c r="L249" s="5">
        <v>2340</v>
      </c>
      <c r="M249" s="5">
        <v>2300.0100000000002</v>
      </c>
      <c r="N249" s="5">
        <v>2315</v>
      </c>
      <c r="O249" s="5">
        <v>14022</v>
      </c>
      <c r="Q249" s="6">
        <v>38510</v>
      </c>
      <c r="R249" s="7">
        <v>0.66666666666666663</v>
      </c>
      <c r="S249" s="5">
        <v>158.9</v>
      </c>
      <c r="T249" s="5">
        <v>163.80000000000001</v>
      </c>
      <c r="U249" s="5">
        <v>158.9</v>
      </c>
      <c r="V249" s="5">
        <v>163.80000000000001</v>
      </c>
      <c r="W249" s="5">
        <v>199600</v>
      </c>
      <c r="Y249" s="6">
        <f t="shared" si="6"/>
        <v>40169</v>
      </c>
      <c r="Z249" s="5">
        <f t="shared" si="7"/>
        <v>2315</v>
      </c>
      <c r="AA249" s="5">
        <v>135.26</v>
      </c>
      <c r="AB249" s="5">
        <v>108.62</v>
      </c>
    </row>
    <row r="250" spans="1:28" x14ac:dyDescent="0.3">
      <c r="A250" s="6">
        <v>38525</v>
      </c>
      <c r="B250" s="7">
        <v>0.66666666666666663</v>
      </c>
      <c r="C250" s="5">
        <v>123.25</v>
      </c>
      <c r="D250" s="5">
        <v>126.25</v>
      </c>
      <c r="E250" s="5">
        <v>123.25</v>
      </c>
      <c r="F250" s="5">
        <v>125.5</v>
      </c>
      <c r="G250" s="5">
        <v>1200</v>
      </c>
      <c r="I250" s="6">
        <v>40170</v>
      </c>
      <c r="J250" s="7">
        <v>0.66666666666666663</v>
      </c>
      <c r="K250" s="5">
        <v>2315</v>
      </c>
      <c r="L250" s="5">
        <v>2335</v>
      </c>
      <c r="M250" s="5">
        <v>2310</v>
      </c>
      <c r="N250" s="5">
        <v>2310</v>
      </c>
      <c r="O250" s="5">
        <v>22</v>
      </c>
      <c r="Q250" s="6">
        <v>38511</v>
      </c>
      <c r="R250" s="7">
        <v>0.66666666666666663</v>
      </c>
      <c r="S250" s="5">
        <v>163.80000000000001</v>
      </c>
      <c r="T250" s="5">
        <v>167</v>
      </c>
      <c r="U250" s="5">
        <v>158.05000000000001</v>
      </c>
      <c r="V250" s="5">
        <v>160.25</v>
      </c>
      <c r="W250" s="5">
        <v>61400</v>
      </c>
      <c r="Y250" s="6">
        <f t="shared" si="6"/>
        <v>40170</v>
      </c>
      <c r="Z250" s="5">
        <f t="shared" si="7"/>
        <v>2310</v>
      </c>
      <c r="AA250" s="5">
        <v>137.68</v>
      </c>
      <c r="AB250" s="5">
        <v>113.92</v>
      </c>
    </row>
    <row r="251" spans="1:28" x14ac:dyDescent="0.3">
      <c r="A251" s="6">
        <v>38526</v>
      </c>
      <c r="B251" s="7">
        <v>0.66666666666666663</v>
      </c>
      <c r="C251" s="5">
        <v>124</v>
      </c>
      <c r="D251" s="5">
        <v>125.5</v>
      </c>
      <c r="E251" s="5">
        <v>124</v>
      </c>
      <c r="F251" s="5">
        <v>125.5</v>
      </c>
      <c r="G251" s="5">
        <v>500</v>
      </c>
      <c r="I251" s="6">
        <v>40171</v>
      </c>
      <c r="J251" s="7">
        <v>0.66666666666666663</v>
      </c>
      <c r="K251" s="5">
        <v>2310</v>
      </c>
      <c r="L251" s="5">
        <v>2335</v>
      </c>
      <c r="M251" s="5">
        <v>2300.02</v>
      </c>
      <c r="N251" s="5">
        <v>2334.4398999999999</v>
      </c>
      <c r="O251" s="5">
        <v>34049</v>
      </c>
      <c r="Q251" s="6">
        <v>38512</v>
      </c>
      <c r="R251" s="7">
        <v>0.66666666666666663</v>
      </c>
      <c r="S251" s="5">
        <v>160.25</v>
      </c>
      <c r="T251" s="5">
        <v>162.25</v>
      </c>
      <c r="U251" s="5">
        <v>158.75</v>
      </c>
      <c r="V251" s="5">
        <v>160.80000000000001</v>
      </c>
      <c r="W251" s="5">
        <v>26200</v>
      </c>
      <c r="Y251" s="6">
        <f t="shared" si="6"/>
        <v>40171</v>
      </c>
      <c r="Z251" s="5">
        <f t="shared" si="7"/>
        <v>2334.4398999999999</v>
      </c>
      <c r="AA251" s="5">
        <v>135.83000000000001</v>
      </c>
      <c r="AB251" s="5">
        <v>119.38</v>
      </c>
    </row>
    <row r="252" spans="1:28" x14ac:dyDescent="0.3">
      <c r="A252" s="6">
        <v>38527</v>
      </c>
      <c r="B252" s="7">
        <v>0.66666666666666663</v>
      </c>
      <c r="C252" s="5">
        <v>127.5</v>
      </c>
      <c r="D252" s="5">
        <v>128.75</v>
      </c>
      <c r="E252" s="5">
        <v>127.5</v>
      </c>
      <c r="F252" s="5">
        <v>128</v>
      </c>
      <c r="G252" s="5">
        <v>1100</v>
      </c>
      <c r="I252" s="6">
        <v>40176</v>
      </c>
      <c r="J252" s="7">
        <v>0.66666666666666663</v>
      </c>
      <c r="K252" s="5">
        <v>2330</v>
      </c>
      <c r="L252" s="5">
        <v>2330</v>
      </c>
      <c r="M252" s="5">
        <v>2303</v>
      </c>
      <c r="N252" s="5">
        <v>2303</v>
      </c>
      <c r="O252" s="5">
        <v>17</v>
      </c>
      <c r="Q252" s="6">
        <v>38513</v>
      </c>
      <c r="R252" s="7">
        <v>0.66666666666666663</v>
      </c>
      <c r="S252" s="5">
        <v>160.80000000000001</v>
      </c>
      <c r="T252" s="5">
        <v>162</v>
      </c>
      <c r="U252" s="5">
        <v>157.25</v>
      </c>
      <c r="V252" s="5">
        <v>158</v>
      </c>
      <c r="W252" s="5">
        <v>12200</v>
      </c>
      <c r="Y252" s="6">
        <f t="shared" si="6"/>
        <v>40176</v>
      </c>
      <c r="Z252" s="5">
        <f t="shared" si="7"/>
        <v>2303</v>
      </c>
      <c r="AA252" s="5">
        <v>133.84</v>
      </c>
      <c r="AB252" s="5">
        <v>122.03</v>
      </c>
    </row>
    <row r="253" spans="1:28" x14ac:dyDescent="0.3">
      <c r="A253" s="6">
        <v>38530</v>
      </c>
      <c r="B253" s="7">
        <v>0.66666666666666663</v>
      </c>
      <c r="C253" s="5">
        <v>127</v>
      </c>
      <c r="D253" s="5">
        <v>127.1</v>
      </c>
      <c r="E253" s="5">
        <v>126.75</v>
      </c>
      <c r="F253" s="5">
        <v>126.75</v>
      </c>
      <c r="G253" s="5">
        <v>800</v>
      </c>
      <c r="I253" s="6">
        <v>40177</v>
      </c>
      <c r="J253" s="7">
        <v>0.66666666666666663</v>
      </c>
      <c r="K253" s="5">
        <v>2303</v>
      </c>
      <c r="L253" s="5">
        <v>2315</v>
      </c>
      <c r="M253" s="5">
        <v>2300</v>
      </c>
      <c r="N253" s="5">
        <v>2306.1399000000001</v>
      </c>
      <c r="O253" s="5">
        <v>253</v>
      </c>
      <c r="Q253" s="6">
        <v>38516</v>
      </c>
      <c r="R253" s="7">
        <v>0.66666666666666663</v>
      </c>
      <c r="S253" s="5">
        <v>158</v>
      </c>
      <c r="T253" s="5">
        <v>160.75</v>
      </c>
      <c r="U253" s="5">
        <v>157.1</v>
      </c>
      <c r="V253" s="5">
        <v>157.75</v>
      </c>
      <c r="W253" s="5">
        <v>27800</v>
      </c>
      <c r="Y253" s="6">
        <f t="shared" si="6"/>
        <v>40177</v>
      </c>
      <c r="Z253" s="5">
        <f t="shared" si="7"/>
        <v>2306.1399000000001</v>
      </c>
      <c r="AA253" s="5">
        <v>135.32</v>
      </c>
      <c r="AB253" s="5">
        <v>117.44</v>
      </c>
    </row>
    <row r="254" spans="1:28" x14ac:dyDescent="0.3">
      <c r="A254" s="6">
        <v>38531</v>
      </c>
      <c r="B254" s="7">
        <v>0.66666666666666663</v>
      </c>
      <c r="C254" s="5">
        <v>128</v>
      </c>
      <c r="D254" s="5">
        <v>128.5</v>
      </c>
      <c r="E254" s="5">
        <v>127</v>
      </c>
      <c r="F254" s="5">
        <v>127</v>
      </c>
      <c r="G254" s="5">
        <v>2200</v>
      </c>
      <c r="I254" s="6">
        <v>40178</v>
      </c>
      <c r="J254" s="7">
        <v>0.66666666666666663</v>
      </c>
      <c r="K254" s="5">
        <v>2301</v>
      </c>
      <c r="L254" s="5">
        <v>2301</v>
      </c>
      <c r="M254" s="5">
        <v>2300</v>
      </c>
      <c r="N254" s="5">
        <v>2300</v>
      </c>
      <c r="O254" s="5">
        <v>247</v>
      </c>
      <c r="Q254" s="6">
        <v>38517</v>
      </c>
      <c r="R254" s="7">
        <v>0.66666666666666663</v>
      </c>
      <c r="S254" s="5">
        <v>157.75</v>
      </c>
      <c r="T254" s="5">
        <v>160</v>
      </c>
      <c r="U254" s="5">
        <v>156.19999999999999</v>
      </c>
      <c r="V254" s="5">
        <v>157.5</v>
      </c>
      <c r="W254" s="5">
        <v>26500</v>
      </c>
      <c r="Y254" s="6">
        <f t="shared" si="6"/>
        <v>40178</v>
      </c>
      <c r="Z254" s="5">
        <f t="shared" si="7"/>
        <v>2300</v>
      </c>
      <c r="AA254" s="5">
        <v>137.93</v>
      </c>
      <c r="AB254" s="5">
        <v>121.22</v>
      </c>
    </row>
    <row r="255" spans="1:28" x14ac:dyDescent="0.3">
      <c r="A255" s="6">
        <v>38532</v>
      </c>
      <c r="B255" s="7">
        <v>0.66666666666666663</v>
      </c>
      <c r="C255" s="5">
        <v>128.44999999999999</v>
      </c>
      <c r="D255" s="5">
        <v>128.5</v>
      </c>
      <c r="E255" s="5">
        <v>127.5</v>
      </c>
      <c r="F255" s="5">
        <v>127.5</v>
      </c>
      <c r="G255" s="5">
        <v>1300</v>
      </c>
      <c r="I255" s="6">
        <v>40182</v>
      </c>
      <c r="J255" s="7">
        <v>0.66666666666666663</v>
      </c>
      <c r="K255" s="5">
        <v>2305</v>
      </c>
      <c r="L255" s="5">
        <v>2325</v>
      </c>
      <c r="M255" s="5">
        <v>2305</v>
      </c>
      <c r="N255" s="5">
        <v>2325</v>
      </c>
      <c r="O255" s="5">
        <v>22</v>
      </c>
      <c r="Q255" s="6">
        <v>38518</v>
      </c>
      <c r="R255" s="7">
        <v>0.66666666666666663</v>
      </c>
      <c r="S255" s="5">
        <v>157.5</v>
      </c>
      <c r="T255" s="5">
        <v>161</v>
      </c>
      <c r="U255" s="5">
        <v>156.55000000000001</v>
      </c>
      <c r="V255" s="5">
        <v>159</v>
      </c>
      <c r="W255" s="5">
        <v>36200</v>
      </c>
      <c r="Y255" s="6">
        <f t="shared" si="6"/>
        <v>40182</v>
      </c>
      <c r="Z255" s="5">
        <f t="shared" si="7"/>
        <v>2325</v>
      </c>
      <c r="AA255" s="5">
        <v>138.79</v>
      </c>
      <c r="AB255" s="5">
        <v>118.08</v>
      </c>
    </row>
    <row r="256" spans="1:28" x14ac:dyDescent="0.3">
      <c r="A256" s="6">
        <v>38533</v>
      </c>
      <c r="B256" s="7">
        <v>0.66666666666666663</v>
      </c>
      <c r="C256" s="5">
        <v>129</v>
      </c>
      <c r="D256" s="5">
        <v>130</v>
      </c>
      <c r="E256" s="5">
        <v>124</v>
      </c>
      <c r="F256" s="5">
        <v>125</v>
      </c>
      <c r="G256" s="5">
        <v>18900</v>
      </c>
      <c r="I256" s="6">
        <v>40183</v>
      </c>
      <c r="J256" s="7">
        <v>0.66666666666666663</v>
      </c>
      <c r="K256" s="5">
        <v>2325</v>
      </c>
      <c r="L256" s="5">
        <v>2360</v>
      </c>
      <c r="M256" s="5">
        <v>2325</v>
      </c>
      <c r="N256" s="5">
        <v>2360</v>
      </c>
      <c r="O256" s="5">
        <v>174</v>
      </c>
      <c r="Q256" s="6">
        <v>38519</v>
      </c>
      <c r="R256" s="7">
        <v>0.66666666666666663</v>
      </c>
      <c r="S256" s="5">
        <v>158.5</v>
      </c>
      <c r="T256" s="5">
        <v>158.5</v>
      </c>
      <c r="U256" s="5">
        <v>156.1</v>
      </c>
      <c r="V256" s="5">
        <v>156.1</v>
      </c>
      <c r="W256" s="5">
        <v>24300</v>
      </c>
      <c r="Y256" s="6">
        <f t="shared" si="6"/>
        <v>40183</v>
      </c>
      <c r="Z256" s="5">
        <f t="shared" si="7"/>
        <v>2360</v>
      </c>
      <c r="AA256" s="5">
        <v>138.9</v>
      </c>
      <c r="AB256" s="5">
        <v>118</v>
      </c>
    </row>
    <row r="257" spans="1:28" x14ac:dyDescent="0.3">
      <c r="A257" s="6">
        <v>38534</v>
      </c>
      <c r="B257" s="7">
        <v>0.66666666666666663</v>
      </c>
      <c r="C257" s="5">
        <v>125</v>
      </c>
      <c r="D257" s="5">
        <v>125</v>
      </c>
      <c r="E257" s="5">
        <v>121</v>
      </c>
      <c r="F257" s="5">
        <v>123</v>
      </c>
      <c r="G257" s="5">
        <v>22500</v>
      </c>
      <c r="I257" s="6">
        <v>40184</v>
      </c>
      <c r="J257" s="7">
        <v>0.66666666666666663</v>
      </c>
      <c r="K257" s="5">
        <v>2360</v>
      </c>
      <c r="L257" s="5">
        <v>2368</v>
      </c>
      <c r="M257" s="5">
        <v>2350</v>
      </c>
      <c r="N257" s="5">
        <v>2352.3101000000001</v>
      </c>
      <c r="O257" s="5">
        <v>275</v>
      </c>
      <c r="Q257" s="6">
        <v>38520</v>
      </c>
      <c r="R257" s="7">
        <v>0.66666666666666663</v>
      </c>
      <c r="S257" s="5">
        <v>156.1</v>
      </c>
      <c r="T257" s="5">
        <v>160</v>
      </c>
      <c r="U257" s="5">
        <v>156</v>
      </c>
      <c r="V257" s="5">
        <v>157.94999999999999</v>
      </c>
      <c r="W257" s="5">
        <v>117200</v>
      </c>
      <c r="Y257" s="6">
        <f t="shared" si="6"/>
        <v>40184</v>
      </c>
      <c r="Z257" s="5">
        <f t="shared" si="7"/>
        <v>2352.3101000000001</v>
      </c>
      <c r="AA257" s="5">
        <v>140.54</v>
      </c>
      <c r="AB257" s="5">
        <v>112.6</v>
      </c>
    </row>
    <row r="258" spans="1:28" x14ac:dyDescent="0.3">
      <c r="A258" s="6">
        <v>38537</v>
      </c>
      <c r="B258" s="7">
        <v>0.66666666666666663</v>
      </c>
      <c r="C258" s="5">
        <v>121.75</v>
      </c>
      <c r="D258" s="5">
        <v>123</v>
      </c>
      <c r="E258" s="5">
        <v>120</v>
      </c>
      <c r="F258" s="5">
        <v>123</v>
      </c>
      <c r="G258" s="5">
        <v>8600</v>
      </c>
      <c r="I258" s="6">
        <v>40185</v>
      </c>
      <c r="J258" s="7">
        <v>0.66666666666666663</v>
      </c>
      <c r="K258" s="5">
        <v>2359</v>
      </c>
      <c r="L258" s="5">
        <v>2465</v>
      </c>
      <c r="M258" s="5">
        <v>2359</v>
      </c>
      <c r="N258" s="5">
        <v>2401.6698999999999</v>
      </c>
      <c r="O258" s="5">
        <v>437</v>
      </c>
      <c r="Q258" s="6">
        <v>38523</v>
      </c>
      <c r="R258" s="7">
        <v>0.66666666666666663</v>
      </c>
      <c r="S258" s="5">
        <v>159</v>
      </c>
      <c r="T258" s="5">
        <v>164</v>
      </c>
      <c r="U258" s="5">
        <v>159</v>
      </c>
      <c r="V258" s="5">
        <v>162</v>
      </c>
      <c r="W258" s="5">
        <v>217200</v>
      </c>
      <c r="Y258" s="6">
        <f t="shared" si="6"/>
        <v>40185</v>
      </c>
      <c r="Z258" s="5">
        <f t="shared" si="7"/>
        <v>2401.6698999999999</v>
      </c>
      <c r="AA258" s="5">
        <v>138.94</v>
      </c>
      <c r="AB258" s="5">
        <v>109.54</v>
      </c>
    </row>
    <row r="259" spans="1:28" x14ac:dyDescent="0.3">
      <c r="A259" s="6">
        <v>38538</v>
      </c>
      <c r="B259" s="7">
        <v>0.66666666666666663</v>
      </c>
      <c r="C259" s="5">
        <v>122</v>
      </c>
      <c r="D259" s="5">
        <v>123.5</v>
      </c>
      <c r="E259" s="5">
        <v>122</v>
      </c>
      <c r="F259" s="5">
        <v>123.5</v>
      </c>
      <c r="G259" s="5">
        <v>400</v>
      </c>
      <c r="I259" s="6">
        <v>40186</v>
      </c>
      <c r="J259" s="7">
        <v>0.66666666666666663</v>
      </c>
      <c r="K259" s="5">
        <v>2401.6698999999999</v>
      </c>
      <c r="L259" s="5">
        <v>2440</v>
      </c>
      <c r="M259" s="5">
        <v>2355.0100000000002</v>
      </c>
      <c r="N259" s="5">
        <v>2428.5500000000002</v>
      </c>
      <c r="O259" s="5">
        <v>64</v>
      </c>
      <c r="Q259" s="6">
        <v>38524</v>
      </c>
      <c r="R259" s="7">
        <v>0.66666666666666663</v>
      </c>
      <c r="S259" s="5">
        <v>162</v>
      </c>
      <c r="T259" s="5">
        <v>163.15</v>
      </c>
      <c r="U259" s="5">
        <v>157.25</v>
      </c>
      <c r="V259" s="5">
        <v>159</v>
      </c>
      <c r="W259" s="5">
        <v>75400</v>
      </c>
      <c r="Y259" s="6">
        <f t="shared" si="6"/>
        <v>40186</v>
      </c>
      <c r="Z259" s="5">
        <f t="shared" si="7"/>
        <v>2428.5500000000002</v>
      </c>
      <c r="AA259" s="5">
        <v>138.58000000000001</v>
      </c>
      <c r="AB259" s="5">
        <v>109.11</v>
      </c>
    </row>
    <row r="260" spans="1:28" x14ac:dyDescent="0.3">
      <c r="A260" s="6">
        <v>38539</v>
      </c>
      <c r="B260" s="7">
        <v>0.66666666666666663</v>
      </c>
      <c r="C260" s="5">
        <v>124.75</v>
      </c>
      <c r="D260" s="5">
        <v>127.5</v>
      </c>
      <c r="E260" s="5">
        <v>123.5</v>
      </c>
      <c r="F260" s="5">
        <v>127</v>
      </c>
      <c r="G260" s="5">
        <v>5400</v>
      </c>
      <c r="I260" s="6">
        <v>40189</v>
      </c>
      <c r="J260" s="7">
        <v>0.66666666666666663</v>
      </c>
      <c r="K260" s="5">
        <v>2428.5500000000002</v>
      </c>
      <c r="L260" s="5">
        <v>2440</v>
      </c>
      <c r="M260" s="5">
        <v>2370</v>
      </c>
      <c r="N260" s="5">
        <v>2439.9899999999998</v>
      </c>
      <c r="O260" s="5">
        <v>45</v>
      </c>
      <c r="Q260" s="6">
        <v>38525</v>
      </c>
      <c r="R260" s="7">
        <v>0.66666666666666663</v>
      </c>
      <c r="S260" s="5">
        <v>159</v>
      </c>
      <c r="T260" s="5">
        <v>160</v>
      </c>
      <c r="U260" s="5">
        <v>158.05000000000001</v>
      </c>
      <c r="V260" s="5">
        <v>158.5</v>
      </c>
      <c r="W260" s="5">
        <v>14400</v>
      </c>
      <c r="Y260" s="6">
        <f t="shared" ref="Y260:Y323" si="8">I260</f>
        <v>40189</v>
      </c>
      <c r="Z260" s="5">
        <f t="shared" ref="Z260:Z323" si="9">N260</f>
        <v>2439.9899999999998</v>
      </c>
      <c r="AA260" s="5">
        <v>143.15</v>
      </c>
      <c r="AB260" s="5">
        <v>107.33</v>
      </c>
    </row>
    <row r="261" spans="1:28" x14ac:dyDescent="0.3">
      <c r="A261" s="6">
        <v>38540</v>
      </c>
      <c r="B261" s="7">
        <v>0.66666666666666663</v>
      </c>
      <c r="C261" s="5">
        <v>125.4</v>
      </c>
      <c r="D261" s="5">
        <v>127.45</v>
      </c>
      <c r="E261" s="5">
        <v>125.1</v>
      </c>
      <c r="F261" s="5">
        <v>125.5</v>
      </c>
      <c r="G261" s="5">
        <v>22700</v>
      </c>
      <c r="I261" s="6">
        <v>40190</v>
      </c>
      <c r="J261" s="7">
        <v>0.66666666666666663</v>
      </c>
      <c r="K261" s="5">
        <v>2439.9899999999998</v>
      </c>
      <c r="L261" s="5">
        <v>2500</v>
      </c>
      <c r="M261" s="5">
        <v>2365</v>
      </c>
      <c r="N261" s="5">
        <v>2435</v>
      </c>
      <c r="O261" s="5">
        <v>721</v>
      </c>
      <c r="Q261" s="6">
        <v>38526</v>
      </c>
      <c r="R261" s="7">
        <v>0.66666666666666663</v>
      </c>
      <c r="S261" s="5">
        <v>157.5</v>
      </c>
      <c r="T261" s="5">
        <v>157.5</v>
      </c>
      <c r="U261" s="5">
        <v>154.1</v>
      </c>
      <c r="V261" s="5">
        <v>156</v>
      </c>
      <c r="W261" s="5">
        <v>24500</v>
      </c>
      <c r="Y261" s="6">
        <f t="shared" si="8"/>
        <v>40190</v>
      </c>
      <c r="Z261" s="5">
        <f t="shared" si="9"/>
        <v>2435</v>
      </c>
      <c r="AA261" s="5">
        <v>140.38</v>
      </c>
      <c r="AB261" s="5">
        <v>107.02</v>
      </c>
    </row>
    <row r="262" spans="1:28" x14ac:dyDescent="0.3">
      <c r="A262" s="6">
        <v>38541</v>
      </c>
      <c r="B262" s="7">
        <v>0.66666666666666663</v>
      </c>
      <c r="C262" s="5">
        <v>124.75</v>
      </c>
      <c r="D262" s="5">
        <v>127</v>
      </c>
      <c r="E262" s="5">
        <v>124.7</v>
      </c>
      <c r="F262" s="5">
        <v>126.9</v>
      </c>
      <c r="G262" s="5">
        <v>9700</v>
      </c>
      <c r="I262" s="6">
        <v>40191</v>
      </c>
      <c r="J262" s="7">
        <v>0.66666666666666663</v>
      </c>
      <c r="K262" s="5">
        <v>2435</v>
      </c>
      <c r="L262" s="5">
        <v>2442</v>
      </c>
      <c r="M262" s="5">
        <v>2390</v>
      </c>
      <c r="N262" s="5">
        <v>2442</v>
      </c>
      <c r="O262" s="5">
        <v>10</v>
      </c>
      <c r="Q262" s="6">
        <v>38527</v>
      </c>
      <c r="R262" s="7">
        <v>0.66666666666666663</v>
      </c>
      <c r="S262" s="5">
        <v>157</v>
      </c>
      <c r="T262" s="5">
        <v>158.5</v>
      </c>
      <c r="U262" s="5">
        <v>157</v>
      </c>
      <c r="V262" s="5">
        <v>158</v>
      </c>
      <c r="W262" s="5">
        <v>15800</v>
      </c>
      <c r="Y262" s="6">
        <f t="shared" si="8"/>
        <v>40191</v>
      </c>
      <c r="Z262" s="5">
        <f t="shared" si="9"/>
        <v>2442</v>
      </c>
      <c r="AA262" s="5">
        <v>139.12</v>
      </c>
      <c r="AB262" s="5">
        <v>106.5</v>
      </c>
    </row>
    <row r="263" spans="1:28" x14ac:dyDescent="0.3">
      <c r="A263" s="6">
        <v>38544</v>
      </c>
      <c r="B263" s="7">
        <v>0.66666666666666663</v>
      </c>
      <c r="C263" s="5">
        <v>125.25</v>
      </c>
      <c r="D263" s="5">
        <v>126.9</v>
      </c>
      <c r="E263" s="5">
        <v>125.25</v>
      </c>
      <c r="F263" s="5">
        <v>126</v>
      </c>
      <c r="G263" s="5">
        <v>22600</v>
      </c>
      <c r="I263" s="6">
        <v>40192</v>
      </c>
      <c r="J263" s="7">
        <v>0.66666666666666663</v>
      </c>
      <c r="K263" s="5">
        <v>2442</v>
      </c>
      <c r="L263" s="5">
        <v>2564</v>
      </c>
      <c r="M263" s="5">
        <v>2401.1298999999999</v>
      </c>
      <c r="N263" s="5">
        <v>2500</v>
      </c>
      <c r="O263" s="5">
        <v>377</v>
      </c>
      <c r="Q263" s="6">
        <v>38530</v>
      </c>
      <c r="R263" s="7">
        <v>0.66666666666666663</v>
      </c>
      <c r="S263" s="5">
        <v>156</v>
      </c>
      <c r="T263" s="5">
        <v>156</v>
      </c>
      <c r="U263" s="5">
        <v>154</v>
      </c>
      <c r="V263" s="5">
        <v>156</v>
      </c>
      <c r="W263" s="5">
        <v>14800</v>
      </c>
      <c r="Y263" s="6">
        <f t="shared" si="8"/>
        <v>40192</v>
      </c>
      <c r="Z263" s="5">
        <f t="shared" si="9"/>
        <v>2500</v>
      </c>
      <c r="AA263" s="5">
        <v>138.29</v>
      </c>
      <c r="AB263" s="5">
        <v>108.92</v>
      </c>
    </row>
    <row r="264" spans="1:28" x14ac:dyDescent="0.3">
      <c r="A264" s="6">
        <v>38545</v>
      </c>
      <c r="B264" s="7">
        <v>0.66666666666666663</v>
      </c>
      <c r="C264" s="5">
        <v>126</v>
      </c>
      <c r="D264" s="5">
        <v>126.7</v>
      </c>
      <c r="E264" s="5">
        <v>125.25</v>
      </c>
      <c r="F264" s="5">
        <v>126.6</v>
      </c>
      <c r="G264" s="5">
        <v>14600</v>
      </c>
      <c r="I264" s="6">
        <v>40193</v>
      </c>
      <c r="J264" s="7">
        <v>0.66666666666666663</v>
      </c>
      <c r="K264" s="5">
        <v>2500</v>
      </c>
      <c r="L264" s="5">
        <v>2550</v>
      </c>
      <c r="M264" s="5">
        <v>2450</v>
      </c>
      <c r="N264" s="5">
        <v>2549.5601000000001</v>
      </c>
      <c r="O264" s="5">
        <v>69</v>
      </c>
      <c r="Q264" s="6">
        <v>38531</v>
      </c>
      <c r="R264" s="7">
        <v>0.66666666666666663</v>
      </c>
      <c r="S264" s="5">
        <v>156</v>
      </c>
      <c r="T264" s="5">
        <v>160</v>
      </c>
      <c r="U264" s="5">
        <v>153</v>
      </c>
      <c r="V264" s="5">
        <v>159.85</v>
      </c>
      <c r="W264" s="5">
        <v>73500</v>
      </c>
      <c r="Y264" s="6">
        <f t="shared" si="8"/>
        <v>40193</v>
      </c>
      <c r="Z264" s="5">
        <f t="shared" si="9"/>
        <v>2549.5601000000001</v>
      </c>
      <c r="AA264" s="5">
        <v>137.78</v>
      </c>
      <c r="AB264" s="5">
        <v>108.53</v>
      </c>
    </row>
    <row r="265" spans="1:28" x14ac:dyDescent="0.3">
      <c r="A265" s="6">
        <v>38546</v>
      </c>
      <c r="B265" s="7">
        <v>0.66666666666666663</v>
      </c>
      <c r="C265" s="5">
        <v>127.95</v>
      </c>
      <c r="D265" s="5">
        <v>128</v>
      </c>
      <c r="E265" s="5">
        <v>125</v>
      </c>
      <c r="F265" s="5">
        <v>125</v>
      </c>
      <c r="G265" s="5">
        <v>30300</v>
      </c>
      <c r="I265" s="6">
        <v>40196</v>
      </c>
      <c r="J265" s="7">
        <v>0.66666666666666663</v>
      </c>
      <c r="K265" s="5">
        <v>2549.5601000000001</v>
      </c>
      <c r="L265" s="5">
        <v>2550.0100000000002</v>
      </c>
      <c r="M265" s="5">
        <v>2500.1599000000001</v>
      </c>
      <c r="N265" s="5">
        <v>2500.1698999999999</v>
      </c>
      <c r="O265" s="5">
        <v>85</v>
      </c>
      <c r="Q265" s="6">
        <v>38532</v>
      </c>
      <c r="R265" s="7">
        <v>0.66666666666666663</v>
      </c>
      <c r="S265" s="5">
        <v>159.85</v>
      </c>
      <c r="T265" s="5">
        <v>160.69999999999999</v>
      </c>
      <c r="U265" s="5">
        <v>158.25</v>
      </c>
      <c r="V265" s="5">
        <v>159</v>
      </c>
      <c r="W265" s="5">
        <v>13900</v>
      </c>
      <c r="Y265" s="6">
        <f t="shared" si="8"/>
        <v>40196</v>
      </c>
      <c r="Z265" s="5">
        <f t="shared" si="9"/>
        <v>2500.1698999999999</v>
      </c>
      <c r="AA265" s="5">
        <v>137.57</v>
      </c>
      <c r="AB265" s="5">
        <v>107.3</v>
      </c>
    </row>
    <row r="266" spans="1:28" x14ac:dyDescent="0.3">
      <c r="A266" s="6">
        <v>38547</v>
      </c>
      <c r="B266" s="7">
        <v>0.66666666666666663</v>
      </c>
      <c r="C266" s="5">
        <v>125</v>
      </c>
      <c r="D266" s="5">
        <v>125.5</v>
      </c>
      <c r="E266" s="5">
        <v>125</v>
      </c>
      <c r="F266" s="5">
        <v>125.5</v>
      </c>
      <c r="G266" s="5">
        <v>3300</v>
      </c>
      <c r="I266" s="6">
        <v>40197</v>
      </c>
      <c r="J266" s="7">
        <v>0.66666666666666663</v>
      </c>
      <c r="K266" s="5">
        <v>2500.1698999999999</v>
      </c>
      <c r="L266" s="5">
        <v>2575</v>
      </c>
      <c r="M266" s="5">
        <v>2500</v>
      </c>
      <c r="N266" s="5">
        <v>2510.0100000000002</v>
      </c>
      <c r="O266" s="5">
        <v>144</v>
      </c>
      <c r="Q266" s="6">
        <v>38533</v>
      </c>
      <c r="R266" s="7">
        <v>0.66666666666666663</v>
      </c>
      <c r="S266" s="5">
        <v>159</v>
      </c>
      <c r="T266" s="5">
        <v>159.85</v>
      </c>
      <c r="U266" s="5">
        <v>158.5</v>
      </c>
      <c r="V266" s="5">
        <v>159.55000000000001</v>
      </c>
      <c r="W266" s="5">
        <v>10900</v>
      </c>
      <c r="Y266" s="6">
        <f t="shared" si="8"/>
        <v>40197</v>
      </c>
      <c r="Z266" s="5">
        <f t="shared" si="9"/>
        <v>2510.0100000000002</v>
      </c>
      <c r="AA266" s="5">
        <v>137.53</v>
      </c>
      <c r="AB266" s="5">
        <v>107.8</v>
      </c>
    </row>
    <row r="267" spans="1:28" x14ac:dyDescent="0.3">
      <c r="A267" s="6">
        <v>38548</v>
      </c>
      <c r="B267" s="7">
        <v>0.66666666666666663</v>
      </c>
      <c r="C267" s="5">
        <v>124</v>
      </c>
      <c r="D267" s="5">
        <v>127</v>
      </c>
      <c r="E267" s="5">
        <v>124</v>
      </c>
      <c r="F267" s="5">
        <v>125.3</v>
      </c>
      <c r="G267" s="5">
        <v>14300</v>
      </c>
      <c r="I267" s="6">
        <v>40198</v>
      </c>
      <c r="J267" s="7">
        <v>0.66666666666666663</v>
      </c>
      <c r="K267" s="5">
        <v>2510.0100000000002</v>
      </c>
      <c r="L267" s="5">
        <v>2635</v>
      </c>
      <c r="M267" s="5">
        <v>2480</v>
      </c>
      <c r="N267" s="5">
        <v>2609.8301000000001</v>
      </c>
      <c r="O267" s="5">
        <v>205</v>
      </c>
      <c r="Q267" s="6">
        <v>38534</v>
      </c>
      <c r="R267" s="7">
        <v>0.66666666666666663</v>
      </c>
      <c r="S267" s="5">
        <v>159.55000000000001</v>
      </c>
      <c r="T267" s="5">
        <v>162</v>
      </c>
      <c r="U267" s="5">
        <v>158</v>
      </c>
      <c r="V267" s="5">
        <v>160</v>
      </c>
      <c r="W267" s="5">
        <v>35600</v>
      </c>
      <c r="Y267" s="6">
        <f t="shared" si="8"/>
        <v>40198</v>
      </c>
      <c r="Z267" s="5">
        <f t="shared" si="9"/>
        <v>2609.8301000000001</v>
      </c>
      <c r="AA267" s="5">
        <v>130.81</v>
      </c>
      <c r="AB267" s="5">
        <v>106.09</v>
      </c>
    </row>
    <row r="268" spans="1:28" x14ac:dyDescent="0.3">
      <c r="A268" s="6">
        <v>38551</v>
      </c>
      <c r="B268" s="7">
        <v>0.66666666666666663</v>
      </c>
      <c r="C268" s="5">
        <v>124.5</v>
      </c>
      <c r="D268" s="5">
        <v>126</v>
      </c>
      <c r="E268" s="5">
        <v>124.4</v>
      </c>
      <c r="F268" s="5">
        <v>125</v>
      </c>
      <c r="G268" s="5">
        <v>6200</v>
      </c>
      <c r="I268" s="6">
        <v>40199</v>
      </c>
      <c r="J268" s="7">
        <v>0.66666666666666663</v>
      </c>
      <c r="K268" s="5">
        <v>2609.8301000000001</v>
      </c>
      <c r="L268" s="5">
        <v>2699.97</v>
      </c>
      <c r="M268" s="5">
        <v>2480</v>
      </c>
      <c r="N268" s="5">
        <v>2600.0100000000002</v>
      </c>
      <c r="O268" s="5">
        <v>461</v>
      </c>
      <c r="Q268" s="6">
        <v>38537</v>
      </c>
      <c r="R268" s="7">
        <v>0.66666666666666663</v>
      </c>
      <c r="S268" s="5">
        <v>160</v>
      </c>
      <c r="T268" s="5">
        <v>160</v>
      </c>
      <c r="U268" s="5">
        <v>157.5</v>
      </c>
      <c r="V268" s="5">
        <v>157.6</v>
      </c>
      <c r="W268" s="5">
        <v>16400</v>
      </c>
      <c r="Y268" s="6">
        <f t="shared" si="8"/>
        <v>40199</v>
      </c>
      <c r="Z268" s="5">
        <f t="shared" si="9"/>
        <v>2600.0100000000002</v>
      </c>
      <c r="AA268" s="5">
        <v>124.32</v>
      </c>
      <c r="AB268" s="5">
        <v>110.12</v>
      </c>
    </row>
    <row r="269" spans="1:28" x14ac:dyDescent="0.3">
      <c r="A269" s="6">
        <v>38552</v>
      </c>
      <c r="B269" s="7">
        <v>0.66666666666666663</v>
      </c>
      <c r="C269" s="5">
        <v>124.2</v>
      </c>
      <c r="D269" s="5">
        <v>124.95</v>
      </c>
      <c r="E269" s="5">
        <v>124</v>
      </c>
      <c r="F269" s="5">
        <v>124</v>
      </c>
      <c r="G269" s="5">
        <v>6100</v>
      </c>
      <c r="I269" s="6">
        <v>40200</v>
      </c>
      <c r="J269" s="7">
        <v>0.66666666666666663</v>
      </c>
      <c r="K269" s="5">
        <v>2600.0100000000002</v>
      </c>
      <c r="L269" s="5">
        <v>2650</v>
      </c>
      <c r="M269" s="5">
        <v>2526.0300000000002</v>
      </c>
      <c r="N269" s="5">
        <v>2650</v>
      </c>
      <c r="O269" s="5">
        <v>142</v>
      </c>
      <c r="Q269" s="6">
        <v>38538</v>
      </c>
      <c r="R269" s="7">
        <v>0.66666666666666663</v>
      </c>
      <c r="S269" s="5">
        <v>157.6</v>
      </c>
      <c r="T269" s="5">
        <v>158.9</v>
      </c>
      <c r="U269" s="5">
        <v>157.4</v>
      </c>
      <c r="V269" s="5">
        <v>158.25</v>
      </c>
      <c r="W269" s="5">
        <v>70000</v>
      </c>
      <c r="Y269" s="6">
        <f t="shared" si="8"/>
        <v>40200</v>
      </c>
      <c r="Z269" s="5">
        <f t="shared" si="9"/>
        <v>2650</v>
      </c>
      <c r="AA269" s="5">
        <v>125.65</v>
      </c>
      <c r="AB269" s="5">
        <v>108</v>
      </c>
    </row>
    <row r="270" spans="1:28" x14ac:dyDescent="0.3">
      <c r="A270" s="6">
        <v>38553</v>
      </c>
      <c r="B270" s="7">
        <v>0.66666666666666663</v>
      </c>
      <c r="C270" s="5">
        <v>125.9</v>
      </c>
      <c r="D270" s="5">
        <v>127</v>
      </c>
      <c r="E270" s="5">
        <v>125.05</v>
      </c>
      <c r="F270" s="5">
        <v>126.9</v>
      </c>
      <c r="G270" s="5">
        <v>6800</v>
      </c>
      <c r="I270" s="6">
        <v>40203</v>
      </c>
      <c r="J270" s="7">
        <v>0.66666666666666663</v>
      </c>
      <c r="K270" s="5">
        <v>2650</v>
      </c>
      <c r="L270" s="5">
        <v>2780</v>
      </c>
      <c r="M270" s="5">
        <v>2600</v>
      </c>
      <c r="N270" s="5">
        <v>2625</v>
      </c>
      <c r="O270" s="5">
        <v>482</v>
      </c>
      <c r="Q270" s="6">
        <v>38539</v>
      </c>
      <c r="R270" s="7">
        <v>0.66666666666666663</v>
      </c>
      <c r="S270" s="5">
        <v>158.25</v>
      </c>
      <c r="T270" s="5">
        <v>160.5</v>
      </c>
      <c r="U270" s="5">
        <v>158</v>
      </c>
      <c r="V270" s="5">
        <v>160</v>
      </c>
      <c r="W270" s="5">
        <v>245800</v>
      </c>
      <c r="Y270" s="6">
        <f t="shared" si="8"/>
        <v>40203</v>
      </c>
      <c r="Z270" s="5">
        <f t="shared" si="9"/>
        <v>2625</v>
      </c>
      <c r="AA270" s="5">
        <v>125.18</v>
      </c>
      <c r="AB270" s="5">
        <v>108.38</v>
      </c>
    </row>
    <row r="271" spans="1:28" x14ac:dyDescent="0.3">
      <c r="A271" s="6">
        <v>38554</v>
      </c>
      <c r="B271" s="7">
        <v>0.66666666666666663</v>
      </c>
      <c r="C271" s="5">
        <v>126.9</v>
      </c>
      <c r="D271" s="5">
        <v>127</v>
      </c>
      <c r="E271" s="5">
        <v>125.25</v>
      </c>
      <c r="F271" s="5">
        <v>125.75</v>
      </c>
      <c r="G271" s="5">
        <v>16800</v>
      </c>
      <c r="I271" s="6">
        <v>40204</v>
      </c>
      <c r="J271" s="7">
        <v>0.66666666666666663</v>
      </c>
      <c r="K271" s="5">
        <v>2630.01</v>
      </c>
      <c r="L271" s="5">
        <v>2700</v>
      </c>
      <c r="M271" s="5">
        <v>2630.01</v>
      </c>
      <c r="N271" s="5">
        <v>2650</v>
      </c>
      <c r="O271" s="5">
        <v>73</v>
      </c>
      <c r="Q271" s="6">
        <v>38540</v>
      </c>
      <c r="R271" s="7">
        <v>0.66666666666666663</v>
      </c>
      <c r="S271" s="5">
        <v>161.75</v>
      </c>
      <c r="T271" s="5">
        <v>168</v>
      </c>
      <c r="U271" s="5">
        <v>161.75</v>
      </c>
      <c r="V271" s="5">
        <v>168</v>
      </c>
      <c r="W271" s="5">
        <v>709200</v>
      </c>
      <c r="Y271" s="6">
        <f t="shared" si="8"/>
        <v>40204</v>
      </c>
      <c r="Z271" s="5">
        <f t="shared" si="9"/>
        <v>2650</v>
      </c>
      <c r="AA271" s="5">
        <v>124.07</v>
      </c>
      <c r="AB271" s="5">
        <v>107.76</v>
      </c>
    </row>
    <row r="272" spans="1:28" x14ac:dyDescent="0.3">
      <c r="A272" s="6">
        <v>38555</v>
      </c>
      <c r="B272" s="7">
        <v>0.66666666666666663</v>
      </c>
      <c r="C272" s="5">
        <v>126.4</v>
      </c>
      <c r="D272" s="5">
        <v>127.95</v>
      </c>
      <c r="E272" s="5">
        <v>123.25</v>
      </c>
      <c r="F272" s="5">
        <v>125.9</v>
      </c>
      <c r="G272" s="5">
        <v>175400</v>
      </c>
      <c r="I272" s="6">
        <v>40205</v>
      </c>
      <c r="J272" s="7">
        <v>0.66666666666666663</v>
      </c>
      <c r="K272" s="5">
        <v>2650.01</v>
      </c>
      <c r="L272" s="5">
        <v>2782.5</v>
      </c>
      <c r="M272" s="5">
        <v>2650.01</v>
      </c>
      <c r="N272" s="5">
        <v>2736.6698999999999</v>
      </c>
      <c r="O272" s="5">
        <v>2839</v>
      </c>
      <c r="Q272" s="6">
        <v>38541</v>
      </c>
      <c r="R272" s="7">
        <v>0.66666666666666663</v>
      </c>
      <c r="S272" s="5">
        <v>168</v>
      </c>
      <c r="T272" s="5">
        <v>176</v>
      </c>
      <c r="U272" s="5">
        <v>167.05</v>
      </c>
      <c r="V272" s="5">
        <v>173.1</v>
      </c>
      <c r="W272" s="5">
        <v>718000</v>
      </c>
      <c r="Y272" s="6">
        <f t="shared" si="8"/>
        <v>40205</v>
      </c>
      <c r="Z272" s="5">
        <f t="shared" si="9"/>
        <v>2736.6698999999999</v>
      </c>
      <c r="AA272" s="5">
        <v>117.87</v>
      </c>
      <c r="AB272" s="5">
        <v>105.09</v>
      </c>
    </row>
    <row r="273" spans="1:28" x14ac:dyDescent="0.3">
      <c r="A273" s="6">
        <v>38558</v>
      </c>
      <c r="B273" s="7">
        <v>0.66666666666666663</v>
      </c>
      <c r="C273" s="5">
        <v>126.5</v>
      </c>
      <c r="D273" s="5">
        <v>126.9</v>
      </c>
      <c r="E273" s="5">
        <v>125.1</v>
      </c>
      <c r="F273" s="5">
        <v>126</v>
      </c>
      <c r="G273" s="5">
        <v>6200</v>
      </c>
      <c r="I273" s="6">
        <v>40206</v>
      </c>
      <c r="J273" s="7">
        <v>0.66666666666666663</v>
      </c>
      <c r="K273" s="5">
        <v>2736.6698999999999</v>
      </c>
      <c r="L273" s="5">
        <v>2873.5</v>
      </c>
      <c r="M273" s="5">
        <v>2730</v>
      </c>
      <c r="N273" s="5">
        <v>2845.6298999999999</v>
      </c>
      <c r="O273" s="5">
        <v>810</v>
      </c>
      <c r="Q273" s="6">
        <v>38544</v>
      </c>
      <c r="R273" s="7">
        <v>0.66666666666666663</v>
      </c>
      <c r="S273" s="5">
        <v>173.1</v>
      </c>
      <c r="T273" s="5">
        <v>178</v>
      </c>
      <c r="U273" s="5">
        <v>168.5</v>
      </c>
      <c r="V273" s="5">
        <v>173.3</v>
      </c>
      <c r="W273" s="5">
        <v>402600</v>
      </c>
      <c r="Y273" s="6">
        <f t="shared" si="8"/>
        <v>40206</v>
      </c>
      <c r="Z273" s="5">
        <f t="shared" si="9"/>
        <v>2845.6298999999999</v>
      </c>
      <c r="AA273" s="5">
        <v>116.95</v>
      </c>
      <c r="AB273" s="5">
        <v>100.17</v>
      </c>
    </row>
    <row r="274" spans="1:28" x14ac:dyDescent="0.3">
      <c r="A274" s="6">
        <v>38559</v>
      </c>
      <c r="B274" s="7">
        <v>0.66666666666666663</v>
      </c>
      <c r="C274" s="5">
        <v>126</v>
      </c>
      <c r="D274" s="5">
        <v>126.8</v>
      </c>
      <c r="E274" s="5">
        <v>125.25</v>
      </c>
      <c r="F274" s="5">
        <v>125.95</v>
      </c>
      <c r="G274" s="5">
        <v>1000</v>
      </c>
      <c r="I274" s="6">
        <v>40210</v>
      </c>
      <c r="J274" s="7">
        <v>0.66666666666666663</v>
      </c>
      <c r="K274" s="5">
        <v>2789.99</v>
      </c>
      <c r="L274" s="5">
        <v>2789.99</v>
      </c>
      <c r="M274" s="5">
        <v>2750.1001000000001</v>
      </c>
      <c r="N274" s="5">
        <v>2755.01</v>
      </c>
      <c r="O274" s="5">
        <v>213</v>
      </c>
      <c r="Q274" s="6">
        <v>38545</v>
      </c>
      <c r="R274" s="7">
        <v>0.66666666666666663</v>
      </c>
      <c r="S274" s="5">
        <v>173.3</v>
      </c>
      <c r="T274" s="5">
        <v>174</v>
      </c>
      <c r="U274" s="5">
        <v>167</v>
      </c>
      <c r="V274" s="5">
        <v>168.95</v>
      </c>
      <c r="W274" s="5">
        <v>66300</v>
      </c>
      <c r="Y274" s="6">
        <f t="shared" si="8"/>
        <v>40210</v>
      </c>
      <c r="Z274" s="5">
        <f t="shared" si="9"/>
        <v>2755.01</v>
      </c>
      <c r="AA274" s="5">
        <v>117.06</v>
      </c>
      <c r="AB274" s="5">
        <v>98.21</v>
      </c>
    </row>
    <row r="275" spans="1:28" x14ac:dyDescent="0.3">
      <c r="A275" s="6">
        <v>38560</v>
      </c>
      <c r="B275" s="7">
        <v>0.66666666666666663</v>
      </c>
      <c r="C275" s="5">
        <v>125</v>
      </c>
      <c r="D275" s="5">
        <v>125</v>
      </c>
      <c r="E275" s="5">
        <v>124</v>
      </c>
      <c r="F275" s="5">
        <v>124.95</v>
      </c>
      <c r="G275" s="5">
        <v>2900</v>
      </c>
      <c r="I275" s="6">
        <v>40211</v>
      </c>
      <c r="J275" s="7">
        <v>0.66666666666666663</v>
      </c>
      <c r="K275" s="5">
        <v>2847.97</v>
      </c>
      <c r="L275" s="5">
        <v>2892.76</v>
      </c>
      <c r="M275" s="5">
        <v>2847.97</v>
      </c>
      <c r="N275" s="5">
        <v>2878.22</v>
      </c>
      <c r="O275" s="5">
        <v>913</v>
      </c>
      <c r="Q275" s="6">
        <v>38546</v>
      </c>
      <c r="R275" s="7">
        <v>0.66666666666666663</v>
      </c>
      <c r="S275" s="5">
        <v>169</v>
      </c>
      <c r="T275" s="5">
        <v>171.5</v>
      </c>
      <c r="U275" s="5">
        <v>169</v>
      </c>
      <c r="V275" s="5">
        <v>169.5</v>
      </c>
      <c r="W275" s="5">
        <v>111000</v>
      </c>
      <c r="Y275" s="6">
        <f t="shared" si="8"/>
        <v>40211</v>
      </c>
      <c r="Z275" s="5">
        <f t="shared" si="9"/>
        <v>2878.22</v>
      </c>
      <c r="AA275" s="5">
        <v>113.89</v>
      </c>
      <c r="AB275" s="5">
        <v>98.45</v>
      </c>
    </row>
    <row r="276" spans="1:28" x14ac:dyDescent="0.3">
      <c r="A276" s="6">
        <v>38561</v>
      </c>
      <c r="B276" s="7">
        <v>0.66666666666666663</v>
      </c>
      <c r="C276" s="5">
        <v>124.9</v>
      </c>
      <c r="D276" s="5">
        <v>124.9</v>
      </c>
      <c r="E276" s="5">
        <v>123.5</v>
      </c>
      <c r="F276" s="5">
        <v>124.5</v>
      </c>
      <c r="G276" s="5">
        <v>4600</v>
      </c>
      <c r="I276" s="6">
        <v>40212</v>
      </c>
      <c r="J276" s="7">
        <v>0.66666666666666663</v>
      </c>
      <c r="K276" s="5">
        <v>2878.22</v>
      </c>
      <c r="L276" s="5">
        <v>3022.1298999999999</v>
      </c>
      <c r="M276" s="5">
        <v>2822</v>
      </c>
      <c r="N276" s="5">
        <v>3016.8998999999999</v>
      </c>
      <c r="O276" s="5">
        <v>998</v>
      </c>
      <c r="Q276" s="6">
        <v>38547</v>
      </c>
      <c r="R276" s="7">
        <v>0.66666666666666663</v>
      </c>
      <c r="S276" s="5">
        <v>169.5</v>
      </c>
      <c r="T276" s="5">
        <v>171</v>
      </c>
      <c r="U276" s="5">
        <v>168</v>
      </c>
      <c r="V276" s="5">
        <v>170</v>
      </c>
      <c r="W276" s="5">
        <v>34400</v>
      </c>
      <c r="Y276" s="6">
        <f t="shared" si="8"/>
        <v>40212</v>
      </c>
      <c r="Z276" s="5">
        <f t="shared" si="9"/>
        <v>3016.8998999999999</v>
      </c>
      <c r="AA276" s="5">
        <v>114.34</v>
      </c>
      <c r="AB276" s="5">
        <v>97.92</v>
      </c>
    </row>
    <row r="277" spans="1:28" x14ac:dyDescent="0.3">
      <c r="A277" s="6">
        <v>38562</v>
      </c>
      <c r="B277" s="7">
        <v>0.66666666666666663</v>
      </c>
      <c r="C277" s="5">
        <v>124.5</v>
      </c>
      <c r="D277" s="5">
        <v>124.5</v>
      </c>
      <c r="E277" s="5">
        <v>122.75</v>
      </c>
      <c r="F277" s="5">
        <v>124</v>
      </c>
      <c r="G277" s="5">
        <v>6700</v>
      </c>
      <c r="I277" s="6">
        <v>40213</v>
      </c>
      <c r="J277" s="7">
        <v>0.66666666666666663</v>
      </c>
      <c r="K277" s="5">
        <v>3016.8998999999999</v>
      </c>
      <c r="L277" s="5">
        <v>3120</v>
      </c>
      <c r="M277" s="5">
        <v>2970.1100999999999</v>
      </c>
      <c r="N277" s="5">
        <v>3044.3899000000001</v>
      </c>
      <c r="O277" s="5">
        <v>29</v>
      </c>
      <c r="Q277" s="6">
        <v>38548</v>
      </c>
      <c r="R277" s="7">
        <v>0.66666666666666663</v>
      </c>
      <c r="S277" s="5">
        <v>170</v>
      </c>
      <c r="T277" s="5">
        <v>171</v>
      </c>
      <c r="U277" s="5">
        <v>167</v>
      </c>
      <c r="V277" s="5">
        <v>168.25</v>
      </c>
      <c r="W277" s="5">
        <v>18600</v>
      </c>
      <c r="Y277" s="6">
        <f t="shared" si="8"/>
        <v>40213</v>
      </c>
      <c r="Z277" s="5">
        <f t="shared" si="9"/>
        <v>3044.3899000000001</v>
      </c>
      <c r="AA277" s="5">
        <v>115.77</v>
      </c>
      <c r="AB277" s="5">
        <v>97.67</v>
      </c>
    </row>
    <row r="278" spans="1:28" x14ac:dyDescent="0.3">
      <c r="A278" s="6">
        <v>38565</v>
      </c>
      <c r="B278" s="7">
        <v>0.66666666666666663</v>
      </c>
      <c r="C278" s="5">
        <v>123.05</v>
      </c>
      <c r="D278" s="5">
        <v>124.25</v>
      </c>
      <c r="E278" s="5">
        <v>123</v>
      </c>
      <c r="F278" s="5">
        <v>124.25</v>
      </c>
      <c r="G278" s="5">
        <v>3700</v>
      </c>
      <c r="I278" s="6">
        <v>40217</v>
      </c>
      <c r="J278" s="7">
        <v>0.66666666666666663</v>
      </c>
      <c r="K278" s="5">
        <v>3044.3899000000001</v>
      </c>
      <c r="L278" s="5">
        <v>3075</v>
      </c>
      <c r="M278" s="5">
        <v>2900.04</v>
      </c>
      <c r="N278" s="5">
        <v>2996.7</v>
      </c>
      <c r="O278" s="5">
        <v>216</v>
      </c>
      <c r="Q278" s="6">
        <v>38551</v>
      </c>
      <c r="R278" s="7">
        <v>0.66666666666666663</v>
      </c>
      <c r="S278" s="5">
        <v>168.25</v>
      </c>
      <c r="T278" s="5">
        <v>169.75</v>
      </c>
      <c r="U278" s="5">
        <v>166.05</v>
      </c>
      <c r="V278" s="5">
        <v>167.9</v>
      </c>
      <c r="W278" s="5">
        <v>19600</v>
      </c>
      <c r="Y278" s="6">
        <f t="shared" si="8"/>
        <v>40217</v>
      </c>
      <c r="Z278" s="5">
        <f t="shared" si="9"/>
        <v>2996.7</v>
      </c>
      <c r="AA278" s="5">
        <v>114.54</v>
      </c>
      <c r="AB278" s="5">
        <v>99.66</v>
      </c>
    </row>
    <row r="279" spans="1:28" x14ac:dyDescent="0.3">
      <c r="A279" s="6">
        <v>38566</v>
      </c>
      <c r="B279" s="7">
        <v>0.66666666666666663</v>
      </c>
      <c r="C279" s="5">
        <v>124.5</v>
      </c>
      <c r="D279" s="5">
        <v>126</v>
      </c>
      <c r="E279" s="5">
        <v>123.5</v>
      </c>
      <c r="F279" s="5">
        <v>125.45</v>
      </c>
      <c r="G279" s="5">
        <v>6800</v>
      </c>
      <c r="I279" s="6">
        <v>40218</v>
      </c>
      <c r="J279" s="7">
        <v>0.66666666666666663</v>
      </c>
      <c r="K279" s="5">
        <v>2996.7</v>
      </c>
      <c r="L279" s="5">
        <v>2998</v>
      </c>
      <c r="M279" s="5">
        <v>2902</v>
      </c>
      <c r="N279" s="5">
        <v>2942.6698999999999</v>
      </c>
      <c r="O279" s="5">
        <v>36</v>
      </c>
      <c r="Q279" s="6">
        <v>38552</v>
      </c>
      <c r="R279" s="7">
        <v>0.66666666666666663</v>
      </c>
      <c r="S279" s="5">
        <v>166.7</v>
      </c>
      <c r="T279" s="5">
        <v>166.7</v>
      </c>
      <c r="U279" s="5">
        <v>163</v>
      </c>
      <c r="V279" s="5">
        <v>165</v>
      </c>
      <c r="W279" s="5">
        <v>57500</v>
      </c>
      <c r="Y279" s="6">
        <f t="shared" si="8"/>
        <v>40218</v>
      </c>
      <c r="Z279" s="5">
        <f t="shared" si="9"/>
        <v>2942.6698999999999</v>
      </c>
      <c r="AA279" s="5">
        <v>115.28</v>
      </c>
      <c r="AB279" s="5">
        <v>97.58</v>
      </c>
    </row>
    <row r="280" spans="1:28" x14ac:dyDescent="0.3">
      <c r="A280" s="6">
        <v>38567</v>
      </c>
      <c r="B280" s="7">
        <v>0.66666666666666663</v>
      </c>
      <c r="C280" s="5">
        <v>126.35</v>
      </c>
      <c r="D280" s="5">
        <v>126.35</v>
      </c>
      <c r="E280" s="5">
        <v>124.5</v>
      </c>
      <c r="F280" s="5">
        <v>125.2</v>
      </c>
      <c r="G280" s="5">
        <v>6900</v>
      </c>
      <c r="I280" s="6">
        <v>40219</v>
      </c>
      <c r="J280" s="7">
        <v>0.66666666666666663</v>
      </c>
      <c r="K280" s="5">
        <v>2942.6698999999999</v>
      </c>
      <c r="L280" s="5">
        <v>2979.99</v>
      </c>
      <c r="M280" s="5">
        <v>2880</v>
      </c>
      <c r="N280" s="5">
        <v>2900</v>
      </c>
      <c r="O280" s="5">
        <v>35</v>
      </c>
      <c r="Q280" s="6">
        <v>38553</v>
      </c>
      <c r="R280" s="7">
        <v>0.66666666666666663</v>
      </c>
      <c r="S280" s="5">
        <v>165</v>
      </c>
      <c r="T280" s="5">
        <v>171.5</v>
      </c>
      <c r="U280" s="5">
        <v>165</v>
      </c>
      <c r="V280" s="5">
        <v>169.9</v>
      </c>
      <c r="W280" s="5">
        <v>68200</v>
      </c>
      <c r="Y280" s="6">
        <f t="shared" si="8"/>
        <v>40219</v>
      </c>
      <c r="Z280" s="5">
        <f t="shared" si="9"/>
        <v>2900</v>
      </c>
      <c r="AA280" s="5">
        <v>114.04</v>
      </c>
      <c r="AB280" s="5">
        <v>98.09</v>
      </c>
    </row>
    <row r="281" spans="1:28" x14ac:dyDescent="0.3">
      <c r="A281" s="6">
        <v>38568</v>
      </c>
      <c r="B281" s="7">
        <v>0.66666666666666663</v>
      </c>
      <c r="C281" s="5">
        <v>125.05</v>
      </c>
      <c r="D281" s="5">
        <v>125.45</v>
      </c>
      <c r="E281" s="5">
        <v>123.75</v>
      </c>
      <c r="F281" s="5">
        <v>123.75</v>
      </c>
      <c r="G281" s="5">
        <v>1800</v>
      </c>
      <c r="I281" s="6">
        <v>40220</v>
      </c>
      <c r="J281" s="7">
        <v>0.66666666666666663</v>
      </c>
      <c r="K281" s="5">
        <v>2900.01</v>
      </c>
      <c r="L281" s="5">
        <v>3045</v>
      </c>
      <c r="M281" s="5">
        <v>2900.01</v>
      </c>
      <c r="N281" s="5">
        <v>2918.46</v>
      </c>
      <c r="O281" s="5">
        <v>51</v>
      </c>
      <c r="Q281" s="6">
        <v>38554</v>
      </c>
      <c r="R281" s="7">
        <v>0.66666666666666663</v>
      </c>
      <c r="S281" s="5">
        <v>169.9</v>
      </c>
      <c r="T281" s="5">
        <v>171</v>
      </c>
      <c r="U281" s="5">
        <v>167</v>
      </c>
      <c r="V281" s="5">
        <v>168.5</v>
      </c>
      <c r="W281" s="5">
        <v>29500</v>
      </c>
      <c r="Y281" s="6">
        <f t="shared" si="8"/>
        <v>40220</v>
      </c>
      <c r="Z281" s="5">
        <f t="shared" si="9"/>
        <v>2918.46</v>
      </c>
      <c r="AA281" s="5">
        <v>116.4</v>
      </c>
      <c r="AB281" s="5">
        <v>98</v>
      </c>
    </row>
    <row r="282" spans="1:28" x14ac:dyDescent="0.3">
      <c r="A282" s="6">
        <v>38569</v>
      </c>
      <c r="B282" s="7">
        <v>0.66666666666666663</v>
      </c>
      <c r="C282" s="5">
        <v>124.75</v>
      </c>
      <c r="D282" s="5">
        <v>124.75</v>
      </c>
      <c r="E282" s="5">
        <v>124</v>
      </c>
      <c r="F282" s="5">
        <v>124.7</v>
      </c>
      <c r="G282" s="5">
        <v>1800</v>
      </c>
      <c r="I282" s="6">
        <v>40221</v>
      </c>
      <c r="J282" s="7">
        <v>0.66666666666666663</v>
      </c>
      <c r="K282" s="5">
        <v>2918.46</v>
      </c>
      <c r="L282" s="5">
        <v>3000</v>
      </c>
      <c r="M282" s="5">
        <v>2910.01</v>
      </c>
      <c r="N282" s="5">
        <v>2999.97</v>
      </c>
      <c r="O282" s="5">
        <v>10087</v>
      </c>
      <c r="Q282" s="6">
        <v>38555</v>
      </c>
      <c r="R282" s="7">
        <v>0.66666666666666663</v>
      </c>
      <c r="S282" s="5">
        <v>168.5</v>
      </c>
      <c r="T282" s="5">
        <v>170</v>
      </c>
      <c r="U282" s="5">
        <v>165</v>
      </c>
      <c r="V282" s="5">
        <v>168</v>
      </c>
      <c r="W282" s="5">
        <v>52100</v>
      </c>
      <c r="Y282" s="6">
        <f t="shared" si="8"/>
        <v>40221</v>
      </c>
      <c r="Z282" s="5">
        <f t="shared" si="9"/>
        <v>2999.97</v>
      </c>
      <c r="AA282" s="5">
        <v>114.65</v>
      </c>
      <c r="AB282" s="5">
        <v>98.53</v>
      </c>
    </row>
    <row r="283" spans="1:28" x14ac:dyDescent="0.3">
      <c r="A283" s="6">
        <v>38572</v>
      </c>
      <c r="B283" s="7">
        <v>0.66666666666666663</v>
      </c>
      <c r="C283" s="5">
        <v>125.9</v>
      </c>
      <c r="D283" s="5">
        <v>125.9</v>
      </c>
      <c r="E283" s="5">
        <v>124</v>
      </c>
      <c r="F283" s="5">
        <v>124</v>
      </c>
      <c r="G283" s="5">
        <v>9300</v>
      </c>
      <c r="I283" s="6">
        <v>40224</v>
      </c>
      <c r="J283" s="7">
        <v>0.66666666666666663</v>
      </c>
      <c r="K283" s="5">
        <v>2921</v>
      </c>
      <c r="L283" s="5">
        <v>2921</v>
      </c>
      <c r="M283" s="5">
        <v>2900</v>
      </c>
      <c r="N283" s="5">
        <v>2914</v>
      </c>
      <c r="O283" s="5">
        <v>20</v>
      </c>
      <c r="Q283" s="6">
        <v>38558</v>
      </c>
      <c r="R283" s="7">
        <v>0.66666666666666663</v>
      </c>
      <c r="S283" s="5">
        <v>168</v>
      </c>
      <c r="T283" s="5">
        <v>169</v>
      </c>
      <c r="U283" s="5">
        <v>166.1</v>
      </c>
      <c r="V283" s="5">
        <v>167</v>
      </c>
      <c r="W283" s="5">
        <v>20100</v>
      </c>
      <c r="Y283" s="6">
        <f t="shared" si="8"/>
        <v>40224</v>
      </c>
      <c r="Z283" s="5">
        <f t="shared" si="9"/>
        <v>2914</v>
      </c>
      <c r="AA283" s="5">
        <v>110.87</v>
      </c>
      <c r="AB283" s="5">
        <v>97.44</v>
      </c>
    </row>
    <row r="284" spans="1:28" x14ac:dyDescent="0.3">
      <c r="A284" s="6">
        <v>38573</v>
      </c>
      <c r="B284" s="7">
        <v>0.66666666666666663</v>
      </c>
      <c r="C284" s="5">
        <v>125.25</v>
      </c>
      <c r="D284" s="5">
        <v>125.45</v>
      </c>
      <c r="E284" s="5">
        <v>124</v>
      </c>
      <c r="F284" s="5">
        <v>124.6</v>
      </c>
      <c r="G284" s="5">
        <v>6100</v>
      </c>
      <c r="I284" s="6">
        <v>40225</v>
      </c>
      <c r="J284" s="7">
        <v>0.66666666666666663</v>
      </c>
      <c r="K284" s="5">
        <v>2914</v>
      </c>
      <c r="L284" s="5">
        <v>2930</v>
      </c>
      <c r="M284" s="5">
        <v>2871</v>
      </c>
      <c r="N284" s="5">
        <v>2884.3301000000001</v>
      </c>
      <c r="O284" s="5">
        <v>42</v>
      </c>
      <c r="Q284" s="6">
        <v>38559</v>
      </c>
      <c r="R284" s="7">
        <v>0.66666666666666663</v>
      </c>
      <c r="S284" s="5">
        <v>167</v>
      </c>
      <c r="T284" s="5">
        <v>167</v>
      </c>
      <c r="U284" s="5">
        <v>164</v>
      </c>
      <c r="V284" s="5">
        <v>165</v>
      </c>
      <c r="W284" s="5">
        <v>30500</v>
      </c>
      <c r="Y284" s="6">
        <f t="shared" si="8"/>
        <v>40225</v>
      </c>
      <c r="Z284" s="5">
        <f t="shared" si="9"/>
        <v>2884.3301000000001</v>
      </c>
      <c r="AA284" s="5">
        <v>111.13</v>
      </c>
      <c r="AB284" s="5">
        <v>97.05</v>
      </c>
    </row>
    <row r="285" spans="1:28" x14ac:dyDescent="0.3">
      <c r="A285" s="6">
        <v>38574</v>
      </c>
      <c r="B285" s="7">
        <v>0.66666666666666663</v>
      </c>
      <c r="C285" s="5">
        <v>123.2</v>
      </c>
      <c r="D285" s="5">
        <v>124.9</v>
      </c>
      <c r="E285" s="5">
        <v>123.2</v>
      </c>
      <c r="F285" s="5">
        <v>124.5</v>
      </c>
      <c r="G285" s="5">
        <v>6000</v>
      </c>
      <c r="I285" s="6">
        <v>40226</v>
      </c>
      <c r="J285" s="7">
        <v>0.66666666666666663</v>
      </c>
      <c r="K285" s="5">
        <v>2884.3301000000001</v>
      </c>
      <c r="L285" s="5">
        <v>2900</v>
      </c>
      <c r="M285" s="5">
        <v>2830.02</v>
      </c>
      <c r="N285" s="5">
        <v>2851.4299000000001</v>
      </c>
      <c r="O285" s="5">
        <v>54</v>
      </c>
      <c r="Q285" s="6">
        <v>38560</v>
      </c>
      <c r="R285" s="7">
        <v>0.66666666666666663</v>
      </c>
      <c r="S285" s="5">
        <v>165</v>
      </c>
      <c r="T285" s="5">
        <v>166.7</v>
      </c>
      <c r="U285" s="5">
        <v>163</v>
      </c>
      <c r="V285" s="5">
        <v>163</v>
      </c>
      <c r="W285" s="5">
        <v>11800</v>
      </c>
      <c r="Y285" s="6">
        <f t="shared" si="8"/>
        <v>40226</v>
      </c>
      <c r="Z285" s="5">
        <f t="shared" si="9"/>
        <v>2851.4299000000001</v>
      </c>
      <c r="AA285" s="5">
        <v>112.41</v>
      </c>
      <c r="AB285" s="5">
        <v>96.82</v>
      </c>
    </row>
    <row r="286" spans="1:28" x14ac:dyDescent="0.3">
      <c r="A286" s="6">
        <v>38575</v>
      </c>
      <c r="B286" s="7">
        <v>0.66666666666666663</v>
      </c>
      <c r="C286" s="5">
        <v>123</v>
      </c>
      <c r="D286" s="5">
        <v>124.4</v>
      </c>
      <c r="E286" s="5">
        <v>123</v>
      </c>
      <c r="F286" s="5">
        <v>123.9</v>
      </c>
      <c r="G286" s="5">
        <v>4300</v>
      </c>
      <c r="I286" s="6">
        <v>40227</v>
      </c>
      <c r="J286" s="7">
        <v>0.66666666666666663</v>
      </c>
      <c r="K286" s="5">
        <v>2851.4299000000001</v>
      </c>
      <c r="L286" s="5">
        <v>2937.99</v>
      </c>
      <c r="M286" s="5">
        <v>2851</v>
      </c>
      <c r="N286" s="5">
        <v>2855.2</v>
      </c>
      <c r="O286" s="5">
        <v>19</v>
      </c>
      <c r="Q286" s="6">
        <v>38561</v>
      </c>
      <c r="R286" s="7">
        <v>0.66666666666666663</v>
      </c>
      <c r="S286" s="5">
        <v>163</v>
      </c>
      <c r="T286" s="5">
        <v>166</v>
      </c>
      <c r="U286" s="5">
        <v>159</v>
      </c>
      <c r="V286" s="5">
        <v>160</v>
      </c>
      <c r="W286" s="5">
        <v>28400</v>
      </c>
      <c r="Y286" s="6">
        <f t="shared" si="8"/>
        <v>40227</v>
      </c>
      <c r="Z286" s="5">
        <f t="shared" si="9"/>
        <v>2855.2</v>
      </c>
      <c r="AA286" s="5">
        <v>112.19</v>
      </c>
      <c r="AB286" s="5">
        <v>97.4</v>
      </c>
    </row>
    <row r="287" spans="1:28" x14ac:dyDescent="0.3">
      <c r="A287" s="6">
        <v>38576</v>
      </c>
      <c r="B287" s="7">
        <v>0.66666666666666663</v>
      </c>
      <c r="C287" s="5">
        <v>122.1</v>
      </c>
      <c r="D287" s="5">
        <v>124.3</v>
      </c>
      <c r="E287" s="5">
        <v>122</v>
      </c>
      <c r="F287" s="5">
        <v>123.9</v>
      </c>
      <c r="G287" s="5">
        <v>8900</v>
      </c>
      <c r="I287" s="6">
        <v>40228</v>
      </c>
      <c r="J287" s="7">
        <v>0.66666666666666663</v>
      </c>
      <c r="K287" s="5">
        <v>2855.2</v>
      </c>
      <c r="L287" s="5">
        <v>2950</v>
      </c>
      <c r="M287" s="5">
        <v>2801</v>
      </c>
      <c r="N287" s="5">
        <v>2894.1399000000001</v>
      </c>
      <c r="O287" s="5">
        <v>46</v>
      </c>
      <c r="Q287" s="6">
        <v>38562</v>
      </c>
      <c r="R287" s="7">
        <v>0.66666666666666663</v>
      </c>
      <c r="S287" s="5">
        <v>160</v>
      </c>
      <c r="T287" s="5">
        <v>161.5</v>
      </c>
      <c r="U287" s="5">
        <v>158</v>
      </c>
      <c r="V287" s="5">
        <v>160</v>
      </c>
      <c r="W287" s="5">
        <v>15500</v>
      </c>
      <c r="Y287" s="6">
        <f t="shared" si="8"/>
        <v>40228</v>
      </c>
      <c r="Z287" s="5">
        <f t="shared" si="9"/>
        <v>2894.1399000000001</v>
      </c>
      <c r="AA287" s="5">
        <v>112.52</v>
      </c>
      <c r="AB287" s="5">
        <v>102.27</v>
      </c>
    </row>
    <row r="288" spans="1:28" x14ac:dyDescent="0.3">
      <c r="A288" s="6">
        <v>38579</v>
      </c>
      <c r="B288" s="7">
        <v>0.66666666666666663</v>
      </c>
      <c r="C288" s="5">
        <v>122.25</v>
      </c>
      <c r="D288" s="5">
        <v>123.9</v>
      </c>
      <c r="E288" s="5">
        <v>122</v>
      </c>
      <c r="F288" s="5">
        <v>123</v>
      </c>
      <c r="G288" s="5">
        <v>4100</v>
      </c>
      <c r="I288" s="6">
        <v>40231</v>
      </c>
      <c r="J288" s="7">
        <v>0.66666666666666663</v>
      </c>
      <c r="K288" s="5">
        <v>2894.1399000000001</v>
      </c>
      <c r="L288" s="5">
        <v>2895</v>
      </c>
      <c r="M288" s="5">
        <v>2810</v>
      </c>
      <c r="N288" s="5">
        <v>2845</v>
      </c>
      <c r="O288" s="5">
        <v>15</v>
      </c>
      <c r="Q288" s="6">
        <v>38565</v>
      </c>
      <c r="R288" s="7">
        <v>0.66666666666666663</v>
      </c>
      <c r="S288" s="5">
        <v>160</v>
      </c>
      <c r="T288" s="5">
        <v>161.75</v>
      </c>
      <c r="U288" s="5">
        <v>159</v>
      </c>
      <c r="V288" s="5">
        <v>160.5</v>
      </c>
      <c r="W288" s="5">
        <v>10900</v>
      </c>
      <c r="Y288" s="6">
        <f t="shared" si="8"/>
        <v>40231</v>
      </c>
      <c r="Z288" s="5">
        <f t="shared" si="9"/>
        <v>2845</v>
      </c>
      <c r="AA288" s="5">
        <v>113.54</v>
      </c>
      <c r="AB288" s="5">
        <v>99.83</v>
      </c>
    </row>
    <row r="289" spans="1:28" x14ac:dyDescent="0.3">
      <c r="A289" s="6">
        <v>38580</v>
      </c>
      <c r="B289" s="7">
        <v>0.66666666666666663</v>
      </c>
      <c r="C289" s="5">
        <v>123.95</v>
      </c>
      <c r="D289" s="5">
        <v>124</v>
      </c>
      <c r="E289" s="5">
        <v>123</v>
      </c>
      <c r="F289" s="5">
        <v>123</v>
      </c>
      <c r="G289" s="5">
        <v>2300</v>
      </c>
      <c r="I289" s="6">
        <v>40232</v>
      </c>
      <c r="J289" s="7">
        <v>0.66666666666666663</v>
      </c>
      <c r="K289" s="5">
        <v>2736.01</v>
      </c>
      <c r="L289" s="5">
        <v>2736.01</v>
      </c>
      <c r="M289" s="5">
        <v>2726.01</v>
      </c>
      <c r="N289" s="5">
        <v>2736.01</v>
      </c>
      <c r="O289" s="5">
        <v>1</v>
      </c>
      <c r="Q289" s="6">
        <v>38566</v>
      </c>
      <c r="R289" s="7">
        <v>0.66666666666666663</v>
      </c>
      <c r="S289" s="5">
        <v>160.5</v>
      </c>
      <c r="T289" s="5">
        <v>164</v>
      </c>
      <c r="U289" s="5">
        <v>160</v>
      </c>
      <c r="V289" s="5">
        <v>164</v>
      </c>
      <c r="W289" s="5">
        <v>18500</v>
      </c>
      <c r="Y289" s="6">
        <f t="shared" si="8"/>
        <v>40232</v>
      </c>
      <c r="Z289" s="5">
        <f t="shared" si="9"/>
        <v>2736.01</v>
      </c>
      <c r="AA289" s="5">
        <v>114.53</v>
      </c>
      <c r="AB289" s="5">
        <v>98.69</v>
      </c>
    </row>
    <row r="290" spans="1:28" x14ac:dyDescent="0.3">
      <c r="A290" s="6">
        <v>38583</v>
      </c>
      <c r="B290" s="7">
        <v>0.66666666666666663</v>
      </c>
      <c r="C290" s="5">
        <v>123</v>
      </c>
      <c r="D290" s="5">
        <v>123.75</v>
      </c>
      <c r="E290" s="5">
        <v>122</v>
      </c>
      <c r="F290" s="5">
        <v>123</v>
      </c>
      <c r="G290" s="5">
        <v>4200</v>
      </c>
      <c r="I290" s="6">
        <v>40233</v>
      </c>
      <c r="J290" s="7">
        <v>0.66666666666666663</v>
      </c>
      <c r="K290" s="5">
        <v>2739.0601000000001</v>
      </c>
      <c r="L290" s="5">
        <v>2870</v>
      </c>
      <c r="M290" s="5">
        <v>2739.0601000000001</v>
      </c>
      <c r="N290" s="5">
        <v>2739.3701000000001</v>
      </c>
      <c r="O290" s="5">
        <v>17</v>
      </c>
      <c r="Q290" s="6">
        <v>38567</v>
      </c>
      <c r="R290" s="7">
        <v>0.66666666666666663</v>
      </c>
      <c r="S290" s="5">
        <v>164</v>
      </c>
      <c r="T290" s="5">
        <v>168</v>
      </c>
      <c r="U290" s="5">
        <v>163</v>
      </c>
      <c r="V290" s="5">
        <v>165</v>
      </c>
      <c r="W290" s="5">
        <v>106500</v>
      </c>
      <c r="Y290" s="6">
        <f t="shared" si="8"/>
        <v>40233</v>
      </c>
      <c r="Z290" s="5">
        <f t="shared" si="9"/>
        <v>2739.3701000000001</v>
      </c>
      <c r="AA290" s="5">
        <v>112.8</v>
      </c>
      <c r="AB290" s="5">
        <v>97.8</v>
      </c>
    </row>
    <row r="291" spans="1:28" x14ac:dyDescent="0.3">
      <c r="A291" s="6">
        <v>38586</v>
      </c>
      <c r="B291" s="7">
        <v>0.66666666666666663</v>
      </c>
      <c r="C291" s="5">
        <v>124.8</v>
      </c>
      <c r="D291" s="5">
        <v>126</v>
      </c>
      <c r="E291" s="5">
        <v>124</v>
      </c>
      <c r="F291" s="5">
        <v>126</v>
      </c>
      <c r="G291" s="5">
        <v>11500</v>
      </c>
      <c r="I291" s="6">
        <v>40234</v>
      </c>
      <c r="J291" s="7">
        <v>0.66666666666666663</v>
      </c>
      <c r="K291" s="5">
        <v>2739.3701000000001</v>
      </c>
      <c r="L291" s="5">
        <v>2870</v>
      </c>
      <c r="M291" s="5">
        <v>2711</v>
      </c>
      <c r="N291" s="5">
        <v>2775</v>
      </c>
      <c r="O291" s="5">
        <v>56</v>
      </c>
      <c r="Q291" s="6">
        <v>38568</v>
      </c>
      <c r="R291" s="7">
        <v>0.66666666666666663</v>
      </c>
      <c r="S291" s="5">
        <v>165</v>
      </c>
      <c r="T291" s="5">
        <v>166.9</v>
      </c>
      <c r="U291" s="5">
        <v>164</v>
      </c>
      <c r="V291" s="5">
        <v>166</v>
      </c>
      <c r="W291" s="5">
        <v>40200</v>
      </c>
      <c r="Y291" s="6">
        <f t="shared" si="8"/>
        <v>40234</v>
      </c>
      <c r="Z291" s="5">
        <f t="shared" si="9"/>
        <v>2775</v>
      </c>
      <c r="AA291" s="5">
        <v>112.28</v>
      </c>
      <c r="AB291" s="5">
        <v>97.99</v>
      </c>
    </row>
    <row r="292" spans="1:28" x14ac:dyDescent="0.3">
      <c r="A292" s="6">
        <v>38587</v>
      </c>
      <c r="B292" s="7">
        <v>0.66666666666666663</v>
      </c>
      <c r="C292" s="5">
        <v>125</v>
      </c>
      <c r="D292" s="5">
        <v>126</v>
      </c>
      <c r="E292" s="5">
        <v>125</v>
      </c>
      <c r="F292" s="5">
        <v>125.75</v>
      </c>
      <c r="G292" s="5">
        <v>5100</v>
      </c>
      <c r="I292" s="6">
        <v>40235</v>
      </c>
      <c r="J292" s="7">
        <v>0.66666666666666663</v>
      </c>
      <c r="K292" s="5">
        <v>2775</v>
      </c>
      <c r="L292" s="5">
        <v>2865</v>
      </c>
      <c r="M292" s="5">
        <v>2700</v>
      </c>
      <c r="N292" s="5">
        <v>2709.21</v>
      </c>
      <c r="O292" s="5">
        <v>421</v>
      </c>
      <c r="Q292" s="6">
        <v>38569</v>
      </c>
      <c r="R292" s="7">
        <v>0.66666666666666663</v>
      </c>
      <c r="S292" s="5">
        <v>165.85</v>
      </c>
      <c r="T292" s="5">
        <v>165.85</v>
      </c>
      <c r="U292" s="5">
        <v>163.05000000000001</v>
      </c>
      <c r="V292" s="5">
        <v>163.6</v>
      </c>
      <c r="W292" s="5">
        <v>19800</v>
      </c>
      <c r="Y292" s="6">
        <f t="shared" si="8"/>
        <v>40235</v>
      </c>
      <c r="Z292" s="5">
        <f t="shared" si="9"/>
        <v>2709.21</v>
      </c>
      <c r="AA292" s="5">
        <v>111.08</v>
      </c>
      <c r="AB292" s="5">
        <v>98</v>
      </c>
    </row>
    <row r="293" spans="1:28" x14ac:dyDescent="0.3">
      <c r="A293" s="6">
        <v>38588</v>
      </c>
      <c r="B293" s="7">
        <v>0.66666666666666663</v>
      </c>
      <c r="C293" s="5">
        <v>125.75</v>
      </c>
      <c r="D293" s="5">
        <v>125.75</v>
      </c>
      <c r="E293" s="5">
        <v>124.5</v>
      </c>
      <c r="F293" s="5">
        <v>125.3</v>
      </c>
      <c r="G293" s="5">
        <v>2800</v>
      </c>
      <c r="I293" s="6">
        <v>40238</v>
      </c>
      <c r="J293" s="7">
        <v>0.66666666666666663</v>
      </c>
      <c r="K293" s="5">
        <v>2730.0601000000001</v>
      </c>
      <c r="L293" s="5">
        <v>2784.98</v>
      </c>
      <c r="M293" s="5">
        <v>2730.0601000000001</v>
      </c>
      <c r="N293" s="5">
        <v>2736.3</v>
      </c>
      <c r="O293" s="5">
        <v>33</v>
      </c>
      <c r="Q293" s="6">
        <v>38572</v>
      </c>
      <c r="R293" s="7">
        <v>0.66666666666666663</v>
      </c>
      <c r="S293" s="5">
        <v>163.6</v>
      </c>
      <c r="T293" s="5">
        <v>166</v>
      </c>
      <c r="U293" s="5">
        <v>163</v>
      </c>
      <c r="V293" s="5">
        <v>165.3</v>
      </c>
      <c r="W293" s="5">
        <v>31500</v>
      </c>
      <c r="Y293" s="6">
        <f t="shared" si="8"/>
        <v>40238</v>
      </c>
      <c r="Z293" s="5">
        <f t="shared" si="9"/>
        <v>2736.3</v>
      </c>
      <c r="AA293" s="5">
        <v>106.07</v>
      </c>
      <c r="AB293" s="5">
        <v>97.77</v>
      </c>
    </row>
    <row r="294" spans="1:28" x14ac:dyDescent="0.3">
      <c r="A294" s="6">
        <v>38589</v>
      </c>
      <c r="B294" s="7">
        <v>0.66666666666666663</v>
      </c>
      <c r="C294" s="5">
        <v>125</v>
      </c>
      <c r="D294" s="5">
        <v>126.5</v>
      </c>
      <c r="E294" s="5">
        <v>125</v>
      </c>
      <c r="F294" s="5">
        <v>126.5</v>
      </c>
      <c r="G294" s="5">
        <v>5000</v>
      </c>
      <c r="I294" s="6">
        <v>40239</v>
      </c>
      <c r="J294" s="7">
        <v>0.66666666666666663</v>
      </c>
      <c r="K294" s="5">
        <v>2741</v>
      </c>
      <c r="L294" s="5">
        <v>2873.1100999999999</v>
      </c>
      <c r="M294" s="5">
        <v>2741</v>
      </c>
      <c r="N294" s="5">
        <v>2873.1100999999999</v>
      </c>
      <c r="O294" s="5">
        <v>274</v>
      </c>
      <c r="Q294" s="6">
        <v>38573</v>
      </c>
      <c r="R294" s="7">
        <v>0.66666666666666663</v>
      </c>
      <c r="S294" s="5">
        <v>165.3</v>
      </c>
      <c r="T294" s="5">
        <v>165.7</v>
      </c>
      <c r="U294" s="5">
        <v>163</v>
      </c>
      <c r="V294" s="5">
        <v>165</v>
      </c>
      <c r="W294" s="5">
        <v>17100</v>
      </c>
      <c r="Y294" s="6">
        <f t="shared" si="8"/>
        <v>40239</v>
      </c>
      <c r="Z294" s="5">
        <f t="shared" si="9"/>
        <v>2873.1100999999999</v>
      </c>
      <c r="AA294" s="5">
        <v>104.27</v>
      </c>
      <c r="AB294" s="5">
        <v>97.24</v>
      </c>
    </row>
    <row r="295" spans="1:28" x14ac:dyDescent="0.3">
      <c r="A295" s="6">
        <v>38590</v>
      </c>
      <c r="B295" s="7">
        <v>0.66666666666666663</v>
      </c>
      <c r="C295" s="5">
        <v>126.6</v>
      </c>
      <c r="D295" s="5">
        <v>126.6</v>
      </c>
      <c r="E295" s="5">
        <v>125.3</v>
      </c>
      <c r="F295" s="5">
        <v>126</v>
      </c>
      <c r="G295" s="5">
        <v>1600</v>
      </c>
      <c r="I295" s="6">
        <v>40240</v>
      </c>
      <c r="J295" s="7">
        <v>0.66666666666666663</v>
      </c>
      <c r="K295" s="5">
        <v>2873.1100999999999</v>
      </c>
      <c r="L295" s="5">
        <v>2945</v>
      </c>
      <c r="M295" s="5">
        <v>2750</v>
      </c>
      <c r="N295" s="5">
        <v>2784.3400999999999</v>
      </c>
      <c r="O295" s="5">
        <v>235</v>
      </c>
      <c r="Q295" s="6">
        <v>38574</v>
      </c>
      <c r="R295" s="7">
        <v>0.66666666666666663</v>
      </c>
      <c r="S295" s="5">
        <v>165</v>
      </c>
      <c r="T295" s="5">
        <v>165.3</v>
      </c>
      <c r="U295" s="5">
        <v>158</v>
      </c>
      <c r="V295" s="5">
        <v>160</v>
      </c>
      <c r="W295" s="5">
        <v>29300</v>
      </c>
      <c r="Y295" s="6">
        <f t="shared" si="8"/>
        <v>40240</v>
      </c>
      <c r="Z295" s="5">
        <f t="shared" si="9"/>
        <v>2784.3400999999999</v>
      </c>
      <c r="AA295" s="5">
        <v>101.42</v>
      </c>
      <c r="AB295" s="5">
        <v>94.15</v>
      </c>
    </row>
    <row r="296" spans="1:28" x14ac:dyDescent="0.3">
      <c r="A296" s="6">
        <v>38593</v>
      </c>
      <c r="B296" s="7">
        <v>0.66666666666666663</v>
      </c>
      <c r="C296" s="5">
        <v>125.5</v>
      </c>
      <c r="D296" s="5">
        <v>127</v>
      </c>
      <c r="E296" s="5">
        <v>125.5</v>
      </c>
      <c r="F296" s="5">
        <v>126.9</v>
      </c>
      <c r="G296" s="5">
        <v>3600</v>
      </c>
      <c r="I296" s="6">
        <v>40241</v>
      </c>
      <c r="J296" s="7">
        <v>0.66666666666666663</v>
      </c>
      <c r="K296" s="5">
        <v>2800</v>
      </c>
      <c r="L296" s="5">
        <v>2850</v>
      </c>
      <c r="M296" s="5">
        <v>2800</v>
      </c>
      <c r="N296" s="5">
        <v>2819.1698999999999</v>
      </c>
      <c r="O296" s="5">
        <v>166</v>
      </c>
      <c r="Q296" s="6">
        <v>38575</v>
      </c>
      <c r="R296" s="7">
        <v>0.66666666666666663</v>
      </c>
      <c r="S296" s="5">
        <v>160</v>
      </c>
      <c r="T296" s="5">
        <v>160</v>
      </c>
      <c r="U296" s="5">
        <v>156.5</v>
      </c>
      <c r="V296" s="5">
        <v>158.4</v>
      </c>
      <c r="W296" s="5">
        <v>14400</v>
      </c>
      <c r="Y296" s="6">
        <f t="shared" si="8"/>
        <v>40241</v>
      </c>
      <c r="Z296" s="5">
        <f t="shared" si="9"/>
        <v>2819.1698999999999</v>
      </c>
      <c r="AA296" s="5">
        <v>103.04</v>
      </c>
      <c r="AB296" s="5">
        <v>95.56</v>
      </c>
    </row>
    <row r="297" spans="1:28" x14ac:dyDescent="0.3">
      <c r="A297" s="6">
        <v>38594</v>
      </c>
      <c r="B297" s="7">
        <v>0.66666666666666663</v>
      </c>
      <c r="C297" s="5">
        <v>127.9</v>
      </c>
      <c r="D297" s="5">
        <v>130.69999999999999</v>
      </c>
      <c r="E297" s="5">
        <v>126.8</v>
      </c>
      <c r="F297" s="5">
        <v>130.69999999999999</v>
      </c>
      <c r="G297" s="5">
        <v>14400</v>
      </c>
      <c r="I297" s="6">
        <v>40242</v>
      </c>
      <c r="J297" s="7">
        <v>0.66666666666666663</v>
      </c>
      <c r="K297" s="5">
        <v>2819.1698999999999</v>
      </c>
      <c r="L297" s="5">
        <v>2919.1698999999999</v>
      </c>
      <c r="M297" s="5">
        <v>2750.01</v>
      </c>
      <c r="N297" s="5">
        <v>2817.46</v>
      </c>
      <c r="O297" s="5">
        <v>229</v>
      </c>
      <c r="Q297" s="6">
        <v>38576</v>
      </c>
      <c r="R297" s="7">
        <v>0.66666666666666663</v>
      </c>
      <c r="S297" s="5">
        <v>158.4</v>
      </c>
      <c r="T297" s="5">
        <v>164</v>
      </c>
      <c r="U297" s="5">
        <v>156.05000000000001</v>
      </c>
      <c r="V297" s="5">
        <v>161</v>
      </c>
      <c r="W297" s="5">
        <v>22300</v>
      </c>
      <c r="Y297" s="6">
        <f t="shared" si="8"/>
        <v>40242</v>
      </c>
      <c r="Z297" s="5">
        <f t="shared" si="9"/>
        <v>2817.46</v>
      </c>
      <c r="AA297" s="5">
        <v>105.88</v>
      </c>
      <c r="AB297" s="5">
        <v>91.92</v>
      </c>
    </row>
    <row r="298" spans="1:28" x14ac:dyDescent="0.3">
      <c r="A298" s="6">
        <v>38595</v>
      </c>
      <c r="B298" s="7">
        <v>0.66666666666666663</v>
      </c>
      <c r="C298" s="5">
        <v>131.5</v>
      </c>
      <c r="D298" s="5">
        <v>134.75</v>
      </c>
      <c r="E298" s="5">
        <v>131.5</v>
      </c>
      <c r="F298" s="5">
        <v>134.75</v>
      </c>
      <c r="G298" s="5">
        <v>27500</v>
      </c>
      <c r="I298" s="6">
        <v>40245</v>
      </c>
      <c r="J298" s="7">
        <v>0.66666666666666663</v>
      </c>
      <c r="K298" s="5">
        <v>2817.46</v>
      </c>
      <c r="L298" s="5">
        <v>2875</v>
      </c>
      <c r="M298" s="5">
        <v>2700</v>
      </c>
      <c r="N298" s="5">
        <v>2701.3</v>
      </c>
      <c r="O298" s="5">
        <v>8914</v>
      </c>
      <c r="Q298" s="6">
        <v>38579</v>
      </c>
      <c r="R298" s="7">
        <v>0.66666666666666663</v>
      </c>
      <c r="S298" s="5">
        <v>161</v>
      </c>
      <c r="T298" s="5">
        <v>161.4</v>
      </c>
      <c r="U298" s="5">
        <v>158.6</v>
      </c>
      <c r="V298" s="5">
        <v>158.6</v>
      </c>
      <c r="W298" s="5">
        <v>12600</v>
      </c>
      <c r="Y298" s="6">
        <f t="shared" si="8"/>
        <v>40245</v>
      </c>
      <c r="Z298" s="5">
        <f t="shared" si="9"/>
        <v>2701.3</v>
      </c>
      <c r="AA298" s="5">
        <v>111.17</v>
      </c>
      <c r="AB298" s="5">
        <v>93.46</v>
      </c>
    </row>
    <row r="299" spans="1:28" x14ac:dyDescent="0.3">
      <c r="A299" s="6">
        <v>38596</v>
      </c>
      <c r="B299" s="7">
        <v>0.66666666666666663</v>
      </c>
      <c r="C299" s="5">
        <v>135.44999999999999</v>
      </c>
      <c r="D299" s="5">
        <v>141.44999999999999</v>
      </c>
      <c r="E299" s="5">
        <v>135.25</v>
      </c>
      <c r="F299" s="5">
        <v>141.44999999999999</v>
      </c>
      <c r="G299" s="5">
        <v>44100</v>
      </c>
      <c r="I299" s="6">
        <v>40246</v>
      </c>
      <c r="J299" s="7">
        <v>0.66666666666666663</v>
      </c>
      <c r="K299" s="5">
        <v>2780</v>
      </c>
      <c r="L299" s="5">
        <v>2836.3600999999999</v>
      </c>
      <c r="M299" s="5">
        <v>2780</v>
      </c>
      <c r="N299" s="5">
        <v>2836.3600999999999</v>
      </c>
      <c r="O299" s="5">
        <v>331</v>
      </c>
      <c r="Q299" s="6">
        <v>38580</v>
      </c>
      <c r="R299" s="7">
        <v>0.66666666666666663</v>
      </c>
      <c r="S299" s="5">
        <v>158.6</v>
      </c>
      <c r="T299" s="5">
        <v>158.9</v>
      </c>
      <c r="U299" s="5">
        <v>157.5</v>
      </c>
      <c r="V299" s="5">
        <v>158.9</v>
      </c>
      <c r="W299" s="5">
        <v>7900</v>
      </c>
      <c r="Y299" s="6">
        <f t="shared" si="8"/>
        <v>40246</v>
      </c>
      <c r="Z299" s="5">
        <f t="shared" si="9"/>
        <v>2836.3600999999999</v>
      </c>
      <c r="AA299" s="5">
        <v>116.72</v>
      </c>
      <c r="AB299" s="5">
        <v>94.04</v>
      </c>
    </row>
    <row r="300" spans="1:28" x14ac:dyDescent="0.3">
      <c r="A300" s="6">
        <v>38597</v>
      </c>
      <c r="B300" s="7">
        <v>0.66666666666666663</v>
      </c>
      <c r="C300" s="5">
        <v>144</v>
      </c>
      <c r="D300" s="5">
        <v>148.5</v>
      </c>
      <c r="E300" s="5">
        <v>141.4</v>
      </c>
      <c r="F300" s="5">
        <v>148.5</v>
      </c>
      <c r="G300" s="5">
        <v>57900</v>
      </c>
      <c r="I300" s="6">
        <v>40247</v>
      </c>
      <c r="J300" s="7">
        <v>0.66666666666666663</v>
      </c>
      <c r="K300" s="5">
        <v>2850</v>
      </c>
      <c r="L300" s="5">
        <v>2978.1698999999999</v>
      </c>
      <c r="M300" s="5">
        <v>2850</v>
      </c>
      <c r="N300" s="5">
        <v>2978.1698999999999</v>
      </c>
      <c r="O300" s="5">
        <v>6055</v>
      </c>
      <c r="Q300" s="6">
        <v>38581</v>
      </c>
      <c r="R300" s="7">
        <v>0.66666666666666663</v>
      </c>
      <c r="S300" s="5">
        <v>158.9</v>
      </c>
      <c r="T300" s="5">
        <v>159</v>
      </c>
      <c r="U300" s="5">
        <v>157.05000000000001</v>
      </c>
      <c r="V300" s="5">
        <v>157.1</v>
      </c>
      <c r="W300" s="5">
        <v>4100</v>
      </c>
      <c r="Y300" s="6">
        <f t="shared" si="8"/>
        <v>40247</v>
      </c>
      <c r="Z300" s="5">
        <f t="shared" si="9"/>
        <v>2978.1698999999999</v>
      </c>
      <c r="AA300" s="5">
        <v>114.76</v>
      </c>
      <c r="AB300" s="5">
        <v>93.96</v>
      </c>
    </row>
    <row r="301" spans="1:28" x14ac:dyDescent="0.3">
      <c r="A301" s="6">
        <v>38600</v>
      </c>
      <c r="B301" s="7">
        <v>0.66666666666666663</v>
      </c>
      <c r="C301" s="5">
        <v>152</v>
      </c>
      <c r="D301" s="5">
        <v>155.9</v>
      </c>
      <c r="E301" s="5">
        <v>152</v>
      </c>
      <c r="F301" s="5">
        <v>155.9</v>
      </c>
      <c r="G301" s="5">
        <v>32600</v>
      </c>
      <c r="I301" s="6">
        <v>40248</v>
      </c>
      <c r="J301" s="7">
        <v>0.66666666666666663</v>
      </c>
      <c r="K301" s="5">
        <v>3100</v>
      </c>
      <c r="L301" s="5">
        <v>3127.0700999999999</v>
      </c>
      <c r="M301" s="5">
        <v>3100</v>
      </c>
      <c r="N301" s="5">
        <v>3127.0700999999999</v>
      </c>
      <c r="O301" s="5">
        <v>1050</v>
      </c>
      <c r="Q301" s="6">
        <v>38583</v>
      </c>
      <c r="R301" s="7">
        <v>0.66666666666666663</v>
      </c>
      <c r="S301" s="5">
        <v>160.65</v>
      </c>
      <c r="T301" s="5">
        <v>164.4</v>
      </c>
      <c r="U301" s="5">
        <v>160.65</v>
      </c>
      <c r="V301" s="5">
        <v>162.05000000000001</v>
      </c>
      <c r="W301" s="5">
        <v>19000</v>
      </c>
      <c r="Y301" s="6">
        <f t="shared" si="8"/>
        <v>40248</v>
      </c>
      <c r="Z301" s="5">
        <f t="shared" si="9"/>
        <v>3127.0700999999999</v>
      </c>
      <c r="AA301" s="5">
        <v>115.6</v>
      </c>
      <c r="AB301" s="5">
        <v>94.04</v>
      </c>
    </row>
    <row r="302" spans="1:28" x14ac:dyDescent="0.3">
      <c r="A302" s="6">
        <v>38601</v>
      </c>
      <c r="B302" s="7">
        <v>0.66666666666666663</v>
      </c>
      <c r="C302" s="5">
        <v>158</v>
      </c>
      <c r="D302" s="5">
        <v>163.65</v>
      </c>
      <c r="E302" s="5">
        <v>158</v>
      </c>
      <c r="F302" s="5">
        <v>162.6</v>
      </c>
      <c r="G302" s="5">
        <v>29500</v>
      </c>
      <c r="I302" s="6">
        <v>40249</v>
      </c>
      <c r="J302" s="7">
        <v>0.66666666666666663</v>
      </c>
      <c r="K302" s="5">
        <v>3127.0700999999999</v>
      </c>
      <c r="L302" s="5">
        <v>3283.4198999999999</v>
      </c>
      <c r="M302" s="5">
        <v>2977</v>
      </c>
      <c r="N302" s="5">
        <v>3050.02</v>
      </c>
      <c r="O302" s="5">
        <v>1120</v>
      </c>
      <c r="Q302" s="6">
        <v>38586</v>
      </c>
      <c r="R302" s="7">
        <v>0.66666666666666663</v>
      </c>
      <c r="S302" s="5">
        <v>163.75</v>
      </c>
      <c r="T302" s="5">
        <v>168</v>
      </c>
      <c r="U302" s="5">
        <v>163.75</v>
      </c>
      <c r="V302" s="5">
        <v>166.55</v>
      </c>
      <c r="W302" s="5">
        <v>96100</v>
      </c>
      <c r="Y302" s="6">
        <f t="shared" si="8"/>
        <v>40249</v>
      </c>
      <c r="Z302" s="5">
        <f t="shared" si="9"/>
        <v>3050.02</v>
      </c>
      <c r="AA302" s="5">
        <v>116.77</v>
      </c>
      <c r="AB302" s="5">
        <v>93.08</v>
      </c>
    </row>
    <row r="303" spans="1:28" x14ac:dyDescent="0.3">
      <c r="A303" s="6">
        <v>38602</v>
      </c>
      <c r="B303" s="7">
        <v>0.66666666666666663</v>
      </c>
      <c r="C303" s="5">
        <v>165</v>
      </c>
      <c r="D303" s="5">
        <v>165</v>
      </c>
      <c r="E303" s="5">
        <v>154.5</v>
      </c>
      <c r="F303" s="5">
        <v>154.5</v>
      </c>
      <c r="G303" s="5">
        <v>42300</v>
      </c>
      <c r="I303" s="6">
        <v>40252</v>
      </c>
      <c r="J303" s="7">
        <v>0.66666666666666663</v>
      </c>
      <c r="K303" s="5">
        <v>3050.02</v>
      </c>
      <c r="L303" s="5">
        <v>3111</v>
      </c>
      <c r="M303" s="5">
        <v>3000</v>
      </c>
      <c r="N303" s="5">
        <v>3008.3701000000001</v>
      </c>
      <c r="O303" s="5">
        <v>107</v>
      </c>
      <c r="Q303" s="6">
        <v>38587</v>
      </c>
      <c r="R303" s="7">
        <v>0.66666666666666663</v>
      </c>
      <c r="S303" s="5">
        <v>166.55</v>
      </c>
      <c r="T303" s="5">
        <v>173.5</v>
      </c>
      <c r="U303" s="5">
        <v>165.1</v>
      </c>
      <c r="V303" s="5">
        <v>169</v>
      </c>
      <c r="W303" s="5">
        <v>212800</v>
      </c>
      <c r="Y303" s="6">
        <f t="shared" si="8"/>
        <v>40252</v>
      </c>
      <c r="Z303" s="5">
        <f t="shared" si="9"/>
        <v>3008.3701000000001</v>
      </c>
      <c r="AA303" s="5">
        <v>116.2</v>
      </c>
      <c r="AB303" s="5">
        <v>95.02</v>
      </c>
    </row>
    <row r="304" spans="1:28" x14ac:dyDescent="0.3">
      <c r="A304" s="6">
        <v>38603</v>
      </c>
      <c r="B304" s="7">
        <v>0.66666666666666663</v>
      </c>
      <c r="C304" s="5">
        <v>152</v>
      </c>
      <c r="D304" s="5">
        <v>152</v>
      </c>
      <c r="E304" s="5">
        <v>147</v>
      </c>
      <c r="F304" s="5">
        <v>149.5</v>
      </c>
      <c r="G304" s="5">
        <v>29600</v>
      </c>
      <c r="I304" s="6">
        <v>40253</v>
      </c>
      <c r="J304" s="7">
        <v>0.66666666666666663</v>
      </c>
      <c r="K304" s="5">
        <v>3008.3701000000001</v>
      </c>
      <c r="L304" s="5">
        <v>3080</v>
      </c>
      <c r="M304" s="5">
        <v>2950</v>
      </c>
      <c r="N304" s="5">
        <v>2972.71</v>
      </c>
      <c r="O304" s="5">
        <v>123</v>
      </c>
      <c r="Q304" s="6">
        <v>38588</v>
      </c>
      <c r="R304" s="7">
        <v>0.66666666666666663</v>
      </c>
      <c r="S304" s="5">
        <v>169</v>
      </c>
      <c r="T304" s="5">
        <v>172</v>
      </c>
      <c r="U304" s="5">
        <v>167.5</v>
      </c>
      <c r="V304" s="5">
        <v>168.1</v>
      </c>
      <c r="W304" s="5">
        <v>80600</v>
      </c>
      <c r="Y304" s="6">
        <f t="shared" si="8"/>
        <v>40253</v>
      </c>
      <c r="Z304" s="5">
        <f t="shared" si="9"/>
        <v>2972.71</v>
      </c>
      <c r="AA304" s="5">
        <v>113.68</v>
      </c>
      <c r="AB304" s="5">
        <v>94.25</v>
      </c>
    </row>
    <row r="305" spans="1:28" x14ac:dyDescent="0.3">
      <c r="A305" s="6">
        <v>38604</v>
      </c>
      <c r="B305" s="7">
        <v>0.66666666666666663</v>
      </c>
      <c r="C305" s="5">
        <v>148.1</v>
      </c>
      <c r="D305" s="5">
        <v>156.75</v>
      </c>
      <c r="E305" s="5">
        <v>148.1</v>
      </c>
      <c r="F305" s="5">
        <v>153</v>
      </c>
      <c r="G305" s="5">
        <v>18600</v>
      </c>
      <c r="I305" s="6">
        <v>40254</v>
      </c>
      <c r="J305" s="7">
        <v>0.66666666666666663</v>
      </c>
      <c r="K305" s="5">
        <v>2972.71</v>
      </c>
      <c r="L305" s="5">
        <v>3000</v>
      </c>
      <c r="M305" s="5">
        <v>2900</v>
      </c>
      <c r="N305" s="5">
        <v>2950</v>
      </c>
      <c r="O305" s="5">
        <v>353</v>
      </c>
      <c r="Q305" s="6">
        <v>38589</v>
      </c>
      <c r="R305" s="7">
        <v>0.66666666666666663</v>
      </c>
      <c r="S305" s="5">
        <v>168.1</v>
      </c>
      <c r="T305" s="5">
        <v>170.5</v>
      </c>
      <c r="U305" s="5">
        <v>168</v>
      </c>
      <c r="V305" s="5">
        <v>168</v>
      </c>
      <c r="W305" s="5">
        <v>27900</v>
      </c>
      <c r="Y305" s="6">
        <f t="shared" si="8"/>
        <v>40254</v>
      </c>
      <c r="Z305" s="5">
        <f t="shared" si="9"/>
        <v>2950</v>
      </c>
      <c r="AA305" s="5">
        <v>113.2</v>
      </c>
      <c r="AB305" s="5">
        <v>94</v>
      </c>
    </row>
    <row r="306" spans="1:28" x14ac:dyDescent="0.3">
      <c r="A306" s="6">
        <v>38607</v>
      </c>
      <c r="B306" s="7">
        <v>0.66666666666666663</v>
      </c>
      <c r="C306" s="5">
        <v>153.25</v>
      </c>
      <c r="D306" s="5">
        <v>154.75</v>
      </c>
      <c r="E306" s="5">
        <v>153.19999999999999</v>
      </c>
      <c r="F306" s="5">
        <v>154</v>
      </c>
      <c r="G306" s="5">
        <v>2100</v>
      </c>
      <c r="I306" s="6">
        <v>40255</v>
      </c>
      <c r="J306" s="7">
        <v>0.66666666666666663</v>
      </c>
      <c r="K306" s="5">
        <v>2950</v>
      </c>
      <c r="L306" s="5">
        <v>3070</v>
      </c>
      <c r="M306" s="5">
        <v>2936.05</v>
      </c>
      <c r="N306" s="5">
        <v>3000</v>
      </c>
      <c r="O306" s="5">
        <v>216</v>
      </c>
      <c r="Q306" s="6">
        <v>38590</v>
      </c>
      <c r="R306" s="7">
        <v>0.66666666666666663</v>
      </c>
      <c r="S306" s="5">
        <v>168</v>
      </c>
      <c r="T306" s="5">
        <v>170.2</v>
      </c>
      <c r="U306" s="5">
        <v>167.5</v>
      </c>
      <c r="V306" s="5">
        <v>168.95</v>
      </c>
      <c r="W306" s="5">
        <v>15700</v>
      </c>
      <c r="Y306" s="6">
        <f t="shared" si="8"/>
        <v>40255</v>
      </c>
      <c r="Z306" s="5">
        <f t="shared" si="9"/>
        <v>3000</v>
      </c>
      <c r="AA306" s="5">
        <v>112.93</v>
      </c>
      <c r="AB306" s="5">
        <v>94</v>
      </c>
    </row>
    <row r="307" spans="1:28" x14ac:dyDescent="0.3">
      <c r="A307" s="6">
        <v>38608</v>
      </c>
      <c r="B307" s="7">
        <v>0.66666666666666663</v>
      </c>
      <c r="C307" s="5">
        <v>152.25</v>
      </c>
      <c r="D307" s="5">
        <v>154</v>
      </c>
      <c r="E307" s="5">
        <v>152.19999999999999</v>
      </c>
      <c r="F307" s="5">
        <v>152.19999999999999</v>
      </c>
      <c r="G307" s="5">
        <v>8900</v>
      </c>
      <c r="I307" s="6">
        <v>40256</v>
      </c>
      <c r="J307" s="7">
        <v>0.66666666666666663</v>
      </c>
      <c r="K307" s="5">
        <v>3000</v>
      </c>
      <c r="L307" s="5">
        <v>3049</v>
      </c>
      <c r="M307" s="5">
        <v>2956</v>
      </c>
      <c r="N307" s="5">
        <v>2998.5</v>
      </c>
      <c r="O307" s="5">
        <v>350</v>
      </c>
      <c r="Q307" s="6">
        <v>38593</v>
      </c>
      <c r="R307" s="7">
        <v>0.66666666666666663</v>
      </c>
      <c r="S307" s="5">
        <v>168.95</v>
      </c>
      <c r="T307" s="5">
        <v>171.6</v>
      </c>
      <c r="U307" s="5">
        <v>168.1</v>
      </c>
      <c r="V307" s="5">
        <v>170</v>
      </c>
      <c r="W307" s="5">
        <v>102900</v>
      </c>
      <c r="Y307" s="6">
        <f t="shared" si="8"/>
        <v>40256</v>
      </c>
      <c r="Z307" s="5">
        <f t="shared" si="9"/>
        <v>2998.5</v>
      </c>
      <c r="AA307" s="5">
        <v>112.2</v>
      </c>
      <c r="AB307" s="5">
        <v>93.76</v>
      </c>
    </row>
    <row r="308" spans="1:28" x14ac:dyDescent="0.3">
      <c r="A308" s="6">
        <v>38609</v>
      </c>
      <c r="B308" s="7">
        <v>0.66666666666666663</v>
      </c>
      <c r="C308" s="5">
        <v>153.75</v>
      </c>
      <c r="D308" s="5">
        <v>153.94999999999999</v>
      </c>
      <c r="E308" s="5">
        <v>150.5</v>
      </c>
      <c r="F308" s="5">
        <v>151.30000000000001</v>
      </c>
      <c r="G308" s="5">
        <v>11600</v>
      </c>
      <c r="I308" s="6">
        <v>40259</v>
      </c>
      <c r="J308" s="7">
        <v>0.66666666666666663</v>
      </c>
      <c r="K308" s="5">
        <v>2998.5</v>
      </c>
      <c r="L308" s="5">
        <v>2999.99</v>
      </c>
      <c r="M308" s="5">
        <v>2950</v>
      </c>
      <c r="N308" s="5">
        <v>2952.5</v>
      </c>
      <c r="O308" s="5">
        <v>93</v>
      </c>
      <c r="Q308" s="6">
        <v>38594</v>
      </c>
      <c r="R308" s="7">
        <v>0.66666666666666663</v>
      </c>
      <c r="S308" s="5">
        <v>170</v>
      </c>
      <c r="T308" s="5">
        <v>178.5</v>
      </c>
      <c r="U308" s="5">
        <v>169.5</v>
      </c>
      <c r="V308" s="5">
        <v>178.5</v>
      </c>
      <c r="W308" s="5">
        <v>612100</v>
      </c>
      <c r="Y308" s="6">
        <f t="shared" si="8"/>
        <v>40259</v>
      </c>
      <c r="Z308" s="5">
        <f t="shared" si="9"/>
        <v>2952.5</v>
      </c>
      <c r="AA308" s="5">
        <v>112.27</v>
      </c>
      <c r="AB308" s="5">
        <v>93.61</v>
      </c>
    </row>
    <row r="309" spans="1:28" x14ac:dyDescent="0.3">
      <c r="A309" s="6">
        <v>38610</v>
      </c>
      <c r="B309" s="7">
        <v>0.66666666666666663</v>
      </c>
      <c r="C309" s="5">
        <v>151.30000000000001</v>
      </c>
      <c r="D309" s="5">
        <v>153</v>
      </c>
      <c r="E309" s="5">
        <v>150</v>
      </c>
      <c r="F309" s="5">
        <v>150</v>
      </c>
      <c r="G309" s="5">
        <v>10500</v>
      </c>
      <c r="I309" s="6">
        <v>40261</v>
      </c>
      <c r="J309" s="7">
        <v>0.66666666666666663</v>
      </c>
      <c r="K309" s="5">
        <v>2950</v>
      </c>
      <c r="L309" s="5">
        <v>2950</v>
      </c>
      <c r="M309" s="5">
        <v>2900.25</v>
      </c>
      <c r="N309" s="5">
        <v>2910.54</v>
      </c>
      <c r="O309" s="5">
        <v>47</v>
      </c>
      <c r="Q309" s="6">
        <v>38595</v>
      </c>
      <c r="R309" s="7">
        <v>0.66666666666666663</v>
      </c>
      <c r="S309" s="5">
        <v>179.25</v>
      </c>
      <c r="T309" s="5">
        <v>187.4</v>
      </c>
      <c r="U309" s="5">
        <v>179.25</v>
      </c>
      <c r="V309" s="5">
        <v>187.4</v>
      </c>
      <c r="W309" s="5">
        <v>1094200</v>
      </c>
      <c r="Y309" s="6">
        <f t="shared" si="8"/>
        <v>40261</v>
      </c>
      <c r="Z309" s="5">
        <f t="shared" si="9"/>
        <v>2910.54</v>
      </c>
      <c r="AA309" s="5">
        <v>117.73</v>
      </c>
      <c r="AB309" s="5">
        <v>97.28</v>
      </c>
    </row>
    <row r="310" spans="1:28" x14ac:dyDescent="0.3">
      <c r="A310" s="6">
        <v>38611</v>
      </c>
      <c r="B310" s="7">
        <v>0.66666666666666663</v>
      </c>
      <c r="C310" s="5">
        <v>152.94999999999999</v>
      </c>
      <c r="D310" s="5">
        <v>152.94999999999999</v>
      </c>
      <c r="E310" s="5">
        <v>150.55000000000001</v>
      </c>
      <c r="F310" s="5">
        <v>151</v>
      </c>
      <c r="G310" s="5">
        <v>18000</v>
      </c>
      <c r="I310" s="6">
        <v>40262</v>
      </c>
      <c r="J310" s="7">
        <v>0.66666666666666663</v>
      </c>
      <c r="K310" s="5">
        <v>2910.54</v>
      </c>
      <c r="L310" s="5">
        <v>3025</v>
      </c>
      <c r="M310" s="5">
        <v>2800.27</v>
      </c>
      <c r="N310" s="5">
        <v>3025</v>
      </c>
      <c r="O310" s="5">
        <v>3267</v>
      </c>
      <c r="Q310" s="6">
        <v>38596</v>
      </c>
      <c r="R310" s="7">
        <v>0.66666666666666663</v>
      </c>
      <c r="S310" s="5">
        <v>189.55</v>
      </c>
      <c r="T310" s="5">
        <v>196.25</v>
      </c>
      <c r="U310" s="5">
        <v>189.55</v>
      </c>
      <c r="V310" s="5">
        <v>193.75</v>
      </c>
      <c r="W310" s="5">
        <v>1942700</v>
      </c>
      <c r="Y310" s="6">
        <f t="shared" si="8"/>
        <v>40262</v>
      </c>
      <c r="Z310" s="5">
        <f t="shared" si="9"/>
        <v>3025</v>
      </c>
      <c r="AA310" s="5">
        <v>116.37</v>
      </c>
      <c r="AB310" s="5">
        <v>97.04</v>
      </c>
    </row>
    <row r="311" spans="1:28" x14ac:dyDescent="0.3">
      <c r="A311" s="6">
        <v>38614</v>
      </c>
      <c r="B311" s="7">
        <v>0.66666666666666663</v>
      </c>
      <c r="C311" s="5">
        <v>151</v>
      </c>
      <c r="D311" s="5">
        <v>152</v>
      </c>
      <c r="E311" s="5">
        <v>150.25</v>
      </c>
      <c r="F311" s="5">
        <v>151</v>
      </c>
      <c r="G311" s="5">
        <v>9300</v>
      </c>
      <c r="I311" s="6">
        <v>40263</v>
      </c>
      <c r="J311" s="7">
        <v>0.66666666666666663</v>
      </c>
      <c r="K311" s="5">
        <v>3025</v>
      </c>
      <c r="L311" s="5">
        <v>3176.25</v>
      </c>
      <c r="M311" s="5">
        <v>3011.01</v>
      </c>
      <c r="N311" s="5">
        <v>3176.25</v>
      </c>
      <c r="O311" s="5">
        <v>2989</v>
      </c>
      <c r="Q311" s="6">
        <v>38597</v>
      </c>
      <c r="R311" s="7">
        <v>0.66666666666666663</v>
      </c>
      <c r="S311" s="5">
        <v>193.75</v>
      </c>
      <c r="T311" s="5">
        <v>198</v>
      </c>
      <c r="U311" s="5">
        <v>184.1</v>
      </c>
      <c r="V311" s="5">
        <v>185.5</v>
      </c>
      <c r="W311" s="5">
        <v>4569500</v>
      </c>
      <c r="Y311" s="6">
        <f t="shared" si="8"/>
        <v>40263</v>
      </c>
      <c r="Z311" s="5">
        <f t="shared" si="9"/>
        <v>3176.25</v>
      </c>
      <c r="AA311" s="5">
        <v>115.53</v>
      </c>
      <c r="AB311" s="5">
        <v>96.99</v>
      </c>
    </row>
    <row r="312" spans="1:28" x14ac:dyDescent="0.3">
      <c r="A312" s="6">
        <v>38615</v>
      </c>
      <c r="B312" s="7">
        <v>0.66666666666666663</v>
      </c>
      <c r="C312" s="5">
        <v>151</v>
      </c>
      <c r="D312" s="5">
        <v>152.9</v>
      </c>
      <c r="E312" s="5">
        <v>151</v>
      </c>
      <c r="F312" s="5">
        <v>152</v>
      </c>
      <c r="G312" s="5">
        <v>10500</v>
      </c>
      <c r="I312" s="6">
        <v>40266</v>
      </c>
      <c r="J312" s="7">
        <v>0.66666666666666663</v>
      </c>
      <c r="K312" s="5">
        <v>3176.25</v>
      </c>
      <c r="L312" s="5">
        <v>3335.0601000000001</v>
      </c>
      <c r="M312" s="5">
        <v>3150</v>
      </c>
      <c r="N312" s="5">
        <v>3335.0601000000001</v>
      </c>
      <c r="O312" s="5">
        <v>2085</v>
      </c>
      <c r="Q312" s="6">
        <v>38600</v>
      </c>
      <c r="R312" s="7">
        <v>0.66666666666666663</v>
      </c>
      <c r="S312" s="5">
        <v>186</v>
      </c>
      <c r="T312" s="5">
        <v>194.6</v>
      </c>
      <c r="U312" s="5">
        <v>186</v>
      </c>
      <c r="V312" s="5">
        <v>191.5</v>
      </c>
      <c r="W312" s="5">
        <v>3868000</v>
      </c>
      <c r="Y312" s="6">
        <f t="shared" si="8"/>
        <v>40266</v>
      </c>
      <c r="Z312" s="5">
        <f t="shared" si="9"/>
        <v>3335.0601000000001</v>
      </c>
      <c r="AA312" s="5">
        <v>113.81</v>
      </c>
      <c r="AB312" s="5">
        <v>98</v>
      </c>
    </row>
    <row r="313" spans="1:28" x14ac:dyDescent="0.3">
      <c r="A313" s="6">
        <v>38616</v>
      </c>
      <c r="B313" s="7">
        <v>0.66666666666666663</v>
      </c>
      <c r="C313" s="5">
        <v>154.25</v>
      </c>
      <c r="D313" s="5">
        <v>159.6</v>
      </c>
      <c r="E313" s="5">
        <v>153</v>
      </c>
      <c r="F313" s="5">
        <v>159.6</v>
      </c>
      <c r="G313" s="5">
        <v>18600</v>
      </c>
      <c r="I313" s="6">
        <v>40267</v>
      </c>
      <c r="J313" s="7">
        <v>0.66666666666666663</v>
      </c>
      <c r="K313" s="5">
        <v>3335.0601000000001</v>
      </c>
      <c r="L313" s="5">
        <v>3501.8101000000001</v>
      </c>
      <c r="M313" s="5">
        <v>3326</v>
      </c>
      <c r="N313" s="5">
        <v>3501.8101000000001</v>
      </c>
      <c r="O313" s="5">
        <v>3707</v>
      </c>
      <c r="Q313" s="6">
        <v>38601</v>
      </c>
      <c r="R313" s="7">
        <v>0.66666666666666663</v>
      </c>
      <c r="S313" s="5">
        <v>191.5</v>
      </c>
      <c r="T313" s="5">
        <v>192.05</v>
      </c>
      <c r="U313" s="5">
        <v>188</v>
      </c>
      <c r="V313" s="5">
        <v>189.8</v>
      </c>
      <c r="W313" s="5">
        <v>861500</v>
      </c>
      <c r="Y313" s="6">
        <f t="shared" si="8"/>
        <v>40267</v>
      </c>
      <c r="Z313" s="5">
        <f t="shared" si="9"/>
        <v>3501.8101000000001</v>
      </c>
      <c r="AA313" s="5">
        <v>114.76</v>
      </c>
      <c r="AB313" s="5">
        <v>97.73</v>
      </c>
    </row>
    <row r="314" spans="1:28" x14ac:dyDescent="0.3">
      <c r="A314" s="6">
        <v>38617</v>
      </c>
      <c r="B314" s="7">
        <v>0.66666666666666663</v>
      </c>
      <c r="C314" s="5">
        <v>160.1</v>
      </c>
      <c r="D314" s="5">
        <v>165</v>
      </c>
      <c r="E314" s="5">
        <v>160.1</v>
      </c>
      <c r="F314" s="5">
        <v>163</v>
      </c>
      <c r="G314" s="5">
        <v>46400</v>
      </c>
      <c r="I314" s="6">
        <v>40268</v>
      </c>
      <c r="J314" s="7">
        <v>0.66666666666666663</v>
      </c>
      <c r="K314" s="5">
        <v>3501.8101000000001</v>
      </c>
      <c r="L314" s="5">
        <v>3676.8998999999999</v>
      </c>
      <c r="M314" s="5">
        <v>3326.72</v>
      </c>
      <c r="N314" s="5">
        <v>3468.52</v>
      </c>
      <c r="O314" s="5">
        <v>19559</v>
      </c>
      <c r="Q314" s="6">
        <v>38602</v>
      </c>
      <c r="R314" s="7">
        <v>0.66666666666666663</v>
      </c>
      <c r="S314" s="5">
        <v>189.8</v>
      </c>
      <c r="T314" s="5">
        <v>198.25</v>
      </c>
      <c r="U314" s="5">
        <v>188.1</v>
      </c>
      <c r="V314" s="5">
        <v>195.05</v>
      </c>
      <c r="W314" s="5">
        <v>3576700</v>
      </c>
      <c r="Y314" s="6">
        <f t="shared" si="8"/>
        <v>40268</v>
      </c>
      <c r="Z314" s="5">
        <f t="shared" si="9"/>
        <v>3468.52</v>
      </c>
      <c r="AA314" s="5">
        <v>115.27</v>
      </c>
      <c r="AB314" s="5">
        <v>98</v>
      </c>
    </row>
    <row r="315" spans="1:28" x14ac:dyDescent="0.3">
      <c r="A315" s="6">
        <v>38618</v>
      </c>
      <c r="B315" s="7">
        <v>0.66666666666666663</v>
      </c>
      <c r="C315" s="5">
        <v>164.5</v>
      </c>
      <c r="D315" s="5">
        <v>164.9</v>
      </c>
      <c r="E315" s="5">
        <v>156.19999999999999</v>
      </c>
      <c r="F315" s="5">
        <v>161.5</v>
      </c>
      <c r="G315" s="5">
        <v>18200</v>
      </c>
      <c r="I315" s="6">
        <v>40269</v>
      </c>
      <c r="J315" s="7">
        <v>0.66666666666666663</v>
      </c>
      <c r="K315" s="5">
        <v>3470</v>
      </c>
      <c r="L315" s="5">
        <v>3641.9398999999999</v>
      </c>
      <c r="M315" s="5">
        <v>3470</v>
      </c>
      <c r="N315" s="5">
        <v>3641.9398999999999</v>
      </c>
      <c r="O315" s="5">
        <v>5650</v>
      </c>
      <c r="Q315" s="6">
        <v>38603</v>
      </c>
      <c r="R315" s="7">
        <v>0.66666666666666663</v>
      </c>
      <c r="S315" s="5">
        <v>195.5</v>
      </c>
      <c r="T315" s="5">
        <v>204.8</v>
      </c>
      <c r="U315" s="5">
        <v>195.5</v>
      </c>
      <c r="V315" s="5">
        <v>204.8</v>
      </c>
      <c r="W315" s="5">
        <v>2468200</v>
      </c>
      <c r="Y315" s="6">
        <f t="shared" si="8"/>
        <v>40269</v>
      </c>
      <c r="Z315" s="5">
        <f t="shared" si="9"/>
        <v>3641.9398999999999</v>
      </c>
      <c r="AA315" s="5">
        <v>115.46</v>
      </c>
      <c r="AB315" s="5">
        <v>97.47</v>
      </c>
    </row>
    <row r="316" spans="1:28" x14ac:dyDescent="0.3">
      <c r="A316" s="6">
        <v>38621</v>
      </c>
      <c r="B316" s="7">
        <v>0.66666666666666663</v>
      </c>
      <c r="C316" s="5">
        <v>158</v>
      </c>
      <c r="D316" s="5">
        <v>159</v>
      </c>
      <c r="E316" s="5">
        <v>155.1</v>
      </c>
      <c r="F316" s="5">
        <v>156.80000000000001</v>
      </c>
      <c r="G316" s="5">
        <v>10900</v>
      </c>
      <c r="I316" s="6">
        <v>40270</v>
      </c>
      <c r="J316" s="7">
        <v>0.66666666666666663</v>
      </c>
      <c r="K316" s="5">
        <v>3661</v>
      </c>
      <c r="L316" s="5">
        <v>3824.03</v>
      </c>
      <c r="M316" s="5">
        <v>3661</v>
      </c>
      <c r="N316" s="5">
        <v>3735.25</v>
      </c>
      <c r="O316" s="5">
        <v>449</v>
      </c>
      <c r="Q316" s="6">
        <v>38604</v>
      </c>
      <c r="R316" s="7">
        <v>0.66666666666666663</v>
      </c>
      <c r="S316" s="5">
        <v>204.8</v>
      </c>
      <c r="T316" s="5">
        <v>211</v>
      </c>
      <c r="U316" s="5">
        <v>204.25</v>
      </c>
      <c r="V316" s="5">
        <v>206.5</v>
      </c>
      <c r="W316" s="5">
        <v>1678400</v>
      </c>
      <c r="Y316" s="6">
        <f t="shared" si="8"/>
        <v>40270</v>
      </c>
      <c r="Z316" s="5">
        <f t="shared" si="9"/>
        <v>3735.25</v>
      </c>
      <c r="AA316" s="5">
        <v>121.13</v>
      </c>
      <c r="AB316" s="5">
        <v>97.5</v>
      </c>
    </row>
    <row r="317" spans="1:28" x14ac:dyDescent="0.3">
      <c r="A317" s="6">
        <v>38622</v>
      </c>
      <c r="B317" s="7">
        <v>0.66666666666666663</v>
      </c>
      <c r="C317" s="5">
        <v>156</v>
      </c>
      <c r="D317" s="5">
        <v>157.5</v>
      </c>
      <c r="E317" s="5">
        <v>155</v>
      </c>
      <c r="F317" s="5">
        <v>156.30000000000001</v>
      </c>
      <c r="G317" s="5">
        <v>9400</v>
      </c>
      <c r="I317" s="6">
        <v>40273</v>
      </c>
      <c r="J317" s="7">
        <v>0.66666666666666663</v>
      </c>
      <c r="K317" s="5">
        <v>3724</v>
      </c>
      <c r="L317" s="5">
        <v>3724</v>
      </c>
      <c r="M317" s="5">
        <v>3700</v>
      </c>
      <c r="N317" s="5">
        <v>3700.4299000000001</v>
      </c>
      <c r="O317" s="5">
        <v>300</v>
      </c>
      <c r="Q317" s="6">
        <v>38607</v>
      </c>
      <c r="R317" s="7">
        <v>0.66666666666666663</v>
      </c>
      <c r="S317" s="5">
        <v>206.5</v>
      </c>
      <c r="T317" s="5">
        <v>210.5</v>
      </c>
      <c r="U317" s="5">
        <v>205</v>
      </c>
      <c r="V317" s="5">
        <v>206</v>
      </c>
      <c r="W317" s="5">
        <v>765900</v>
      </c>
      <c r="Y317" s="6">
        <f t="shared" si="8"/>
        <v>40273</v>
      </c>
      <c r="Z317" s="5">
        <f t="shared" si="9"/>
        <v>3700.4299000000001</v>
      </c>
      <c r="AA317" s="5">
        <v>122.66</v>
      </c>
      <c r="AB317" s="5">
        <v>100</v>
      </c>
    </row>
    <row r="318" spans="1:28" x14ac:dyDescent="0.3">
      <c r="A318" s="6">
        <v>38623</v>
      </c>
      <c r="B318" s="7">
        <v>0.66666666666666663</v>
      </c>
      <c r="C318" s="5">
        <v>155.30000000000001</v>
      </c>
      <c r="D318" s="5">
        <v>155.9</v>
      </c>
      <c r="E318" s="5">
        <v>151.5</v>
      </c>
      <c r="F318" s="5">
        <v>152</v>
      </c>
      <c r="G318" s="5">
        <v>19200</v>
      </c>
      <c r="I318" s="6">
        <v>40274</v>
      </c>
      <c r="J318" s="7">
        <v>0.66666666666666663</v>
      </c>
      <c r="K318" s="5">
        <v>3700.4299000000001</v>
      </c>
      <c r="L318" s="5">
        <v>3710</v>
      </c>
      <c r="M318" s="5">
        <v>3600</v>
      </c>
      <c r="N318" s="5">
        <v>3608.51</v>
      </c>
      <c r="O318" s="5">
        <v>519</v>
      </c>
      <c r="Q318" s="6">
        <v>38608</v>
      </c>
      <c r="R318" s="7">
        <v>0.66666666666666663</v>
      </c>
      <c r="S318" s="5">
        <v>206</v>
      </c>
      <c r="T318" s="5">
        <v>211.45</v>
      </c>
      <c r="U318" s="5">
        <v>204</v>
      </c>
      <c r="V318" s="5">
        <v>209</v>
      </c>
      <c r="W318" s="5">
        <v>2000600</v>
      </c>
      <c r="Y318" s="6">
        <f t="shared" si="8"/>
        <v>40274</v>
      </c>
      <c r="Z318" s="5">
        <f t="shared" si="9"/>
        <v>3608.51</v>
      </c>
      <c r="AA318" s="5">
        <v>121.79</v>
      </c>
      <c r="AB318" s="5">
        <v>105</v>
      </c>
    </row>
    <row r="319" spans="1:28" x14ac:dyDescent="0.3">
      <c r="A319" s="6">
        <v>38624</v>
      </c>
      <c r="B319" s="7">
        <v>0.66666666666666663</v>
      </c>
      <c r="C319" s="5">
        <v>152</v>
      </c>
      <c r="D319" s="5">
        <v>153.5</v>
      </c>
      <c r="E319" s="5">
        <v>152</v>
      </c>
      <c r="F319" s="5">
        <v>152</v>
      </c>
      <c r="G319" s="5">
        <v>37600</v>
      </c>
      <c r="I319" s="6">
        <v>40275</v>
      </c>
      <c r="J319" s="7">
        <v>0.66666666666666663</v>
      </c>
      <c r="K319" s="5">
        <v>3608.51</v>
      </c>
      <c r="L319" s="5">
        <v>3630</v>
      </c>
      <c r="M319" s="5">
        <v>3450</v>
      </c>
      <c r="N319" s="5">
        <v>3492.76</v>
      </c>
      <c r="O319" s="5">
        <v>1344</v>
      </c>
      <c r="Q319" s="6">
        <v>38609</v>
      </c>
      <c r="R319" s="7">
        <v>0.66666666666666663</v>
      </c>
      <c r="S319" s="5">
        <v>210.5</v>
      </c>
      <c r="T319" s="5">
        <v>219.45</v>
      </c>
      <c r="U319" s="5">
        <v>210.5</v>
      </c>
      <c r="V319" s="5">
        <v>219.45</v>
      </c>
      <c r="W319" s="5">
        <v>1654200</v>
      </c>
      <c r="Y319" s="6">
        <f t="shared" si="8"/>
        <v>40275</v>
      </c>
      <c r="Z319" s="5">
        <f t="shared" si="9"/>
        <v>3492.76</v>
      </c>
      <c r="AA319" s="5">
        <v>123.43</v>
      </c>
      <c r="AB319" s="5">
        <v>103.19</v>
      </c>
    </row>
    <row r="320" spans="1:28" x14ac:dyDescent="0.3">
      <c r="A320" s="6">
        <v>38625</v>
      </c>
      <c r="B320" s="7">
        <v>0.66666666666666663</v>
      </c>
      <c r="C320" s="5">
        <v>152</v>
      </c>
      <c r="D320" s="5">
        <v>152</v>
      </c>
      <c r="E320" s="5">
        <v>150</v>
      </c>
      <c r="F320" s="5">
        <v>151</v>
      </c>
      <c r="G320" s="5">
        <v>7600</v>
      </c>
      <c r="I320" s="6">
        <v>40276</v>
      </c>
      <c r="J320" s="7">
        <v>0.66666666666666663</v>
      </c>
      <c r="K320" s="5">
        <v>3492.76</v>
      </c>
      <c r="L320" s="5">
        <v>3590</v>
      </c>
      <c r="M320" s="5">
        <v>3340</v>
      </c>
      <c r="N320" s="5">
        <v>3350.4198999999999</v>
      </c>
      <c r="O320" s="5">
        <v>262</v>
      </c>
      <c r="Q320" s="6">
        <v>38610</v>
      </c>
      <c r="R320" s="7">
        <v>0.66666666666666663</v>
      </c>
      <c r="S320" s="5">
        <v>223.05</v>
      </c>
      <c r="T320" s="5">
        <v>230.4</v>
      </c>
      <c r="U320" s="5">
        <v>223.05</v>
      </c>
      <c r="V320" s="5">
        <v>224</v>
      </c>
      <c r="W320" s="5">
        <v>1609000</v>
      </c>
      <c r="Y320" s="6">
        <f t="shared" si="8"/>
        <v>40276</v>
      </c>
      <c r="Z320" s="5">
        <f t="shared" si="9"/>
        <v>3350.4198999999999</v>
      </c>
      <c r="AA320" s="5">
        <v>124.56</v>
      </c>
      <c r="AB320" s="5">
        <v>101.24</v>
      </c>
    </row>
    <row r="321" spans="1:28" x14ac:dyDescent="0.3">
      <c r="A321" s="6">
        <v>38628</v>
      </c>
      <c r="B321" s="7">
        <v>0.66666666666666663</v>
      </c>
      <c r="C321" s="5">
        <v>151</v>
      </c>
      <c r="D321" s="5">
        <v>154</v>
      </c>
      <c r="E321" s="5">
        <v>151</v>
      </c>
      <c r="F321" s="5">
        <v>153.5</v>
      </c>
      <c r="G321" s="5">
        <v>7100</v>
      </c>
      <c r="I321" s="6">
        <v>40277</v>
      </c>
      <c r="J321" s="7">
        <v>0.66666666666666663</v>
      </c>
      <c r="K321" s="5">
        <v>3517.9398999999999</v>
      </c>
      <c r="L321" s="5">
        <v>3517.9398999999999</v>
      </c>
      <c r="M321" s="5">
        <v>3517.9398999999999</v>
      </c>
      <c r="N321" s="5">
        <v>3517.9398999999999</v>
      </c>
      <c r="O321" s="5">
        <v>1912</v>
      </c>
      <c r="Q321" s="6">
        <v>38611</v>
      </c>
      <c r="R321" s="7">
        <v>0.66666666666666663</v>
      </c>
      <c r="S321" s="5">
        <v>224</v>
      </c>
      <c r="T321" s="5">
        <v>228</v>
      </c>
      <c r="U321" s="5">
        <v>222.5</v>
      </c>
      <c r="V321" s="5">
        <v>224</v>
      </c>
      <c r="W321" s="5">
        <v>302600</v>
      </c>
      <c r="Y321" s="6">
        <f t="shared" si="8"/>
        <v>40277</v>
      </c>
      <c r="Z321" s="5">
        <f t="shared" si="9"/>
        <v>3517.9398999999999</v>
      </c>
      <c r="AA321" s="5">
        <v>129.19999999999999</v>
      </c>
      <c r="AB321" s="5">
        <v>100.42</v>
      </c>
    </row>
    <row r="322" spans="1:28" x14ac:dyDescent="0.3">
      <c r="A322" s="6">
        <v>38629</v>
      </c>
      <c r="B322" s="7">
        <v>0.66666666666666663</v>
      </c>
      <c r="C322" s="5">
        <v>154</v>
      </c>
      <c r="D322" s="5">
        <v>155.19999999999999</v>
      </c>
      <c r="E322" s="5">
        <v>153.69999999999999</v>
      </c>
      <c r="F322" s="5">
        <v>154</v>
      </c>
      <c r="G322" s="5">
        <v>11000</v>
      </c>
      <c r="I322" s="6">
        <v>40280</v>
      </c>
      <c r="J322" s="7">
        <v>0.66666666666666663</v>
      </c>
      <c r="K322" s="5">
        <v>3517.9398999999999</v>
      </c>
      <c r="L322" s="5">
        <v>3549.98</v>
      </c>
      <c r="M322" s="5">
        <v>3410</v>
      </c>
      <c r="N322" s="5">
        <v>3549.98</v>
      </c>
      <c r="O322" s="5">
        <v>951</v>
      </c>
      <c r="Q322" s="6">
        <v>38614</v>
      </c>
      <c r="R322" s="7">
        <v>0.66666666666666663</v>
      </c>
      <c r="S322" s="5">
        <v>224</v>
      </c>
      <c r="T322" s="5">
        <v>227.95</v>
      </c>
      <c r="U322" s="5">
        <v>222.9</v>
      </c>
      <c r="V322" s="5">
        <v>222.9</v>
      </c>
      <c r="W322" s="5">
        <v>154100</v>
      </c>
      <c r="Y322" s="6">
        <f t="shared" si="8"/>
        <v>40280</v>
      </c>
      <c r="Z322" s="5">
        <f t="shared" si="9"/>
        <v>3549.98</v>
      </c>
      <c r="AA322" s="5">
        <v>124.23</v>
      </c>
      <c r="AB322" s="5">
        <v>100.07</v>
      </c>
    </row>
    <row r="323" spans="1:28" x14ac:dyDescent="0.3">
      <c r="A323" s="6">
        <v>38630</v>
      </c>
      <c r="B323" s="7">
        <v>0.66666666666666663</v>
      </c>
      <c r="C323" s="5">
        <v>153</v>
      </c>
      <c r="D323" s="5">
        <v>154.5</v>
      </c>
      <c r="E323" s="5">
        <v>152.5</v>
      </c>
      <c r="F323" s="5">
        <v>152.9</v>
      </c>
      <c r="G323" s="5">
        <v>9200</v>
      </c>
      <c r="I323" s="6">
        <v>40281</v>
      </c>
      <c r="J323" s="7">
        <v>0.66666666666666663</v>
      </c>
      <c r="K323" s="5">
        <v>3575</v>
      </c>
      <c r="L323" s="5">
        <v>3727.47</v>
      </c>
      <c r="M323" s="5">
        <v>3575</v>
      </c>
      <c r="N323" s="5">
        <v>3575</v>
      </c>
      <c r="O323" s="5">
        <v>1703</v>
      </c>
      <c r="Q323" s="6">
        <v>38615</v>
      </c>
      <c r="R323" s="7">
        <v>0.66666666666666663</v>
      </c>
      <c r="S323" s="5">
        <v>222.95</v>
      </c>
      <c r="T323" s="5">
        <v>230</v>
      </c>
      <c r="U323" s="5">
        <v>222.95</v>
      </c>
      <c r="V323" s="5">
        <v>229.95</v>
      </c>
      <c r="W323" s="5">
        <v>435500</v>
      </c>
      <c r="Y323" s="6">
        <f t="shared" si="8"/>
        <v>40281</v>
      </c>
      <c r="Z323" s="5">
        <f t="shared" si="9"/>
        <v>3575</v>
      </c>
      <c r="AA323" s="5">
        <v>122.28</v>
      </c>
      <c r="AB323" s="5">
        <v>99.99</v>
      </c>
    </row>
    <row r="324" spans="1:28" x14ac:dyDescent="0.3">
      <c r="A324" s="6">
        <v>38631</v>
      </c>
      <c r="B324" s="7">
        <v>0.66666666666666663</v>
      </c>
      <c r="C324" s="5">
        <v>152.1</v>
      </c>
      <c r="D324" s="5">
        <v>152.94999999999999</v>
      </c>
      <c r="E324" s="5">
        <v>152.1</v>
      </c>
      <c r="F324" s="5">
        <v>152.4</v>
      </c>
      <c r="G324" s="5">
        <v>3500</v>
      </c>
      <c r="I324" s="6">
        <v>40282</v>
      </c>
      <c r="J324" s="7">
        <v>0.66666666666666663</v>
      </c>
      <c r="K324" s="5">
        <v>3576</v>
      </c>
      <c r="L324" s="5">
        <v>3576</v>
      </c>
      <c r="M324" s="5">
        <v>3576</v>
      </c>
      <c r="N324" s="5">
        <v>3576</v>
      </c>
      <c r="O324" s="5">
        <v>9</v>
      </c>
      <c r="Q324" s="6">
        <v>38616</v>
      </c>
      <c r="R324" s="7">
        <v>0.66666666666666663</v>
      </c>
      <c r="S324" s="5">
        <v>229.95</v>
      </c>
      <c r="T324" s="5">
        <v>240.7</v>
      </c>
      <c r="U324" s="5">
        <v>227.55</v>
      </c>
      <c r="V324" s="5">
        <v>238</v>
      </c>
      <c r="W324" s="5">
        <v>370100</v>
      </c>
      <c r="Y324" s="6">
        <f t="shared" ref="Y324:Y387" si="10">I324</f>
        <v>40282</v>
      </c>
      <c r="Z324" s="5">
        <f t="shared" ref="Z324:Z387" si="11">N324</f>
        <v>3576</v>
      </c>
      <c r="AA324" s="5">
        <v>123.63</v>
      </c>
      <c r="AB324" s="5">
        <v>100.95</v>
      </c>
    </row>
    <row r="325" spans="1:28" x14ac:dyDescent="0.3">
      <c r="A325" s="6">
        <v>38632</v>
      </c>
      <c r="B325" s="7">
        <v>0.66666666666666663</v>
      </c>
      <c r="C325" s="5">
        <v>152.1</v>
      </c>
      <c r="D325" s="5">
        <v>152.1</v>
      </c>
      <c r="E325" s="5">
        <v>152</v>
      </c>
      <c r="F325" s="5">
        <v>152</v>
      </c>
      <c r="G325" s="5">
        <v>1100</v>
      </c>
      <c r="I325" s="6">
        <v>40283</v>
      </c>
      <c r="J325" s="7">
        <v>0.66666666666666663</v>
      </c>
      <c r="K325" s="5">
        <v>3521</v>
      </c>
      <c r="L325" s="5">
        <v>3521</v>
      </c>
      <c r="M325" s="5">
        <v>3520</v>
      </c>
      <c r="N325" s="5">
        <v>3520.28</v>
      </c>
      <c r="O325" s="5">
        <v>18</v>
      </c>
      <c r="Q325" s="6">
        <v>38617</v>
      </c>
      <c r="R325" s="7">
        <v>0.66666666666666663</v>
      </c>
      <c r="S325" s="5">
        <v>238</v>
      </c>
      <c r="T325" s="5">
        <v>245</v>
      </c>
      <c r="U325" s="5">
        <v>233.9</v>
      </c>
      <c r="V325" s="5">
        <v>234</v>
      </c>
      <c r="W325" s="5">
        <v>461300</v>
      </c>
      <c r="Y325" s="6">
        <f t="shared" si="10"/>
        <v>40283</v>
      </c>
      <c r="Z325" s="5">
        <f t="shared" si="11"/>
        <v>3520.28</v>
      </c>
      <c r="AA325" s="5">
        <v>124.7</v>
      </c>
      <c r="AB325" s="5">
        <v>101</v>
      </c>
    </row>
    <row r="326" spans="1:28" x14ac:dyDescent="0.3">
      <c r="A326" s="6">
        <v>38635</v>
      </c>
      <c r="B326" s="7">
        <v>0.66666666666666663</v>
      </c>
      <c r="C326" s="5">
        <v>152.94999999999999</v>
      </c>
      <c r="D326" s="5">
        <v>155</v>
      </c>
      <c r="E326" s="5">
        <v>152</v>
      </c>
      <c r="F326" s="5">
        <v>154</v>
      </c>
      <c r="G326" s="5">
        <v>5200</v>
      </c>
      <c r="I326" s="6">
        <v>40284</v>
      </c>
      <c r="J326" s="7">
        <v>0.66666666666666663</v>
      </c>
      <c r="K326" s="5">
        <v>3520.28</v>
      </c>
      <c r="L326" s="5">
        <v>3550</v>
      </c>
      <c r="M326" s="5">
        <v>3450</v>
      </c>
      <c r="N326" s="5">
        <v>3550</v>
      </c>
      <c r="O326" s="5">
        <v>65</v>
      </c>
      <c r="Q326" s="6">
        <v>38618</v>
      </c>
      <c r="R326" s="7">
        <v>0.66666666666666663</v>
      </c>
      <c r="S326" s="5">
        <v>189</v>
      </c>
      <c r="T326" s="5">
        <v>189</v>
      </c>
      <c r="U326" s="5">
        <v>180</v>
      </c>
      <c r="V326" s="5">
        <v>185</v>
      </c>
      <c r="W326" s="5">
        <v>638600</v>
      </c>
      <c r="Y326" s="6">
        <f t="shared" si="10"/>
        <v>40284</v>
      </c>
      <c r="Z326" s="5">
        <f t="shared" si="11"/>
        <v>3550</v>
      </c>
      <c r="AA326" s="5">
        <v>122.82</v>
      </c>
      <c r="AB326" s="5">
        <v>102.17</v>
      </c>
    </row>
    <row r="327" spans="1:28" x14ac:dyDescent="0.3">
      <c r="A327" s="6">
        <v>38636</v>
      </c>
      <c r="B327" s="7">
        <v>0.66666666666666663</v>
      </c>
      <c r="C327" s="5">
        <v>154</v>
      </c>
      <c r="D327" s="5">
        <v>156.4</v>
      </c>
      <c r="E327" s="5">
        <v>154</v>
      </c>
      <c r="F327" s="5">
        <v>154.5</v>
      </c>
      <c r="G327" s="5">
        <v>17900</v>
      </c>
      <c r="I327" s="6">
        <v>40287</v>
      </c>
      <c r="J327" s="7">
        <v>0.66666666666666663</v>
      </c>
      <c r="K327" s="5">
        <v>3550</v>
      </c>
      <c r="L327" s="5">
        <v>3649</v>
      </c>
      <c r="M327" s="5">
        <v>3500</v>
      </c>
      <c r="N327" s="5">
        <v>3500.01</v>
      </c>
      <c r="O327" s="5">
        <v>534</v>
      </c>
      <c r="Q327" s="6">
        <v>38621</v>
      </c>
      <c r="R327" s="7">
        <v>0.66666666666666663</v>
      </c>
      <c r="S327" s="5">
        <v>185</v>
      </c>
      <c r="T327" s="5">
        <v>188.5</v>
      </c>
      <c r="U327" s="5">
        <v>179</v>
      </c>
      <c r="V327" s="5">
        <v>185.85</v>
      </c>
      <c r="W327" s="5">
        <v>744300</v>
      </c>
      <c r="Y327" s="6">
        <f t="shared" si="10"/>
        <v>40287</v>
      </c>
      <c r="Z327" s="5">
        <f t="shared" si="11"/>
        <v>3500.01</v>
      </c>
      <c r="AA327" s="5">
        <v>120.82</v>
      </c>
      <c r="AB327" s="5">
        <v>102.29</v>
      </c>
    </row>
    <row r="328" spans="1:28" x14ac:dyDescent="0.3">
      <c r="A328" s="6">
        <v>38637</v>
      </c>
      <c r="B328" s="7">
        <v>0.66666666666666663</v>
      </c>
      <c r="C328" s="5">
        <v>156.94999999999999</v>
      </c>
      <c r="D328" s="5">
        <v>157</v>
      </c>
      <c r="E328" s="5">
        <v>155.1</v>
      </c>
      <c r="F328" s="5">
        <v>156.75</v>
      </c>
      <c r="G328" s="5">
        <v>4600</v>
      </c>
      <c r="I328" s="6">
        <v>40288</v>
      </c>
      <c r="J328" s="7">
        <v>0.66666666666666663</v>
      </c>
      <c r="K328" s="5">
        <v>3500.01</v>
      </c>
      <c r="L328" s="5">
        <v>3675.01</v>
      </c>
      <c r="M328" s="5">
        <v>3410</v>
      </c>
      <c r="N328" s="5">
        <v>3675</v>
      </c>
      <c r="O328" s="5">
        <v>3030</v>
      </c>
      <c r="Q328" s="6">
        <v>38622</v>
      </c>
      <c r="R328" s="7">
        <v>0.66666666666666663</v>
      </c>
      <c r="S328" s="5">
        <v>185.85</v>
      </c>
      <c r="T328" s="5">
        <v>187.85</v>
      </c>
      <c r="U328" s="5">
        <v>181</v>
      </c>
      <c r="V328" s="5">
        <v>184</v>
      </c>
      <c r="W328" s="5">
        <v>365300</v>
      </c>
      <c r="Y328" s="6">
        <f t="shared" si="10"/>
        <v>40288</v>
      </c>
      <c r="Z328" s="5">
        <f t="shared" si="11"/>
        <v>3675</v>
      </c>
      <c r="AA328" s="5">
        <v>119.09</v>
      </c>
      <c r="AB328" s="5">
        <v>101.66</v>
      </c>
    </row>
    <row r="329" spans="1:28" x14ac:dyDescent="0.3">
      <c r="A329" s="6">
        <v>38638</v>
      </c>
      <c r="B329" s="7">
        <v>0.66666666666666663</v>
      </c>
      <c r="C329" s="5">
        <v>158.25</v>
      </c>
      <c r="D329" s="5">
        <v>164.55</v>
      </c>
      <c r="E329" s="5">
        <v>158</v>
      </c>
      <c r="F329" s="5">
        <v>164.55</v>
      </c>
      <c r="G329" s="5">
        <v>35400</v>
      </c>
      <c r="I329" s="6">
        <v>40289</v>
      </c>
      <c r="J329" s="7">
        <v>0.66666666666666663</v>
      </c>
      <c r="K329" s="5">
        <v>3710</v>
      </c>
      <c r="L329" s="5">
        <v>3858.75</v>
      </c>
      <c r="M329" s="5">
        <v>3710</v>
      </c>
      <c r="N329" s="5">
        <v>3800</v>
      </c>
      <c r="O329" s="5">
        <v>704</v>
      </c>
      <c r="Q329" s="6">
        <v>38623</v>
      </c>
      <c r="R329" s="7">
        <v>0.66666666666666663</v>
      </c>
      <c r="S329" s="5">
        <v>184</v>
      </c>
      <c r="T329" s="5">
        <v>184</v>
      </c>
      <c r="U329" s="5">
        <v>179</v>
      </c>
      <c r="V329" s="5">
        <v>180.5</v>
      </c>
      <c r="W329" s="5">
        <v>242900</v>
      </c>
      <c r="Y329" s="6">
        <f t="shared" si="10"/>
        <v>40289</v>
      </c>
      <c r="Z329" s="5">
        <f t="shared" si="11"/>
        <v>3800</v>
      </c>
      <c r="AA329" s="5">
        <v>116.23</v>
      </c>
      <c r="AB329" s="5">
        <v>101.66</v>
      </c>
    </row>
    <row r="330" spans="1:28" x14ac:dyDescent="0.3">
      <c r="A330" s="6">
        <v>38639</v>
      </c>
      <c r="B330" s="7">
        <v>0.66666666666666663</v>
      </c>
      <c r="C330" s="5">
        <v>167.55</v>
      </c>
      <c r="D330" s="5">
        <v>172.75</v>
      </c>
      <c r="E330" s="5">
        <v>167.55</v>
      </c>
      <c r="F330" s="5">
        <v>172.75</v>
      </c>
      <c r="G330" s="5">
        <v>16900</v>
      </c>
      <c r="I330" s="6">
        <v>40290</v>
      </c>
      <c r="J330" s="7">
        <v>0.66666666666666663</v>
      </c>
      <c r="K330" s="5">
        <v>3800</v>
      </c>
      <c r="L330" s="5">
        <v>3960</v>
      </c>
      <c r="M330" s="5">
        <v>3800</v>
      </c>
      <c r="N330" s="5">
        <v>3890</v>
      </c>
      <c r="O330" s="5">
        <v>103</v>
      </c>
      <c r="Q330" s="6">
        <v>38624</v>
      </c>
      <c r="R330" s="7">
        <v>0.66666666666666663</v>
      </c>
      <c r="S330" s="5">
        <v>180.5</v>
      </c>
      <c r="T330" s="5">
        <v>182.5</v>
      </c>
      <c r="U330" s="5">
        <v>178.05</v>
      </c>
      <c r="V330" s="5">
        <v>180.9</v>
      </c>
      <c r="W330" s="5">
        <v>246700</v>
      </c>
      <c r="Y330" s="6">
        <f t="shared" si="10"/>
        <v>40290</v>
      </c>
      <c r="Z330" s="5">
        <f t="shared" si="11"/>
        <v>3890</v>
      </c>
      <c r="AA330" s="5">
        <v>117.7</v>
      </c>
      <c r="AB330" s="5">
        <v>101.35</v>
      </c>
    </row>
    <row r="331" spans="1:28" x14ac:dyDescent="0.3">
      <c r="A331" s="6">
        <v>38642</v>
      </c>
      <c r="B331" s="7">
        <v>0.66666666666666663</v>
      </c>
      <c r="C331" s="5">
        <v>179</v>
      </c>
      <c r="D331" s="5">
        <v>181.35</v>
      </c>
      <c r="E331" s="5">
        <v>179</v>
      </c>
      <c r="F331" s="5">
        <v>181.35</v>
      </c>
      <c r="G331" s="5">
        <v>44100</v>
      </c>
      <c r="I331" s="6">
        <v>40291</v>
      </c>
      <c r="J331" s="7">
        <v>0.66666666666666663</v>
      </c>
      <c r="K331" s="5">
        <v>3890</v>
      </c>
      <c r="L331" s="5">
        <v>3890</v>
      </c>
      <c r="M331" s="5">
        <v>3740</v>
      </c>
      <c r="N331" s="5">
        <v>3791.1100999999999</v>
      </c>
      <c r="O331" s="5">
        <v>78</v>
      </c>
      <c r="Q331" s="6">
        <v>38625</v>
      </c>
      <c r="R331" s="7">
        <v>0.66666666666666663</v>
      </c>
      <c r="S331" s="5">
        <v>180.9</v>
      </c>
      <c r="T331" s="5">
        <v>182</v>
      </c>
      <c r="U331" s="5">
        <v>179</v>
      </c>
      <c r="V331" s="5">
        <v>180.5</v>
      </c>
      <c r="W331" s="5">
        <v>180800</v>
      </c>
      <c r="Y331" s="6">
        <f t="shared" si="10"/>
        <v>40291</v>
      </c>
      <c r="Z331" s="5">
        <f t="shared" si="11"/>
        <v>3791.1100999999999</v>
      </c>
      <c r="AA331" s="5">
        <v>117.6</v>
      </c>
      <c r="AB331" s="5">
        <v>101.89</v>
      </c>
    </row>
    <row r="332" spans="1:28" x14ac:dyDescent="0.3">
      <c r="A332" s="6">
        <v>38643</v>
      </c>
      <c r="B332" s="7">
        <v>0.66666666666666663</v>
      </c>
      <c r="C332" s="5">
        <v>186.85</v>
      </c>
      <c r="D332" s="5">
        <v>187</v>
      </c>
      <c r="E332" s="5">
        <v>172.3</v>
      </c>
      <c r="F332" s="5">
        <v>172.3</v>
      </c>
      <c r="G332" s="5">
        <v>63400</v>
      </c>
      <c r="I332" s="6">
        <v>40294</v>
      </c>
      <c r="J332" s="7">
        <v>0.66666666666666663</v>
      </c>
      <c r="K332" s="5">
        <v>3791.1100999999999</v>
      </c>
      <c r="L332" s="5">
        <v>3960</v>
      </c>
      <c r="M332" s="5">
        <v>3745</v>
      </c>
      <c r="N332" s="5">
        <v>3910.4198999999999</v>
      </c>
      <c r="O332" s="5">
        <v>2894</v>
      </c>
      <c r="Q332" s="6">
        <v>38628</v>
      </c>
      <c r="R332" s="7">
        <v>0.66666666666666663</v>
      </c>
      <c r="S332" s="5">
        <v>180.5</v>
      </c>
      <c r="T332" s="5">
        <v>183.45</v>
      </c>
      <c r="U332" s="5">
        <v>179.75</v>
      </c>
      <c r="V332" s="5">
        <v>180.9</v>
      </c>
      <c r="W332" s="5">
        <v>401300</v>
      </c>
      <c r="Y332" s="6">
        <f t="shared" si="10"/>
        <v>40294</v>
      </c>
      <c r="Z332" s="5">
        <f t="shared" si="11"/>
        <v>3910.4198999999999</v>
      </c>
      <c r="AA332" s="5">
        <v>115.67</v>
      </c>
      <c r="AB332" s="5">
        <v>101.03</v>
      </c>
    </row>
    <row r="333" spans="1:28" x14ac:dyDescent="0.3">
      <c r="A333" s="6">
        <v>38644</v>
      </c>
      <c r="B333" s="7">
        <v>0.66666666666666663</v>
      </c>
      <c r="C333" s="5">
        <v>168.5</v>
      </c>
      <c r="D333" s="5">
        <v>177.35</v>
      </c>
      <c r="E333" s="5">
        <v>168.5</v>
      </c>
      <c r="F333" s="5">
        <v>176.4</v>
      </c>
      <c r="G333" s="5">
        <v>22400</v>
      </c>
      <c r="I333" s="6">
        <v>40295</v>
      </c>
      <c r="J333" s="7">
        <v>0.66666666666666663</v>
      </c>
      <c r="K333" s="5">
        <v>3910.4198999999999</v>
      </c>
      <c r="L333" s="5">
        <v>3980</v>
      </c>
      <c r="M333" s="5">
        <v>3812</v>
      </c>
      <c r="N333" s="5">
        <v>3953.21</v>
      </c>
      <c r="O333" s="5">
        <v>228</v>
      </c>
      <c r="Q333" s="6">
        <v>38629</v>
      </c>
      <c r="R333" s="7">
        <v>0.66666666666666663</v>
      </c>
      <c r="S333" s="5">
        <v>180.9</v>
      </c>
      <c r="T333" s="5">
        <v>184.9</v>
      </c>
      <c r="U333" s="5">
        <v>179.8</v>
      </c>
      <c r="V333" s="5">
        <v>181.85</v>
      </c>
      <c r="W333" s="5">
        <v>494600</v>
      </c>
      <c r="Y333" s="6">
        <f t="shared" si="10"/>
        <v>40295</v>
      </c>
      <c r="Z333" s="5">
        <f t="shared" si="11"/>
        <v>3953.21</v>
      </c>
      <c r="AA333" s="5">
        <v>114.13</v>
      </c>
      <c r="AB333" s="5">
        <v>100.68</v>
      </c>
    </row>
    <row r="334" spans="1:28" x14ac:dyDescent="0.3">
      <c r="A334" s="6">
        <v>38645</v>
      </c>
      <c r="B334" s="7">
        <v>0.66666666666666663</v>
      </c>
      <c r="C334" s="5">
        <v>182.7</v>
      </c>
      <c r="D334" s="5">
        <v>182.7</v>
      </c>
      <c r="E334" s="5">
        <v>168</v>
      </c>
      <c r="F334" s="5">
        <v>170</v>
      </c>
      <c r="G334" s="5">
        <v>26700</v>
      </c>
      <c r="I334" s="6">
        <v>40296</v>
      </c>
      <c r="J334" s="7">
        <v>0.66666666666666663</v>
      </c>
      <c r="K334" s="5">
        <v>3971</v>
      </c>
      <c r="L334" s="5">
        <v>4150.8701000000001</v>
      </c>
      <c r="M334" s="5">
        <v>3971</v>
      </c>
      <c r="N334" s="5">
        <v>4150.8701000000001</v>
      </c>
      <c r="O334" s="5">
        <v>4235</v>
      </c>
      <c r="Q334" s="6">
        <v>38630</v>
      </c>
      <c r="R334" s="7">
        <v>0.66666666666666663</v>
      </c>
      <c r="S334" s="5">
        <v>181.85</v>
      </c>
      <c r="T334" s="5">
        <v>190</v>
      </c>
      <c r="U334" s="5">
        <v>179.8</v>
      </c>
      <c r="V334" s="5">
        <v>188.75</v>
      </c>
      <c r="W334" s="5">
        <v>1407900</v>
      </c>
      <c r="Y334" s="6">
        <f t="shared" si="10"/>
        <v>40296</v>
      </c>
      <c r="Z334" s="5">
        <f t="shared" si="11"/>
        <v>4150.8701000000001</v>
      </c>
      <c r="AA334" s="5">
        <v>112.82</v>
      </c>
      <c r="AB334" s="5">
        <v>99.12</v>
      </c>
    </row>
    <row r="335" spans="1:28" x14ac:dyDescent="0.3">
      <c r="A335" s="6">
        <v>38646</v>
      </c>
      <c r="B335" s="7">
        <v>0.66666666666666663</v>
      </c>
      <c r="C335" s="5">
        <v>174.95</v>
      </c>
      <c r="D335" s="5">
        <v>174.95</v>
      </c>
      <c r="E335" s="5">
        <v>165.35</v>
      </c>
      <c r="F335" s="5">
        <v>168</v>
      </c>
      <c r="G335" s="5">
        <v>14400</v>
      </c>
      <c r="I335" s="6">
        <v>40297</v>
      </c>
      <c r="J335" s="7">
        <v>0.66666666666666663</v>
      </c>
      <c r="K335" s="5">
        <v>4290</v>
      </c>
      <c r="L335" s="5">
        <v>4358.4102000000003</v>
      </c>
      <c r="M335" s="5">
        <v>4290</v>
      </c>
      <c r="N335" s="5">
        <v>4349</v>
      </c>
      <c r="O335" s="5">
        <v>742</v>
      </c>
      <c r="Q335" s="6">
        <v>38631</v>
      </c>
      <c r="R335" s="7">
        <v>0.66666666666666663</v>
      </c>
      <c r="S335" s="5">
        <v>188.75</v>
      </c>
      <c r="T335" s="5">
        <v>195</v>
      </c>
      <c r="U335" s="5">
        <v>187</v>
      </c>
      <c r="V335" s="5">
        <v>193</v>
      </c>
      <c r="W335" s="5">
        <v>1271000</v>
      </c>
      <c r="Y335" s="6">
        <f t="shared" si="10"/>
        <v>40297</v>
      </c>
      <c r="Z335" s="5">
        <f t="shared" si="11"/>
        <v>4349</v>
      </c>
      <c r="AA335" s="5">
        <v>111.07</v>
      </c>
      <c r="AB335" s="5">
        <v>98.15</v>
      </c>
    </row>
    <row r="336" spans="1:28" x14ac:dyDescent="0.3">
      <c r="A336" s="6">
        <v>38649</v>
      </c>
      <c r="B336" s="7">
        <v>0.66666666666666663</v>
      </c>
      <c r="C336" s="5">
        <v>165.05</v>
      </c>
      <c r="D336" s="5">
        <v>172.7</v>
      </c>
      <c r="E336" s="5">
        <v>165.05</v>
      </c>
      <c r="F336" s="5">
        <v>172.5</v>
      </c>
      <c r="G336" s="5">
        <v>14100</v>
      </c>
      <c r="I336" s="6">
        <v>40298</v>
      </c>
      <c r="J336" s="7">
        <v>0.66666666666666663</v>
      </c>
      <c r="K336" s="5">
        <v>4349</v>
      </c>
      <c r="L336" s="5">
        <v>4562</v>
      </c>
      <c r="M336" s="5">
        <v>4141</v>
      </c>
      <c r="N336" s="5">
        <v>4450.29</v>
      </c>
      <c r="O336" s="5">
        <v>199</v>
      </c>
      <c r="Q336" s="6">
        <v>38632</v>
      </c>
      <c r="R336" s="7">
        <v>0.66666666666666663</v>
      </c>
      <c r="S336" s="5">
        <v>193</v>
      </c>
      <c r="T336" s="5">
        <v>202.65</v>
      </c>
      <c r="U336" s="5">
        <v>192</v>
      </c>
      <c r="V336" s="5">
        <v>200.85</v>
      </c>
      <c r="W336" s="5">
        <v>1086600</v>
      </c>
      <c r="Y336" s="6">
        <f t="shared" si="10"/>
        <v>40298</v>
      </c>
      <c r="Z336" s="5">
        <f t="shared" si="11"/>
        <v>4450.29</v>
      </c>
      <c r="AA336" s="5">
        <v>108.99</v>
      </c>
      <c r="AB336" s="5">
        <v>98.8</v>
      </c>
    </row>
    <row r="337" spans="1:28" x14ac:dyDescent="0.3">
      <c r="A337" s="6">
        <v>38650</v>
      </c>
      <c r="B337" s="7">
        <v>0.66666666666666663</v>
      </c>
      <c r="C337" s="5">
        <v>176.5</v>
      </c>
      <c r="D337" s="5">
        <v>176.5</v>
      </c>
      <c r="E337" s="5">
        <v>170</v>
      </c>
      <c r="F337" s="5">
        <v>172.5</v>
      </c>
      <c r="G337" s="5">
        <v>22600</v>
      </c>
      <c r="I337" s="6">
        <v>40301</v>
      </c>
      <c r="J337" s="7">
        <v>0.66666666666666663</v>
      </c>
      <c r="K337" s="5">
        <v>4450.29</v>
      </c>
      <c r="L337" s="5">
        <v>4640</v>
      </c>
      <c r="M337" s="5">
        <v>4370.0497999999998</v>
      </c>
      <c r="N337" s="5">
        <v>4505.4198999999999</v>
      </c>
      <c r="O337" s="5">
        <v>529</v>
      </c>
      <c r="Q337" s="6">
        <v>38635</v>
      </c>
      <c r="R337" s="7">
        <v>0.66666666666666663</v>
      </c>
      <c r="S337" s="5">
        <v>200.85</v>
      </c>
      <c r="T337" s="5">
        <v>209</v>
      </c>
      <c r="U337" s="5">
        <v>197.5</v>
      </c>
      <c r="V337" s="5">
        <v>207.5</v>
      </c>
      <c r="W337" s="5">
        <v>868000</v>
      </c>
      <c r="Y337" s="6">
        <f t="shared" si="10"/>
        <v>40301</v>
      </c>
      <c r="Z337" s="5">
        <f t="shared" si="11"/>
        <v>4505.4198999999999</v>
      </c>
      <c r="AA337" s="5">
        <v>109.7</v>
      </c>
      <c r="AB337" s="5">
        <v>98.75</v>
      </c>
    </row>
    <row r="338" spans="1:28" x14ac:dyDescent="0.3">
      <c r="A338" s="6">
        <v>38651</v>
      </c>
      <c r="B338" s="7">
        <v>0.66666666666666663</v>
      </c>
      <c r="C338" s="5">
        <v>172</v>
      </c>
      <c r="D338" s="5">
        <v>173</v>
      </c>
      <c r="E338" s="5">
        <v>169</v>
      </c>
      <c r="F338" s="5">
        <v>170</v>
      </c>
      <c r="G338" s="5">
        <v>20200</v>
      </c>
      <c r="I338" s="6">
        <v>40302</v>
      </c>
      <c r="J338" s="7">
        <v>0.66666666666666663</v>
      </c>
      <c r="K338" s="5">
        <v>4505.4198999999999</v>
      </c>
      <c r="L338" s="5">
        <v>4691</v>
      </c>
      <c r="M338" s="5">
        <v>4440</v>
      </c>
      <c r="N338" s="5">
        <v>4445.8798999999999</v>
      </c>
      <c r="O338" s="5">
        <v>857</v>
      </c>
      <c r="Q338" s="6">
        <v>38636</v>
      </c>
      <c r="R338" s="7">
        <v>0.66666666666666663</v>
      </c>
      <c r="S338" s="5">
        <v>207.5</v>
      </c>
      <c r="T338" s="5">
        <v>217.85</v>
      </c>
      <c r="U338" s="5">
        <v>207</v>
      </c>
      <c r="V338" s="5">
        <v>217.85</v>
      </c>
      <c r="W338" s="5">
        <v>1117400</v>
      </c>
      <c r="Y338" s="6">
        <f t="shared" si="10"/>
        <v>40302</v>
      </c>
      <c r="Z338" s="5">
        <f t="shared" si="11"/>
        <v>4445.8798999999999</v>
      </c>
      <c r="AA338" s="5">
        <v>114.82</v>
      </c>
      <c r="AB338" s="5">
        <v>98.88</v>
      </c>
    </row>
    <row r="339" spans="1:28" x14ac:dyDescent="0.3">
      <c r="A339" s="6">
        <v>38652</v>
      </c>
      <c r="B339" s="7">
        <v>0.66666666666666663</v>
      </c>
      <c r="C339" s="5">
        <v>170</v>
      </c>
      <c r="D339" s="5">
        <v>170</v>
      </c>
      <c r="E339" s="5">
        <v>168.75</v>
      </c>
      <c r="F339" s="5">
        <v>170</v>
      </c>
      <c r="G339" s="5">
        <v>8700</v>
      </c>
      <c r="I339" s="6">
        <v>40303</v>
      </c>
      <c r="J339" s="7">
        <v>0.66666666666666663</v>
      </c>
      <c r="K339" s="5">
        <v>4445.8798999999999</v>
      </c>
      <c r="L339" s="5">
        <v>4668</v>
      </c>
      <c r="M339" s="5">
        <v>4301</v>
      </c>
      <c r="N339" s="5">
        <v>4518.4102000000003</v>
      </c>
      <c r="O339" s="5">
        <v>1158</v>
      </c>
      <c r="Q339" s="6">
        <v>38637</v>
      </c>
      <c r="R339" s="7">
        <v>0.66666666666666663</v>
      </c>
      <c r="S339" s="5">
        <v>221.2</v>
      </c>
      <c r="T339" s="5">
        <v>228.7</v>
      </c>
      <c r="U339" s="5">
        <v>221.2</v>
      </c>
      <c r="V339" s="5">
        <v>228.7</v>
      </c>
      <c r="W339" s="5">
        <v>962000</v>
      </c>
      <c r="Y339" s="6">
        <f t="shared" si="10"/>
        <v>40303</v>
      </c>
      <c r="Z339" s="5">
        <f t="shared" si="11"/>
        <v>4518.4102000000003</v>
      </c>
      <c r="AA339" s="5">
        <v>113.3</v>
      </c>
      <c r="AB339" s="5">
        <v>98.83</v>
      </c>
    </row>
    <row r="340" spans="1:28" x14ac:dyDescent="0.3">
      <c r="A340" s="6">
        <v>38656</v>
      </c>
      <c r="B340" s="7">
        <v>0.66666666666666663</v>
      </c>
      <c r="C340" s="5">
        <v>168.5</v>
      </c>
      <c r="D340" s="5">
        <v>169.95</v>
      </c>
      <c r="E340" s="5">
        <v>167</v>
      </c>
      <c r="F340" s="5">
        <v>169.95</v>
      </c>
      <c r="G340" s="5">
        <v>13600</v>
      </c>
      <c r="I340" s="6">
        <v>40304</v>
      </c>
      <c r="J340" s="7">
        <v>0.66666666666666663</v>
      </c>
      <c r="K340" s="5">
        <v>4518.4102000000003</v>
      </c>
      <c r="L340" s="5">
        <v>4595</v>
      </c>
      <c r="M340" s="5">
        <v>4500</v>
      </c>
      <c r="N340" s="5">
        <v>4540</v>
      </c>
      <c r="O340" s="5">
        <v>415</v>
      </c>
      <c r="Q340" s="6">
        <v>38638</v>
      </c>
      <c r="R340" s="7">
        <v>0.66666666666666663</v>
      </c>
      <c r="S340" s="5">
        <v>231.5</v>
      </c>
      <c r="T340" s="5">
        <v>240</v>
      </c>
      <c r="U340" s="5">
        <v>231.5</v>
      </c>
      <c r="V340" s="5">
        <v>235.95</v>
      </c>
      <c r="W340" s="5">
        <v>804100</v>
      </c>
      <c r="Y340" s="6">
        <f t="shared" si="10"/>
        <v>40304</v>
      </c>
      <c r="Z340" s="5">
        <f t="shared" si="11"/>
        <v>4540</v>
      </c>
      <c r="AA340" s="5">
        <v>112.44</v>
      </c>
      <c r="AB340" s="5">
        <v>99.47</v>
      </c>
    </row>
    <row r="341" spans="1:28" x14ac:dyDescent="0.3">
      <c r="A341" s="6">
        <v>38658</v>
      </c>
      <c r="B341" s="7">
        <v>0.66666666666666663</v>
      </c>
      <c r="C341" s="5">
        <v>168.05</v>
      </c>
      <c r="D341" s="5">
        <v>172</v>
      </c>
      <c r="E341" s="5">
        <v>167.55</v>
      </c>
      <c r="F341" s="5">
        <v>170</v>
      </c>
      <c r="G341" s="5">
        <v>10400</v>
      </c>
      <c r="I341" s="6">
        <v>40305</v>
      </c>
      <c r="J341" s="7">
        <v>0.66666666666666663</v>
      </c>
      <c r="K341" s="5">
        <v>4500</v>
      </c>
      <c r="L341" s="5">
        <v>4500</v>
      </c>
      <c r="M341" s="5">
        <v>4315</v>
      </c>
      <c r="N341" s="5">
        <v>4315.5801000000001</v>
      </c>
      <c r="O341" s="5">
        <v>351</v>
      </c>
      <c r="Q341" s="6">
        <v>38639</v>
      </c>
      <c r="R341" s="7">
        <v>0.66666666666666663</v>
      </c>
      <c r="S341" s="5">
        <v>235.95</v>
      </c>
      <c r="T341" s="5">
        <v>245</v>
      </c>
      <c r="U341" s="5">
        <v>233.25</v>
      </c>
      <c r="V341" s="5">
        <v>237.1</v>
      </c>
      <c r="W341" s="5">
        <v>1246000</v>
      </c>
      <c r="Y341" s="6">
        <f t="shared" si="10"/>
        <v>40305</v>
      </c>
      <c r="Z341" s="5">
        <f t="shared" si="11"/>
        <v>4315.5801000000001</v>
      </c>
      <c r="AA341" s="5">
        <v>108.18</v>
      </c>
      <c r="AB341" s="5">
        <v>98.61</v>
      </c>
    </row>
    <row r="342" spans="1:28" x14ac:dyDescent="0.3">
      <c r="A342" s="6">
        <v>38663</v>
      </c>
      <c r="B342" s="7">
        <v>0.66666666666666663</v>
      </c>
      <c r="C342" s="5">
        <v>171.9</v>
      </c>
      <c r="D342" s="5">
        <v>172</v>
      </c>
      <c r="E342" s="5">
        <v>171.05</v>
      </c>
      <c r="F342" s="5">
        <v>172</v>
      </c>
      <c r="G342" s="5">
        <v>6800</v>
      </c>
      <c r="I342" s="6">
        <v>40308</v>
      </c>
      <c r="J342" s="7">
        <v>0.66666666666666663</v>
      </c>
      <c r="K342" s="5">
        <v>4315.5801000000001</v>
      </c>
      <c r="L342" s="5">
        <v>4487</v>
      </c>
      <c r="M342" s="5">
        <v>4130</v>
      </c>
      <c r="N342" s="5">
        <v>4239.9902000000002</v>
      </c>
      <c r="O342" s="5">
        <v>37</v>
      </c>
      <c r="Q342" s="6">
        <v>38642</v>
      </c>
      <c r="R342" s="7">
        <v>0.66666666666666663</v>
      </c>
      <c r="S342" s="5">
        <v>237.1</v>
      </c>
      <c r="T342" s="5">
        <v>241.5</v>
      </c>
      <c r="U342" s="5">
        <v>225.25</v>
      </c>
      <c r="V342" s="5">
        <v>225.25</v>
      </c>
      <c r="W342" s="5">
        <v>449300</v>
      </c>
      <c r="Y342" s="6">
        <f t="shared" si="10"/>
        <v>40308</v>
      </c>
      <c r="Z342" s="5">
        <f t="shared" si="11"/>
        <v>4239.9902000000002</v>
      </c>
      <c r="AA342" s="5">
        <v>108.63</v>
      </c>
      <c r="AB342" s="5">
        <v>99.08</v>
      </c>
    </row>
    <row r="343" spans="1:28" x14ac:dyDescent="0.3">
      <c r="A343" s="6">
        <v>38664</v>
      </c>
      <c r="B343" s="7">
        <v>0.66666666666666663</v>
      </c>
      <c r="C343" s="5">
        <v>172.45</v>
      </c>
      <c r="D343" s="5">
        <v>173</v>
      </c>
      <c r="E343" s="5">
        <v>171</v>
      </c>
      <c r="F343" s="5">
        <v>173</v>
      </c>
      <c r="G343" s="5">
        <v>5400</v>
      </c>
      <c r="I343" s="6">
        <v>40309</v>
      </c>
      <c r="J343" s="7">
        <v>0.66666666666666663</v>
      </c>
      <c r="K343" s="5">
        <v>4239.9902000000002</v>
      </c>
      <c r="L343" s="5">
        <v>4246</v>
      </c>
      <c r="M343" s="5">
        <v>4125</v>
      </c>
      <c r="N343" s="5">
        <v>4245.8798999999999</v>
      </c>
      <c r="O343" s="5">
        <v>132</v>
      </c>
      <c r="Q343" s="6">
        <v>38643</v>
      </c>
      <c r="R343" s="7">
        <v>0.66666666666666663</v>
      </c>
      <c r="S343" s="5">
        <v>214</v>
      </c>
      <c r="T343" s="5">
        <v>214</v>
      </c>
      <c r="U343" s="5">
        <v>214</v>
      </c>
      <c r="V343" s="5">
        <v>214</v>
      </c>
      <c r="W343" s="5">
        <v>46300</v>
      </c>
      <c r="Y343" s="6">
        <f t="shared" si="10"/>
        <v>40309</v>
      </c>
      <c r="Z343" s="5">
        <f t="shared" si="11"/>
        <v>4245.8798999999999</v>
      </c>
      <c r="AA343" s="5">
        <v>107.44</v>
      </c>
      <c r="AB343" s="5">
        <v>98.04</v>
      </c>
    </row>
    <row r="344" spans="1:28" x14ac:dyDescent="0.3">
      <c r="A344" s="6">
        <v>38666</v>
      </c>
      <c r="B344" s="7">
        <v>0.66666666666666663</v>
      </c>
      <c r="C344" s="5">
        <v>172</v>
      </c>
      <c r="D344" s="5">
        <v>174</v>
      </c>
      <c r="E344" s="5">
        <v>172</v>
      </c>
      <c r="F344" s="5">
        <v>174</v>
      </c>
      <c r="G344" s="5">
        <v>19700</v>
      </c>
      <c r="I344" s="6">
        <v>40310</v>
      </c>
      <c r="J344" s="7">
        <v>0.66666666666666663</v>
      </c>
      <c r="K344" s="5">
        <v>4245.8798999999999</v>
      </c>
      <c r="L344" s="5">
        <v>4320</v>
      </c>
      <c r="M344" s="5">
        <v>4051.01</v>
      </c>
      <c r="N344" s="5">
        <v>4223.4301999999998</v>
      </c>
      <c r="O344" s="5">
        <v>571</v>
      </c>
      <c r="Q344" s="6">
        <v>38644</v>
      </c>
      <c r="R344" s="7">
        <v>0.66666666666666663</v>
      </c>
      <c r="S344" s="5">
        <v>203.3</v>
      </c>
      <c r="T344" s="5">
        <v>203.3</v>
      </c>
      <c r="U344" s="5">
        <v>203.3</v>
      </c>
      <c r="V344" s="5">
        <v>203.3</v>
      </c>
      <c r="W344" s="5">
        <v>38800</v>
      </c>
      <c r="Y344" s="6">
        <f t="shared" si="10"/>
        <v>40310</v>
      </c>
      <c r="Z344" s="5">
        <f t="shared" si="11"/>
        <v>4223.4301999999998</v>
      </c>
      <c r="AA344" s="5">
        <v>106.94</v>
      </c>
      <c r="AB344" s="5">
        <v>99.12</v>
      </c>
    </row>
    <row r="345" spans="1:28" x14ac:dyDescent="0.3">
      <c r="A345" s="6">
        <v>38667</v>
      </c>
      <c r="B345" s="7">
        <v>0.66666666666666663</v>
      </c>
      <c r="C345" s="5">
        <v>173.2</v>
      </c>
      <c r="D345" s="5">
        <v>174.9</v>
      </c>
      <c r="E345" s="5">
        <v>173.2</v>
      </c>
      <c r="F345" s="5">
        <v>173.5</v>
      </c>
      <c r="G345" s="5">
        <v>3100</v>
      </c>
      <c r="I345" s="6">
        <v>40311</v>
      </c>
      <c r="J345" s="7">
        <v>0.66666666666666663</v>
      </c>
      <c r="K345" s="5">
        <v>4223.4301999999998</v>
      </c>
      <c r="L345" s="5">
        <v>4250</v>
      </c>
      <c r="M345" s="5">
        <v>4101</v>
      </c>
      <c r="N345" s="5">
        <v>4138.6099000000004</v>
      </c>
      <c r="O345" s="5">
        <v>53</v>
      </c>
      <c r="Q345" s="6">
        <v>38645</v>
      </c>
      <c r="R345" s="7">
        <v>0.66666666666666663</v>
      </c>
      <c r="S345" s="5">
        <v>203.3</v>
      </c>
      <c r="T345" s="5">
        <v>210</v>
      </c>
      <c r="U345" s="5">
        <v>193.15</v>
      </c>
      <c r="V345" s="5">
        <v>193.15</v>
      </c>
      <c r="W345" s="5">
        <v>2362500</v>
      </c>
      <c r="Y345" s="6">
        <f t="shared" si="10"/>
        <v>40311</v>
      </c>
      <c r="Z345" s="5">
        <f t="shared" si="11"/>
        <v>4138.6099000000004</v>
      </c>
      <c r="AA345" s="5">
        <v>107.4</v>
      </c>
      <c r="AB345" s="5">
        <v>99.15</v>
      </c>
    </row>
    <row r="346" spans="1:28" x14ac:dyDescent="0.3">
      <c r="A346" s="6">
        <v>38670</v>
      </c>
      <c r="B346" s="7">
        <v>0.66666666666666663</v>
      </c>
      <c r="C346" s="5">
        <v>173.25</v>
      </c>
      <c r="D346" s="5">
        <v>174.8</v>
      </c>
      <c r="E346" s="5">
        <v>173.25</v>
      </c>
      <c r="F346" s="5">
        <v>174.5</v>
      </c>
      <c r="G346" s="5">
        <v>10100</v>
      </c>
      <c r="I346" s="6">
        <v>40312</v>
      </c>
      <c r="J346" s="7">
        <v>0.66666666666666663</v>
      </c>
      <c r="K346" s="5">
        <v>4138.6099000000004</v>
      </c>
      <c r="L346" s="5">
        <v>4190</v>
      </c>
      <c r="M346" s="5">
        <v>4047</v>
      </c>
      <c r="N346" s="5">
        <v>4050.04</v>
      </c>
      <c r="O346" s="5">
        <v>375</v>
      </c>
      <c r="Q346" s="6">
        <v>38646</v>
      </c>
      <c r="R346" s="7">
        <v>0.66666666666666663</v>
      </c>
      <c r="S346" s="5">
        <v>193.15</v>
      </c>
      <c r="T346" s="5">
        <v>199</v>
      </c>
      <c r="U346" s="5">
        <v>186</v>
      </c>
      <c r="V346" s="5">
        <v>191.9</v>
      </c>
      <c r="W346" s="5">
        <v>694400</v>
      </c>
      <c r="Y346" s="6">
        <f t="shared" si="10"/>
        <v>40312</v>
      </c>
      <c r="Z346" s="5">
        <f t="shared" si="11"/>
        <v>4050.04</v>
      </c>
      <c r="AA346" s="5">
        <v>106.01</v>
      </c>
      <c r="AB346" s="5">
        <v>99</v>
      </c>
    </row>
    <row r="347" spans="1:28" x14ac:dyDescent="0.3">
      <c r="A347" s="6">
        <v>38671</v>
      </c>
      <c r="B347" s="7">
        <v>0.66666666666666663</v>
      </c>
      <c r="C347" s="5">
        <v>174</v>
      </c>
      <c r="D347" s="5">
        <v>183.2</v>
      </c>
      <c r="E347" s="5">
        <v>174</v>
      </c>
      <c r="F347" s="5">
        <v>182</v>
      </c>
      <c r="G347" s="5">
        <v>45000</v>
      </c>
      <c r="I347" s="6">
        <v>40315</v>
      </c>
      <c r="J347" s="7">
        <v>0.66666666666666663</v>
      </c>
      <c r="K347" s="5">
        <v>4030</v>
      </c>
      <c r="L347" s="5">
        <v>4030</v>
      </c>
      <c r="M347" s="5">
        <v>3900.05</v>
      </c>
      <c r="N347" s="5">
        <v>3902.5</v>
      </c>
      <c r="O347" s="5">
        <v>10</v>
      </c>
      <c r="Q347" s="6">
        <v>38649</v>
      </c>
      <c r="R347" s="7">
        <v>0.66666666666666663</v>
      </c>
      <c r="S347" s="5">
        <v>191.9</v>
      </c>
      <c r="T347" s="5">
        <v>196</v>
      </c>
      <c r="U347" s="5">
        <v>189.5</v>
      </c>
      <c r="V347" s="5">
        <v>193</v>
      </c>
      <c r="W347" s="5">
        <v>387100</v>
      </c>
      <c r="Y347" s="6">
        <f t="shared" si="10"/>
        <v>40315</v>
      </c>
      <c r="Z347" s="5">
        <f t="shared" si="11"/>
        <v>3902.5</v>
      </c>
      <c r="AA347" s="5">
        <v>100.78</v>
      </c>
      <c r="AB347" s="5">
        <v>98.06</v>
      </c>
    </row>
    <row r="348" spans="1:28" x14ac:dyDescent="0.3">
      <c r="A348" s="6">
        <v>38672</v>
      </c>
      <c r="B348" s="7">
        <v>0.66666666666666663</v>
      </c>
      <c r="C348" s="5">
        <v>183</v>
      </c>
      <c r="D348" s="5">
        <v>187</v>
      </c>
      <c r="E348" s="5">
        <v>183</v>
      </c>
      <c r="F348" s="5">
        <v>184.5</v>
      </c>
      <c r="G348" s="5">
        <v>28700</v>
      </c>
      <c r="I348" s="6">
        <v>40316</v>
      </c>
      <c r="J348" s="7">
        <v>0.66666666666666663</v>
      </c>
      <c r="K348" s="5">
        <v>3902.5</v>
      </c>
      <c r="L348" s="5">
        <v>3990</v>
      </c>
      <c r="M348" s="5">
        <v>3900.01</v>
      </c>
      <c r="N348" s="5">
        <v>3910.1399000000001</v>
      </c>
      <c r="O348" s="5">
        <v>156</v>
      </c>
      <c r="Q348" s="6">
        <v>38650</v>
      </c>
      <c r="R348" s="7">
        <v>0.66666666666666663</v>
      </c>
      <c r="S348" s="5">
        <v>193</v>
      </c>
      <c r="T348" s="5">
        <v>198</v>
      </c>
      <c r="U348" s="5">
        <v>186.2</v>
      </c>
      <c r="V348" s="5">
        <v>190</v>
      </c>
      <c r="W348" s="5">
        <v>282300</v>
      </c>
      <c r="Y348" s="6">
        <f t="shared" si="10"/>
        <v>40316</v>
      </c>
      <c r="Z348" s="5">
        <f t="shared" si="11"/>
        <v>3910.1399000000001</v>
      </c>
      <c r="AA348" s="5">
        <v>100.17</v>
      </c>
      <c r="AB348" s="5">
        <v>97.5</v>
      </c>
    </row>
    <row r="349" spans="1:28" x14ac:dyDescent="0.3">
      <c r="A349" s="6">
        <v>38673</v>
      </c>
      <c r="B349" s="7">
        <v>0.66666666666666663</v>
      </c>
      <c r="C349" s="5">
        <v>183.25</v>
      </c>
      <c r="D349" s="5">
        <v>184</v>
      </c>
      <c r="E349" s="5">
        <v>180</v>
      </c>
      <c r="F349" s="5">
        <v>182</v>
      </c>
      <c r="G349" s="5">
        <v>15400</v>
      </c>
      <c r="I349" s="6">
        <v>40317</v>
      </c>
      <c r="J349" s="7">
        <v>0.66666666666666663</v>
      </c>
      <c r="K349" s="5">
        <v>3910.1399000000001</v>
      </c>
      <c r="L349" s="5">
        <v>4050</v>
      </c>
      <c r="M349" s="5">
        <v>3805.01</v>
      </c>
      <c r="N349" s="5">
        <v>3900</v>
      </c>
      <c r="O349" s="5">
        <v>309</v>
      </c>
      <c r="Q349" s="6">
        <v>38651</v>
      </c>
      <c r="R349" s="7">
        <v>0.66666666666666663</v>
      </c>
      <c r="S349" s="5">
        <v>190</v>
      </c>
      <c r="T349" s="5">
        <v>190.95</v>
      </c>
      <c r="U349" s="5">
        <v>180.7</v>
      </c>
      <c r="V349" s="5">
        <v>185</v>
      </c>
      <c r="W349" s="5">
        <v>189900</v>
      </c>
      <c r="Y349" s="6">
        <f t="shared" si="10"/>
        <v>40317</v>
      </c>
      <c r="Z349" s="5">
        <f t="shared" si="11"/>
        <v>3900</v>
      </c>
      <c r="AA349" s="5">
        <v>97.96</v>
      </c>
      <c r="AB349" s="5">
        <v>95.9</v>
      </c>
    </row>
    <row r="350" spans="1:28" x14ac:dyDescent="0.3">
      <c r="A350" s="6">
        <v>38674</v>
      </c>
      <c r="B350" s="7">
        <v>0.66666666666666663</v>
      </c>
      <c r="C350" s="5">
        <v>182</v>
      </c>
      <c r="D350" s="5">
        <v>184.5</v>
      </c>
      <c r="E350" s="5">
        <v>181</v>
      </c>
      <c r="F350" s="5">
        <v>184</v>
      </c>
      <c r="G350" s="5">
        <v>8200</v>
      </c>
      <c r="I350" s="6">
        <v>40318</v>
      </c>
      <c r="J350" s="7">
        <v>0.66666666666666663</v>
      </c>
      <c r="K350" s="5">
        <v>3900</v>
      </c>
      <c r="L350" s="5">
        <v>3940</v>
      </c>
      <c r="M350" s="5">
        <v>3825</v>
      </c>
      <c r="N350" s="5">
        <v>3832.8</v>
      </c>
      <c r="O350" s="5">
        <v>36</v>
      </c>
      <c r="Q350" s="6">
        <v>38652</v>
      </c>
      <c r="R350" s="7">
        <v>0.66666666666666663</v>
      </c>
      <c r="S350" s="5">
        <v>185</v>
      </c>
      <c r="T350" s="5">
        <v>188.75</v>
      </c>
      <c r="U350" s="5">
        <v>183.5</v>
      </c>
      <c r="V350" s="5">
        <v>185</v>
      </c>
      <c r="W350" s="5">
        <v>137200</v>
      </c>
      <c r="Y350" s="6">
        <f t="shared" si="10"/>
        <v>40318</v>
      </c>
      <c r="Z350" s="5">
        <f t="shared" si="11"/>
        <v>3832.8</v>
      </c>
      <c r="AA350" s="5">
        <v>96.66</v>
      </c>
      <c r="AB350" s="5">
        <v>97.17</v>
      </c>
    </row>
    <row r="351" spans="1:28" x14ac:dyDescent="0.3">
      <c r="A351" s="6">
        <v>38677</v>
      </c>
      <c r="B351" s="7">
        <v>0.66666666666666663</v>
      </c>
      <c r="C351" s="5">
        <v>184.9</v>
      </c>
      <c r="D351" s="5">
        <v>185</v>
      </c>
      <c r="E351" s="5">
        <v>182.5</v>
      </c>
      <c r="F351" s="5">
        <v>183</v>
      </c>
      <c r="G351" s="5">
        <v>10500</v>
      </c>
      <c r="I351" s="6">
        <v>40319</v>
      </c>
      <c r="J351" s="7">
        <v>0.66666666666666663</v>
      </c>
      <c r="K351" s="5">
        <v>3832.8</v>
      </c>
      <c r="L351" s="5">
        <v>4000</v>
      </c>
      <c r="M351" s="5">
        <v>3700</v>
      </c>
      <c r="N351" s="5">
        <v>3899.0801000000001</v>
      </c>
      <c r="O351" s="5">
        <v>427</v>
      </c>
      <c r="Q351" s="6">
        <v>38656</v>
      </c>
      <c r="R351" s="7">
        <v>0.66666666666666663</v>
      </c>
      <c r="S351" s="5">
        <v>184.2</v>
      </c>
      <c r="T351" s="5">
        <v>184.2</v>
      </c>
      <c r="U351" s="5">
        <v>176.2</v>
      </c>
      <c r="V351" s="5">
        <v>183</v>
      </c>
      <c r="W351" s="5">
        <v>70900</v>
      </c>
      <c r="Y351" s="6">
        <f t="shared" si="10"/>
        <v>40319</v>
      </c>
      <c r="Z351" s="5">
        <f t="shared" si="11"/>
        <v>3899.0801000000001</v>
      </c>
      <c r="AA351" s="5">
        <v>94.07</v>
      </c>
      <c r="AB351" s="5">
        <v>95.51</v>
      </c>
    </row>
    <row r="352" spans="1:28" x14ac:dyDescent="0.3">
      <c r="A352" s="6">
        <v>38678</v>
      </c>
      <c r="B352" s="7">
        <v>0.66666666666666663</v>
      </c>
      <c r="C352" s="5">
        <v>183</v>
      </c>
      <c r="D352" s="5">
        <v>184.65</v>
      </c>
      <c r="E352" s="5">
        <v>183</v>
      </c>
      <c r="F352" s="5">
        <v>183.05</v>
      </c>
      <c r="G352" s="5">
        <v>4700</v>
      </c>
      <c r="I352" s="6">
        <v>40322</v>
      </c>
      <c r="J352" s="7">
        <v>0.66666666666666663</v>
      </c>
      <c r="K352" s="5">
        <v>3899.0801000000001</v>
      </c>
      <c r="L352" s="5">
        <v>3999</v>
      </c>
      <c r="M352" s="5">
        <v>3725.01</v>
      </c>
      <c r="N352" s="5">
        <v>3869.4398999999999</v>
      </c>
      <c r="O352" s="5">
        <v>659</v>
      </c>
      <c r="Q352" s="6">
        <v>38658</v>
      </c>
      <c r="R352" s="7">
        <v>0.66666666666666663</v>
      </c>
      <c r="S352" s="5">
        <v>184</v>
      </c>
      <c r="T352" s="5">
        <v>192.15</v>
      </c>
      <c r="U352" s="5">
        <v>184</v>
      </c>
      <c r="V352" s="5">
        <v>191.9</v>
      </c>
      <c r="W352" s="5">
        <v>494100</v>
      </c>
      <c r="Y352" s="6">
        <f t="shared" si="10"/>
        <v>40322</v>
      </c>
      <c r="Z352" s="5">
        <f t="shared" si="11"/>
        <v>3869.4398999999999</v>
      </c>
      <c r="AA352" s="5">
        <v>90.06</v>
      </c>
      <c r="AB352" s="5">
        <v>94.37</v>
      </c>
    </row>
    <row r="353" spans="1:28" x14ac:dyDescent="0.3">
      <c r="A353" s="6">
        <v>38679</v>
      </c>
      <c r="B353" s="7">
        <v>0.66666666666666663</v>
      </c>
      <c r="C353" s="5">
        <v>183</v>
      </c>
      <c r="D353" s="5">
        <v>186</v>
      </c>
      <c r="E353" s="5">
        <v>183</v>
      </c>
      <c r="F353" s="5">
        <v>185.5</v>
      </c>
      <c r="G353" s="5">
        <v>12800</v>
      </c>
      <c r="I353" s="6">
        <v>40323</v>
      </c>
      <c r="J353" s="7">
        <v>0.66666666666666663</v>
      </c>
      <c r="K353" s="5">
        <v>3869.4398999999999</v>
      </c>
      <c r="L353" s="5">
        <v>3995</v>
      </c>
      <c r="M353" s="5">
        <v>3811.04</v>
      </c>
      <c r="N353" s="5">
        <v>3898</v>
      </c>
      <c r="O353" s="5">
        <v>46</v>
      </c>
      <c r="Q353" s="6">
        <v>38663</v>
      </c>
      <c r="R353" s="7">
        <v>0.66666666666666663</v>
      </c>
      <c r="S353" s="5">
        <v>194.2</v>
      </c>
      <c r="T353" s="5">
        <v>201.45</v>
      </c>
      <c r="U353" s="5">
        <v>194.2</v>
      </c>
      <c r="V353" s="5">
        <v>201.45</v>
      </c>
      <c r="W353" s="5">
        <v>1009600</v>
      </c>
      <c r="Y353" s="6">
        <f t="shared" si="10"/>
        <v>40323</v>
      </c>
      <c r="Z353" s="5">
        <f t="shared" si="11"/>
        <v>3898</v>
      </c>
      <c r="AA353" s="5">
        <v>85.66</v>
      </c>
      <c r="AB353" s="5">
        <v>89.69</v>
      </c>
    </row>
    <row r="354" spans="1:28" x14ac:dyDescent="0.3">
      <c r="A354" s="6">
        <v>38680</v>
      </c>
      <c r="B354" s="7">
        <v>0.66666666666666663</v>
      </c>
      <c r="C354" s="5">
        <v>184</v>
      </c>
      <c r="D354" s="5">
        <v>185.95</v>
      </c>
      <c r="E354" s="5">
        <v>183</v>
      </c>
      <c r="F354" s="5">
        <v>183</v>
      </c>
      <c r="G354" s="5">
        <v>8800</v>
      </c>
      <c r="I354" s="6">
        <v>40324</v>
      </c>
      <c r="J354" s="7">
        <v>0.66666666666666663</v>
      </c>
      <c r="K354" s="5">
        <v>3898</v>
      </c>
      <c r="L354" s="5">
        <v>3999.99</v>
      </c>
      <c r="M354" s="5">
        <v>3751</v>
      </c>
      <c r="N354" s="5">
        <v>3885.6698999999999</v>
      </c>
      <c r="O354" s="5">
        <v>831</v>
      </c>
      <c r="Q354" s="6">
        <v>38664</v>
      </c>
      <c r="R354" s="7">
        <v>0.66666666666666663</v>
      </c>
      <c r="S354" s="5">
        <v>202</v>
      </c>
      <c r="T354" s="5">
        <v>211.5</v>
      </c>
      <c r="U354" s="5">
        <v>202</v>
      </c>
      <c r="V354" s="5">
        <v>211.5</v>
      </c>
      <c r="W354" s="5">
        <v>1607000</v>
      </c>
      <c r="Y354" s="6">
        <f t="shared" si="10"/>
        <v>40324</v>
      </c>
      <c r="Z354" s="5">
        <f t="shared" si="11"/>
        <v>3885.6698999999999</v>
      </c>
      <c r="AA354" s="5">
        <v>89.94</v>
      </c>
      <c r="AB354" s="5">
        <v>91</v>
      </c>
    </row>
    <row r="355" spans="1:28" x14ac:dyDescent="0.3">
      <c r="A355" s="6">
        <v>38681</v>
      </c>
      <c r="B355" s="7">
        <v>0.66666666666666663</v>
      </c>
      <c r="C355" s="5">
        <v>182.75</v>
      </c>
      <c r="D355" s="5">
        <v>183.75</v>
      </c>
      <c r="E355" s="5">
        <v>182.55</v>
      </c>
      <c r="F355" s="5">
        <v>183</v>
      </c>
      <c r="G355" s="5">
        <v>3900</v>
      </c>
      <c r="I355" s="6">
        <v>40325</v>
      </c>
      <c r="J355" s="7">
        <v>0.66666666666666663</v>
      </c>
      <c r="K355" s="5">
        <v>3885.6698999999999</v>
      </c>
      <c r="L355" s="5">
        <v>4000</v>
      </c>
      <c r="M355" s="5">
        <v>3870</v>
      </c>
      <c r="N355" s="5">
        <v>3900.52</v>
      </c>
      <c r="O355" s="5">
        <v>3140</v>
      </c>
      <c r="Q355" s="6">
        <v>38666</v>
      </c>
      <c r="R355" s="7">
        <v>0.66666666666666663</v>
      </c>
      <c r="S355" s="5">
        <v>214</v>
      </c>
      <c r="T355" s="5">
        <v>221</v>
      </c>
      <c r="U355" s="5">
        <v>214</v>
      </c>
      <c r="V355" s="5">
        <v>216</v>
      </c>
      <c r="W355" s="5">
        <v>1123400</v>
      </c>
      <c r="Y355" s="6">
        <f t="shared" si="10"/>
        <v>40325</v>
      </c>
      <c r="Z355" s="5">
        <f t="shared" si="11"/>
        <v>3900.52</v>
      </c>
      <c r="AA355" s="5">
        <v>90.46</v>
      </c>
      <c r="AB355" s="5">
        <v>90</v>
      </c>
    </row>
    <row r="356" spans="1:28" x14ac:dyDescent="0.3">
      <c r="A356" s="6">
        <v>38684</v>
      </c>
      <c r="B356" s="7">
        <v>0.66666666666666663</v>
      </c>
      <c r="C356" s="5">
        <v>183.5</v>
      </c>
      <c r="D356" s="5">
        <v>184</v>
      </c>
      <c r="E356" s="5">
        <v>183</v>
      </c>
      <c r="F356" s="5">
        <v>183.5</v>
      </c>
      <c r="G356" s="5">
        <v>14300</v>
      </c>
      <c r="I356" s="6">
        <v>40326</v>
      </c>
      <c r="J356" s="7">
        <v>0.66666666666666663</v>
      </c>
      <c r="K356" s="5">
        <v>3900.52</v>
      </c>
      <c r="L356" s="5">
        <v>4080</v>
      </c>
      <c r="M356" s="5">
        <v>3721</v>
      </c>
      <c r="N356" s="5">
        <v>3902.1298999999999</v>
      </c>
      <c r="O356" s="5">
        <v>110</v>
      </c>
      <c r="Q356" s="6">
        <v>38667</v>
      </c>
      <c r="R356" s="7">
        <v>0.66666666666666663</v>
      </c>
      <c r="S356" s="5">
        <v>216</v>
      </c>
      <c r="T356" s="5">
        <v>218.95</v>
      </c>
      <c r="U356" s="5">
        <v>210</v>
      </c>
      <c r="V356" s="5">
        <v>213.7</v>
      </c>
      <c r="W356" s="5">
        <v>636500</v>
      </c>
      <c r="Y356" s="6">
        <f t="shared" si="10"/>
        <v>40326</v>
      </c>
      <c r="Z356" s="5">
        <f t="shared" si="11"/>
        <v>3902.1298999999999</v>
      </c>
      <c r="AA356" s="5">
        <v>91.2</v>
      </c>
      <c r="AB356" s="5">
        <v>88.65</v>
      </c>
    </row>
    <row r="357" spans="1:28" x14ac:dyDescent="0.3">
      <c r="A357" s="6">
        <v>38685</v>
      </c>
      <c r="B357" s="7">
        <v>0.66666666666666663</v>
      </c>
      <c r="C357" s="5">
        <v>184</v>
      </c>
      <c r="D357" s="5">
        <v>184</v>
      </c>
      <c r="E357" s="5">
        <v>182</v>
      </c>
      <c r="F357" s="5">
        <v>182.8</v>
      </c>
      <c r="G357" s="5">
        <v>21200</v>
      </c>
      <c r="I357" s="6">
        <v>40329</v>
      </c>
      <c r="J357" s="7">
        <v>0.66666666666666663</v>
      </c>
      <c r="K357" s="5">
        <v>3902.1298999999999</v>
      </c>
      <c r="L357" s="5">
        <v>3994.99</v>
      </c>
      <c r="M357" s="5">
        <v>3711</v>
      </c>
      <c r="N357" s="5">
        <v>3900</v>
      </c>
      <c r="O357" s="5">
        <v>72</v>
      </c>
      <c r="Q357" s="6">
        <v>38670</v>
      </c>
      <c r="R357" s="7">
        <v>0.66666666666666663</v>
      </c>
      <c r="S357" s="5">
        <v>213.7</v>
      </c>
      <c r="T357" s="5">
        <v>215</v>
      </c>
      <c r="U357" s="5">
        <v>206.25</v>
      </c>
      <c r="V357" s="5">
        <v>209.15</v>
      </c>
      <c r="W357" s="5">
        <v>368500</v>
      </c>
      <c r="Y357" s="6">
        <f t="shared" si="10"/>
        <v>40329</v>
      </c>
      <c r="Z357" s="5">
        <f t="shared" si="11"/>
        <v>3900</v>
      </c>
      <c r="AA357" s="5">
        <v>89.03</v>
      </c>
      <c r="AB357" s="5">
        <v>84.31</v>
      </c>
    </row>
    <row r="358" spans="1:28" x14ac:dyDescent="0.3">
      <c r="A358" s="6">
        <v>38686</v>
      </c>
      <c r="B358" s="7">
        <v>0.66666666666666663</v>
      </c>
      <c r="C358" s="5">
        <v>182</v>
      </c>
      <c r="D358" s="5">
        <v>183</v>
      </c>
      <c r="E358" s="5">
        <v>181.8</v>
      </c>
      <c r="F358" s="5">
        <v>181.8</v>
      </c>
      <c r="G358" s="5">
        <v>6600</v>
      </c>
      <c r="I358" s="6">
        <v>40330</v>
      </c>
      <c r="J358" s="7">
        <v>0.66666666666666663</v>
      </c>
      <c r="K358" s="5">
        <v>3900</v>
      </c>
      <c r="L358" s="5">
        <v>3999.99</v>
      </c>
      <c r="M358" s="5">
        <v>3751</v>
      </c>
      <c r="N358" s="5">
        <v>3936.75</v>
      </c>
      <c r="O358" s="5">
        <v>412</v>
      </c>
      <c r="Q358" s="6">
        <v>38671</v>
      </c>
      <c r="R358" s="7">
        <v>0.66666666666666663</v>
      </c>
      <c r="S358" s="5">
        <v>209.15</v>
      </c>
      <c r="T358" s="5">
        <v>219.6</v>
      </c>
      <c r="U358" s="5">
        <v>207</v>
      </c>
      <c r="V358" s="5">
        <v>217.9</v>
      </c>
      <c r="W358" s="5">
        <v>1741600</v>
      </c>
      <c r="Y358" s="6">
        <f t="shared" si="10"/>
        <v>40330</v>
      </c>
      <c r="Z358" s="5">
        <f t="shared" si="11"/>
        <v>3936.75</v>
      </c>
      <c r="AA358" s="5">
        <v>86.81</v>
      </c>
      <c r="AB358" s="5">
        <v>82.24</v>
      </c>
    </row>
    <row r="359" spans="1:28" x14ac:dyDescent="0.3">
      <c r="A359" s="6">
        <v>38687</v>
      </c>
      <c r="B359" s="7">
        <v>0.66666666666666663</v>
      </c>
      <c r="C359" s="5">
        <v>182.25</v>
      </c>
      <c r="D359" s="5">
        <v>183.5</v>
      </c>
      <c r="E359" s="5">
        <v>182.25</v>
      </c>
      <c r="F359" s="5">
        <v>182.25</v>
      </c>
      <c r="G359" s="5">
        <v>3800</v>
      </c>
      <c r="I359" s="6">
        <v>40331</v>
      </c>
      <c r="J359" s="7">
        <v>0.66666666666666663</v>
      </c>
      <c r="K359" s="5">
        <v>3936.75</v>
      </c>
      <c r="L359" s="5">
        <v>3996</v>
      </c>
      <c r="M359" s="5">
        <v>3851</v>
      </c>
      <c r="N359" s="5">
        <v>3951.23</v>
      </c>
      <c r="O359" s="5">
        <v>699</v>
      </c>
      <c r="Q359" s="6">
        <v>38672</v>
      </c>
      <c r="R359" s="7">
        <v>0.66666666666666663</v>
      </c>
      <c r="S359" s="5">
        <v>217.9</v>
      </c>
      <c r="T359" s="5">
        <v>223.7</v>
      </c>
      <c r="U359" s="5">
        <v>212</v>
      </c>
      <c r="V359" s="5">
        <v>213.5</v>
      </c>
      <c r="W359" s="5">
        <v>1959100</v>
      </c>
      <c r="Y359" s="6">
        <f t="shared" si="10"/>
        <v>40331</v>
      </c>
      <c r="Z359" s="5">
        <f t="shared" si="11"/>
        <v>3951.23</v>
      </c>
      <c r="AA359" s="5">
        <v>90.99</v>
      </c>
      <c r="AB359" s="5">
        <v>84.03</v>
      </c>
    </row>
    <row r="360" spans="1:28" x14ac:dyDescent="0.3">
      <c r="A360" s="6">
        <v>38688</v>
      </c>
      <c r="B360" s="7">
        <v>0.66666666666666663</v>
      </c>
      <c r="C360" s="5">
        <v>182</v>
      </c>
      <c r="D360" s="5">
        <v>185</v>
      </c>
      <c r="E360" s="5">
        <v>182</v>
      </c>
      <c r="F360" s="5">
        <v>183.15</v>
      </c>
      <c r="G360" s="5">
        <v>18700</v>
      </c>
      <c r="I360" s="6">
        <v>40332</v>
      </c>
      <c r="J360" s="7">
        <v>0.66666666666666663</v>
      </c>
      <c r="K360" s="5">
        <v>3951.23</v>
      </c>
      <c r="L360" s="5">
        <v>3999.99</v>
      </c>
      <c r="M360" s="5">
        <v>3861</v>
      </c>
      <c r="N360" s="5">
        <v>3942.5</v>
      </c>
      <c r="O360" s="5">
        <v>29</v>
      </c>
      <c r="Q360" s="6">
        <v>38673</v>
      </c>
      <c r="R360" s="7">
        <v>0.66666666666666663</v>
      </c>
      <c r="S360" s="5">
        <v>213.5</v>
      </c>
      <c r="T360" s="5">
        <v>216</v>
      </c>
      <c r="U360" s="5">
        <v>211</v>
      </c>
      <c r="V360" s="5">
        <v>214</v>
      </c>
      <c r="W360" s="5">
        <v>374000</v>
      </c>
      <c r="Y360" s="6">
        <f t="shared" si="10"/>
        <v>40332</v>
      </c>
      <c r="Z360" s="5">
        <f t="shared" si="11"/>
        <v>3942.5</v>
      </c>
      <c r="AA360" s="5">
        <v>91.4</v>
      </c>
      <c r="AB360" s="5">
        <v>86</v>
      </c>
    </row>
    <row r="361" spans="1:28" x14ac:dyDescent="0.3">
      <c r="A361" s="6">
        <v>38691</v>
      </c>
      <c r="B361" s="7">
        <v>0.66666666666666663</v>
      </c>
      <c r="C361" s="5">
        <v>184</v>
      </c>
      <c r="D361" s="5">
        <v>192.3</v>
      </c>
      <c r="E361" s="5">
        <v>183.5</v>
      </c>
      <c r="F361" s="5">
        <v>192.3</v>
      </c>
      <c r="G361" s="5">
        <v>22200</v>
      </c>
      <c r="I361" s="6">
        <v>40333</v>
      </c>
      <c r="J361" s="7">
        <v>0.66666666666666663</v>
      </c>
      <c r="K361" s="5">
        <v>3942.5</v>
      </c>
      <c r="L361" s="5">
        <v>4000</v>
      </c>
      <c r="M361" s="5">
        <v>3803.01</v>
      </c>
      <c r="N361" s="5">
        <v>3997.01</v>
      </c>
      <c r="O361" s="5">
        <v>6035</v>
      </c>
      <c r="Q361" s="6">
        <v>38674</v>
      </c>
      <c r="R361" s="7">
        <v>0.66666666666666663</v>
      </c>
      <c r="S361" s="5">
        <v>214</v>
      </c>
      <c r="T361" s="5">
        <v>218.45</v>
      </c>
      <c r="U361" s="5">
        <v>213.5</v>
      </c>
      <c r="V361" s="5">
        <v>214.55</v>
      </c>
      <c r="W361" s="5">
        <v>480700</v>
      </c>
      <c r="Y361" s="6">
        <f t="shared" si="10"/>
        <v>40333</v>
      </c>
      <c r="Z361" s="5">
        <f t="shared" si="11"/>
        <v>3997.01</v>
      </c>
      <c r="AA361" s="5">
        <v>90.03</v>
      </c>
      <c r="AB361" s="5">
        <v>86.52</v>
      </c>
    </row>
    <row r="362" spans="1:28" x14ac:dyDescent="0.3">
      <c r="A362" s="6">
        <v>38692</v>
      </c>
      <c r="B362" s="7">
        <v>0.66666666666666663</v>
      </c>
      <c r="C362" s="5">
        <v>195</v>
      </c>
      <c r="D362" s="5">
        <v>198</v>
      </c>
      <c r="E362" s="5">
        <v>193.5</v>
      </c>
      <c r="F362" s="5">
        <v>196</v>
      </c>
      <c r="G362" s="5">
        <v>16000</v>
      </c>
      <c r="I362" s="6">
        <v>40336</v>
      </c>
      <c r="J362" s="7">
        <v>0.66666666666666663</v>
      </c>
      <c r="K362" s="5">
        <v>3997.01</v>
      </c>
      <c r="L362" s="5">
        <v>4000</v>
      </c>
      <c r="M362" s="5">
        <v>3868</v>
      </c>
      <c r="N362" s="5">
        <v>3911.47</v>
      </c>
      <c r="O362" s="5">
        <v>97</v>
      </c>
      <c r="Q362" s="6">
        <v>38677</v>
      </c>
      <c r="R362" s="7">
        <v>0.66666666666666663</v>
      </c>
      <c r="S362" s="5">
        <v>214.55</v>
      </c>
      <c r="T362" s="5">
        <v>217.8</v>
      </c>
      <c r="U362" s="5">
        <v>211.15</v>
      </c>
      <c r="V362" s="5">
        <v>212.5</v>
      </c>
      <c r="W362" s="5">
        <v>275600</v>
      </c>
      <c r="Y362" s="6">
        <f t="shared" si="10"/>
        <v>40336</v>
      </c>
      <c r="Z362" s="5">
        <f t="shared" si="11"/>
        <v>3911.47</v>
      </c>
      <c r="AA362" s="5">
        <v>92.22</v>
      </c>
      <c r="AB362" s="5">
        <v>90.44</v>
      </c>
    </row>
    <row r="363" spans="1:28" x14ac:dyDescent="0.3">
      <c r="A363" s="6">
        <v>38693</v>
      </c>
      <c r="B363" s="7">
        <v>0.66666666666666663</v>
      </c>
      <c r="C363" s="5">
        <v>194</v>
      </c>
      <c r="D363" s="5">
        <v>198</v>
      </c>
      <c r="E363" s="5">
        <v>194</v>
      </c>
      <c r="F363" s="5">
        <v>195.75</v>
      </c>
      <c r="G363" s="5">
        <v>16500</v>
      </c>
      <c r="I363" s="6">
        <v>40337</v>
      </c>
      <c r="J363" s="7">
        <v>0.66666666666666663</v>
      </c>
      <c r="K363" s="5">
        <v>3911.47</v>
      </c>
      <c r="L363" s="5">
        <v>3990</v>
      </c>
      <c r="M363" s="5">
        <v>3838</v>
      </c>
      <c r="N363" s="5">
        <v>3904</v>
      </c>
      <c r="O363" s="5">
        <v>14</v>
      </c>
      <c r="Q363" s="6">
        <v>38678</v>
      </c>
      <c r="R363" s="7">
        <v>0.66666666666666663</v>
      </c>
      <c r="S363" s="5">
        <v>212.5</v>
      </c>
      <c r="T363" s="5">
        <v>213</v>
      </c>
      <c r="U363" s="5">
        <v>209</v>
      </c>
      <c r="V363" s="5">
        <v>209.2</v>
      </c>
      <c r="W363" s="5">
        <v>276200</v>
      </c>
      <c r="Y363" s="6">
        <f t="shared" si="10"/>
        <v>40337</v>
      </c>
      <c r="Z363" s="5">
        <f t="shared" si="11"/>
        <v>3904</v>
      </c>
      <c r="AA363" s="5">
        <v>91.76</v>
      </c>
      <c r="AB363" s="5">
        <v>90</v>
      </c>
    </row>
    <row r="364" spans="1:28" x14ac:dyDescent="0.3">
      <c r="A364" s="6">
        <v>38694</v>
      </c>
      <c r="B364" s="7">
        <v>0.66666666666666663</v>
      </c>
      <c r="C364" s="5">
        <v>195.7</v>
      </c>
      <c r="D364" s="5">
        <v>198</v>
      </c>
      <c r="E364" s="5">
        <v>195.5</v>
      </c>
      <c r="F364" s="5">
        <v>195.5</v>
      </c>
      <c r="G364" s="5">
        <v>11500</v>
      </c>
      <c r="I364" s="6">
        <v>40338</v>
      </c>
      <c r="J364" s="7">
        <v>0.66666666666666663</v>
      </c>
      <c r="K364" s="5">
        <v>3904</v>
      </c>
      <c r="L364" s="5">
        <v>4099</v>
      </c>
      <c r="M364" s="5">
        <v>3802</v>
      </c>
      <c r="N364" s="5">
        <v>3949.0900999999999</v>
      </c>
      <c r="O364" s="5">
        <v>21</v>
      </c>
      <c r="Q364" s="6">
        <v>38679</v>
      </c>
      <c r="R364" s="7">
        <v>0.66666666666666663</v>
      </c>
      <c r="S364" s="5">
        <v>209.2</v>
      </c>
      <c r="T364" s="5">
        <v>213.65</v>
      </c>
      <c r="U364" s="5">
        <v>207.5</v>
      </c>
      <c r="V364" s="5">
        <v>208</v>
      </c>
      <c r="W364" s="5">
        <v>218400</v>
      </c>
      <c r="Y364" s="6">
        <f t="shared" si="10"/>
        <v>40338</v>
      </c>
      <c r="Z364" s="5">
        <f t="shared" si="11"/>
        <v>3949.0900999999999</v>
      </c>
      <c r="AA364" s="5">
        <v>90.13</v>
      </c>
      <c r="AB364" s="5">
        <v>90.8</v>
      </c>
    </row>
    <row r="365" spans="1:28" x14ac:dyDescent="0.3">
      <c r="A365" s="6">
        <v>38695</v>
      </c>
      <c r="B365" s="7">
        <v>0.66666666666666663</v>
      </c>
      <c r="C365" s="5">
        <v>197.45</v>
      </c>
      <c r="D365" s="5">
        <v>205.2</v>
      </c>
      <c r="E365" s="5">
        <v>197.4</v>
      </c>
      <c r="F365" s="5">
        <v>200.25</v>
      </c>
      <c r="G365" s="5">
        <v>29600</v>
      </c>
      <c r="I365" s="6">
        <v>40339</v>
      </c>
      <c r="J365" s="7">
        <v>0.66666666666666663</v>
      </c>
      <c r="K365" s="5">
        <v>3949.0900999999999</v>
      </c>
      <c r="L365" s="5">
        <v>4076.99</v>
      </c>
      <c r="M365" s="5">
        <v>3888.8798999999999</v>
      </c>
      <c r="N365" s="5">
        <v>3910</v>
      </c>
      <c r="O365" s="5">
        <v>827</v>
      </c>
      <c r="Q365" s="6">
        <v>38680</v>
      </c>
      <c r="R365" s="7">
        <v>0.66666666666666663</v>
      </c>
      <c r="S365" s="5">
        <v>208</v>
      </c>
      <c r="T365" s="5">
        <v>209.85</v>
      </c>
      <c r="U365" s="5">
        <v>205</v>
      </c>
      <c r="V365" s="5">
        <v>205.5</v>
      </c>
      <c r="W365" s="5">
        <v>163100</v>
      </c>
      <c r="Y365" s="6">
        <f t="shared" si="10"/>
        <v>40339</v>
      </c>
      <c r="Z365" s="5">
        <f t="shared" si="11"/>
        <v>3910</v>
      </c>
      <c r="AA365" s="5">
        <v>85.63</v>
      </c>
      <c r="AB365" s="5">
        <v>87.91</v>
      </c>
    </row>
    <row r="366" spans="1:28" x14ac:dyDescent="0.3">
      <c r="A366" s="6">
        <v>38698</v>
      </c>
      <c r="B366" s="7">
        <v>0.66666666666666663</v>
      </c>
      <c r="C366" s="5">
        <v>201</v>
      </c>
      <c r="D366" s="5">
        <v>205</v>
      </c>
      <c r="E366" s="5">
        <v>201</v>
      </c>
      <c r="F366" s="5">
        <v>201</v>
      </c>
      <c r="G366" s="5">
        <v>20900</v>
      </c>
      <c r="I366" s="6">
        <v>40340</v>
      </c>
      <c r="J366" s="7">
        <v>0.66666666666666663</v>
      </c>
      <c r="K366" s="5">
        <v>3910</v>
      </c>
      <c r="L366" s="5">
        <v>3996.99</v>
      </c>
      <c r="M366" s="5">
        <v>3766</v>
      </c>
      <c r="N366" s="5">
        <v>3987.1399000000001</v>
      </c>
      <c r="O366" s="5">
        <v>48</v>
      </c>
      <c r="Q366" s="6">
        <v>38681</v>
      </c>
      <c r="R366" s="7">
        <v>0.66666666666666663</v>
      </c>
      <c r="S366" s="5">
        <v>205.5</v>
      </c>
      <c r="T366" s="5">
        <v>208.9</v>
      </c>
      <c r="U366" s="5">
        <v>204</v>
      </c>
      <c r="V366" s="5">
        <v>204.3</v>
      </c>
      <c r="W366" s="5">
        <v>108600</v>
      </c>
      <c r="Y366" s="6">
        <f t="shared" si="10"/>
        <v>40340</v>
      </c>
      <c r="Z366" s="5">
        <f t="shared" si="11"/>
        <v>3987.1399000000001</v>
      </c>
      <c r="AA366" s="5">
        <v>86.12</v>
      </c>
      <c r="AB366" s="5">
        <v>89.71</v>
      </c>
    </row>
    <row r="367" spans="1:28" x14ac:dyDescent="0.3">
      <c r="A367" s="6">
        <v>38699</v>
      </c>
      <c r="B367" s="7">
        <v>0.66666666666666663</v>
      </c>
      <c r="C367" s="5">
        <v>200.25</v>
      </c>
      <c r="D367" s="5">
        <v>204.5</v>
      </c>
      <c r="E367" s="5">
        <v>200.25</v>
      </c>
      <c r="F367" s="5">
        <v>203</v>
      </c>
      <c r="G367" s="5">
        <v>27700</v>
      </c>
      <c r="I367" s="6">
        <v>40343</v>
      </c>
      <c r="J367" s="7">
        <v>0.66666666666666663</v>
      </c>
      <c r="K367" s="5">
        <v>3987.1399000000001</v>
      </c>
      <c r="L367" s="5">
        <v>4125</v>
      </c>
      <c r="M367" s="5">
        <v>3900</v>
      </c>
      <c r="N367" s="5">
        <v>4003.45</v>
      </c>
      <c r="O367" s="5">
        <v>311</v>
      </c>
      <c r="Q367" s="6">
        <v>38684</v>
      </c>
      <c r="R367" s="7">
        <v>0.66666666666666663</v>
      </c>
      <c r="S367" s="5">
        <v>205.1</v>
      </c>
      <c r="T367" s="5">
        <v>209.55</v>
      </c>
      <c r="U367" s="5">
        <v>205.1</v>
      </c>
      <c r="V367" s="5">
        <v>207.6</v>
      </c>
      <c r="W367" s="5">
        <v>185500</v>
      </c>
      <c r="Y367" s="6">
        <f t="shared" si="10"/>
        <v>40343</v>
      </c>
      <c r="Z367" s="5">
        <f t="shared" si="11"/>
        <v>4003.45</v>
      </c>
      <c r="AA367" s="5">
        <v>81.84</v>
      </c>
      <c r="AB367" s="5">
        <v>86.9</v>
      </c>
    </row>
    <row r="368" spans="1:28" x14ac:dyDescent="0.3">
      <c r="A368" s="6">
        <v>38700</v>
      </c>
      <c r="B368" s="7">
        <v>0.66666666666666663</v>
      </c>
      <c r="C368" s="5">
        <v>202</v>
      </c>
      <c r="D368" s="5">
        <v>204.85</v>
      </c>
      <c r="E368" s="5">
        <v>201.05</v>
      </c>
      <c r="F368" s="5">
        <v>204</v>
      </c>
      <c r="G368" s="5">
        <v>13000</v>
      </c>
      <c r="I368" s="6">
        <v>40344</v>
      </c>
      <c r="J368" s="7">
        <v>0.66666666666666663</v>
      </c>
      <c r="K368" s="5">
        <v>4003.45</v>
      </c>
      <c r="L368" s="5">
        <v>4099</v>
      </c>
      <c r="M368" s="5">
        <v>3926</v>
      </c>
      <c r="N368" s="5">
        <v>4050</v>
      </c>
      <c r="O368" s="5">
        <v>208</v>
      </c>
      <c r="Q368" s="6">
        <v>38685</v>
      </c>
      <c r="R368" s="7">
        <v>0.66666666666666663</v>
      </c>
      <c r="S368" s="5">
        <v>207.6</v>
      </c>
      <c r="T368" s="5">
        <v>209.5</v>
      </c>
      <c r="U368" s="5">
        <v>205.25</v>
      </c>
      <c r="V368" s="5">
        <v>206.1</v>
      </c>
      <c r="W368" s="5">
        <v>80900</v>
      </c>
      <c r="Y368" s="6">
        <f t="shared" si="10"/>
        <v>40344</v>
      </c>
      <c r="Z368" s="5">
        <f t="shared" si="11"/>
        <v>4050</v>
      </c>
      <c r="AA368" s="5">
        <v>82.75</v>
      </c>
      <c r="AB368" s="5">
        <v>90.78</v>
      </c>
    </row>
    <row r="369" spans="1:28" x14ac:dyDescent="0.3">
      <c r="A369" s="6">
        <v>38701</v>
      </c>
      <c r="B369" s="7">
        <v>0.66666666666666663</v>
      </c>
      <c r="C369" s="5">
        <v>203</v>
      </c>
      <c r="D369" s="5">
        <v>204</v>
      </c>
      <c r="E369" s="5">
        <v>202</v>
      </c>
      <c r="F369" s="5">
        <v>203.95</v>
      </c>
      <c r="G369" s="5">
        <v>10000</v>
      </c>
      <c r="I369" s="6">
        <v>40345</v>
      </c>
      <c r="J369" s="7">
        <v>0.66666666666666663</v>
      </c>
      <c r="K369" s="5">
        <v>4050</v>
      </c>
      <c r="L369" s="5">
        <v>4090</v>
      </c>
      <c r="M369" s="5">
        <v>3902</v>
      </c>
      <c r="N369" s="5">
        <v>4002.5</v>
      </c>
      <c r="O369" s="5">
        <v>23</v>
      </c>
      <c r="Q369" s="6">
        <v>38686</v>
      </c>
      <c r="R369" s="7">
        <v>0.66666666666666663</v>
      </c>
      <c r="S369" s="5">
        <v>206.1</v>
      </c>
      <c r="T369" s="5">
        <v>207</v>
      </c>
      <c r="U369" s="5">
        <v>196.8</v>
      </c>
      <c r="V369" s="5">
        <v>203</v>
      </c>
      <c r="W369" s="5">
        <v>148000</v>
      </c>
      <c r="Y369" s="6">
        <f t="shared" si="10"/>
        <v>40345</v>
      </c>
      <c r="Z369" s="5">
        <f t="shared" si="11"/>
        <v>4002.5</v>
      </c>
      <c r="AA369" s="5">
        <v>85.45</v>
      </c>
      <c r="AB369" s="5">
        <v>91.2</v>
      </c>
    </row>
    <row r="370" spans="1:28" x14ac:dyDescent="0.3">
      <c r="A370" s="6">
        <v>38702</v>
      </c>
      <c r="B370" s="7">
        <v>0.66666666666666663</v>
      </c>
      <c r="C370" s="5">
        <v>204</v>
      </c>
      <c r="D370" s="5">
        <v>205.75</v>
      </c>
      <c r="E370" s="5">
        <v>203.5</v>
      </c>
      <c r="F370" s="5">
        <v>204.1</v>
      </c>
      <c r="G370" s="5">
        <v>25900</v>
      </c>
      <c r="I370" s="6">
        <v>40346</v>
      </c>
      <c r="J370" s="7">
        <v>0.66666666666666663</v>
      </c>
      <c r="K370" s="5">
        <v>4002.5</v>
      </c>
      <c r="L370" s="5">
        <v>4049</v>
      </c>
      <c r="M370" s="5">
        <v>3851.1498999999999</v>
      </c>
      <c r="N370" s="5">
        <v>3985</v>
      </c>
      <c r="O370" s="5">
        <v>18</v>
      </c>
      <c r="Q370" s="6">
        <v>38687</v>
      </c>
      <c r="R370" s="7">
        <v>0.66666666666666663</v>
      </c>
      <c r="S370" s="5">
        <v>203</v>
      </c>
      <c r="T370" s="5">
        <v>207.2</v>
      </c>
      <c r="U370" s="5">
        <v>198.8</v>
      </c>
      <c r="V370" s="5">
        <v>204.5</v>
      </c>
      <c r="W370" s="5">
        <v>284700</v>
      </c>
      <c r="Y370" s="6">
        <f t="shared" si="10"/>
        <v>40346</v>
      </c>
      <c r="Z370" s="5">
        <f t="shared" si="11"/>
        <v>3985</v>
      </c>
      <c r="AA370" s="5">
        <v>87.3</v>
      </c>
      <c r="AB370" s="5">
        <v>91.01</v>
      </c>
    </row>
    <row r="371" spans="1:28" x14ac:dyDescent="0.3">
      <c r="A371" s="6">
        <v>38705</v>
      </c>
      <c r="B371" s="7">
        <v>0.66666666666666663</v>
      </c>
      <c r="C371" s="5">
        <v>204.1</v>
      </c>
      <c r="D371" s="5">
        <v>207</v>
      </c>
      <c r="E371" s="5">
        <v>204</v>
      </c>
      <c r="F371" s="5">
        <v>205.75</v>
      </c>
      <c r="G371" s="5">
        <v>12600</v>
      </c>
      <c r="I371" s="6">
        <v>40347</v>
      </c>
      <c r="J371" s="7">
        <v>0.66666666666666663</v>
      </c>
      <c r="K371" s="5">
        <v>3985</v>
      </c>
      <c r="L371" s="5">
        <v>4000</v>
      </c>
      <c r="M371" s="5">
        <v>3870</v>
      </c>
      <c r="N371" s="5">
        <v>3951.3600999999999</v>
      </c>
      <c r="O371" s="5">
        <v>334</v>
      </c>
      <c r="Q371" s="6">
        <v>38688</v>
      </c>
      <c r="R371" s="7">
        <v>0.66666666666666663</v>
      </c>
      <c r="S371" s="5">
        <v>204.5</v>
      </c>
      <c r="T371" s="5">
        <v>209.8</v>
      </c>
      <c r="U371" s="5">
        <v>202.5</v>
      </c>
      <c r="V371" s="5">
        <v>207.75</v>
      </c>
      <c r="W371" s="5">
        <v>560400</v>
      </c>
      <c r="Y371" s="6">
        <f t="shared" si="10"/>
        <v>40347</v>
      </c>
      <c r="Z371" s="5">
        <f t="shared" si="11"/>
        <v>3951.3600999999999</v>
      </c>
      <c r="AA371" s="5">
        <v>86.4</v>
      </c>
      <c r="AB371" s="5">
        <v>90.16</v>
      </c>
    </row>
    <row r="372" spans="1:28" x14ac:dyDescent="0.3">
      <c r="A372" s="6">
        <v>38706</v>
      </c>
      <c r="B372" s="7">
        <v>0.66666666666666663</v>
      </c>
      <c r="C372" s="5">
        <v>206</v>
      </c>
      <c r="D372" s="5">
        <v>206</v>
      </c>
      <c r="E372" s="5">
        <v>204</v>
      </c>
      <c r="F372" s="5">
        <v>205.1</v>
      </c>
      <c r="G372" s="5">
        <v>6400</v>
      </c>
      <c r="I372" s="6">
        <v>40350</v>
      </c>
      <c r="J372" s="7">
        <v>0.66666666666666663</v>
      </c>
      <c r="K372" s="5">
        <v>3951.3600999999999</v>
      </c>
      <c r="L372" s="5">
        <v>4000</v>
      </c>
      <c r="M372" s="5">
        <v>3862</v>
      </c>
      <c r="N372" s="5">
        <v>3996.3798999999999</v>
      </c>
      <c r="O372" s="5">
        <v>453</v>
      </c>
      <c r="Q372" s="6">
        <v>38691</v>
      </c>
      <c r="R372" s="7">
        <v>0.66666666666666663</v>
      </c>
      <c r="S372" s="5">
        <v>209</v>
      </c>
      <c r="T372" s="5">
        <v>213.4</v>
      </c>
      <c r="U372" s="5">
        <v>209</v>
      </c>
      <c r="V372" s="5">
        <v>211</v>
      </c>
      <c r="W372" s="5">
        <v>598500</v>
      </c>
      <c r="Y372" s="6">
        <f t="shared" si="10"/>
        <v>40350</v>
      </c>
      <c r="Z372" s="5">
        <f t="shared" si="11"/>
        <v>3996.3798999999999</v>
      </c>
      <c r="AA372" s="5">
        <v>85.8</v>
      </c>
      <c r="AB372" s="5">
        <v>92.62</v>
      </c>
    </row>
    <row r="373" spans="1:28" x14ac:dyDescent="0.3">
      <c r="A373" s="6">
        <v>38707</v>
      </c>
      <c r="B373" s="7">
        <v>0.66666666666666663</v>
      </c>
      <c r="C373" s="5">
        <v>204.3</v>
      </c>
      <c r="D373" s="5">
        <v>206.75</v>
      </c>
      <c r="E373" s="5">
        <v>204.25</v>
      </c>
      <c r="F373" s="5">
        <v>206.75</v>
      </c>
      <c r="G373" s="5">
        <v>13100</v>
      </c>
      <c r="I373" s="6">
        <v>40351</v>
      </c>
      <c r="J373" s="7">
        <v>0.66666666666666663</v>
      </c>
      <c r="K373" s="5">
        <v>3996.3798999999999</v>
      </c>
      <c r="L373" s="5">
        <v>4048</v>
      </c>
      <c r="M373" s="5">
        <v>3900</v>
      </c>
      <c r="N373" s="5">
        <v>3910.8600999999999</v>
      </c>
      <c r="O373" s="5">
        <v>761</v>
      </c>
      <c r="Q373" s="6">
        <v>38692</v>
      </c>
      <c r="R373" s="7">
        <v>0.66666666666666663</v>
      </c>
      <c r="S373" s="5">
        <v>211</v>
      </c>
      <c r="T373" s="5">
        <v>213.65</v>
      </c>
      <c r="U373" s="5">
        <v>210</v>
      </c>
      <c r="V373" s="5">
        <v>210</v>
      </c>
      <c r="W373" s="5">
        <v>202800</v>
      </c>
      <c r="Y373" s="6">
        <f t="shared" si="10"/>
        <v>40351</v>
      </c>
      <c r="Z373" s="5">
        <f t="shared" si="11"/>
        <v>3910.8600999999999</v>
      </c>
      <c r="AA373" s="5">
        <v>85.66</v>
      </c>
      <c r="AB373" s="5">
        <v>92.1</v>
      </c>
    </row>
    <row r="374" spans="1:28" x14ac:dyDescent="0.3">
      <c r="A374" s="6">
        <v>38708</v>
      </c>
      <c r="B374" s="7">
        <v>0.66666666666666663</v>
      </c>
      <c r="C374" s="5">
        <v>206</v>
      </c>
      <c r="D374" s="5">
        <v>208</v>
      </c>
      <c r="E374" s="5">
        <v>205.5</v>
      </c>
      <c r="F374" s="5">
        <v>206</v>
      </c>
      <c r="G374" s="5">
        <v>6900</v>
      </c>
      <c r="I374" s="6">
        <v>40352</v>
      </c>
      <c r="J374" s="7">
        <v>0.66666666666666663</v>
      </c>
      <c r="K374" s="5">
        <v>3910.8600999999999</v>
      </c>
      <c r="L374" s="5">
        <v>4017.99</v>
      </c>
      <c r="M374" s="5">
        <v>3750.01</v>
      </c>
      <c r="N374" s="5">
        <v>3998.6399000000001</v>
      </c>
      <c r="O374" s="5">
        <v>322</v>
      </c>
      <c r="Q374" s="6">
        <v>38693</v>
      </c>
      <c r="R374" s="7">
        <v>0.66666666666666663</v>
      </c>
      <c r="S374" s="5">
        <v>210</v>
      </c>
      <c r="T374" s="5">
        <v>219.25</v>
      </c>
      <c r="U374" s="5">
        <v>209.8</v>
      </c>
      <c r="V374" s="5">
        <v>216</v>
      </c>
      <c r="W374" s="5">
        <v>1309500</v>
      </c>
      <c r="Y374" s="6">
        <f t="shared" si="10"/>
        <v>40352</v>
      </c>
      <c r="Z374" s="5">
        <f t="shared" si="11"/>
        <v>3998.6399000000001</v>
      </c>
      <c r="AA374" s="5">
        <v>84.81</v>
      </c>
      <c r="AB374" s="5">
        <v>91.99</v>
      </c>
    </row>
    <row r="375" spans="1:28" x14ac:dyDescent="0.3">
      <c r="A375" s="6">
        <v>38709</v>
      </c>
      <c r="B375" s="7">
        <v>0.66666666666666663</v>
      </c>
      <c r="C375" s="5">
        <v>206</v>
      </c>
      <c r="D375" s="5">
        <v>208</v>
      </c>
      <c r="E375" s="5">
        <v>206</v>
      </c>
      <c r="F375" s="5">
        <v>208</v>
      </c>
      <c r="G375" s="5">
        <v>5800</v>
      </c>
      <c r="I375" s="6">
        <v>40353</v>
      </c>
      <c r="J375" s="7">
        <v>0.66666666666666663</v>
      </c>
      <c r="K375" s="5">
        <v>3998.6399000000001</v>
      </c>
      <c r="L375" s="5">
        <v>4025</v>
      </c>
      <c r="M375" s="5">
        <v>3990</v>
      </c>
      <c r="N375" s="5">
        <v>4024.27</v>
      </c>
      <c r="O375" s="5">
        <v>32</v>
      </c>
      <c r="Q375" s="6">
        <v>38694</v>
      </c>
      <c r="R375" s="7">
        <v>0.66666666666666663</v>
      </c>
      <c r="S375" s="5">
        <v>216</v>
      </c>
      <c r="T375" s="5">
        <v>224</v>
      </c>
      <c r="U375" s="5">
        <v>215</v>
      </c>
      <c r="V375" s="5">
        <v>221.2</v>
      </c>
      <c r="W375" s="5">
        <v>1954700</v>
      </c>
      <c r="Y375" s="6">
        <f t="shared" si="10"/>
        <v>40353</v>
      </c>
      <c r="Z375" s="5">
        <f t="shared" si="11"/>
        <v>4024.27</v>
      </c>
      <c r="AA375" s="5">
        <v>84.25</v>
      </c>
      <c r="AB375" s="5">
        <v>91.04</v>
      </c>
    </row>
    <row r="376" spans="1:28" x14ac:dyDescent="0.3">
      <c r="A376" s="6">
        <v>38712</v>
      </c>
      <c r="B376" s="7">
        <v>0.66666666666666663</v>
      </c>
      <c r="C376" s="5">
        <v>208</v>
      </c>
      <c r="D376" s="5">
        <v>208.05</v>
      </c>
      <c r="E376" s="5">
        <v>207</v>
      </c>
      <c r="F376" s="5">
        <v>207.5</v>
      </c>
      <c r="G376" s="5">
        <v>4200</v>
      </c>
      <c r="I376" s="6">
        <v>40354</v>
      </c>
      <c r="J376" s="7">
        <v>0.66666666666666663</v>
      </c>
      <c r="K376" s="5">
        <v>4024.27</v>
      </c>
      <c r="L376" s="5">
        <v>4141</v>
      </c>
      <c r="M376" s="5">
        <v>3912</v>
      </c>
      <c r="N376" s="5">
        <v>4083.3200999999999</v>
      </c>
      <c r="O376" s="5">
        <v>34</v>
      </c>
      <c r="Q376" s="6">
        <v>38695</v>
      </c>
      <c r="R376" s="7">
        <v>0.66666666666666663</v>
      </c>
      <c r="S376" s="5">
        <v>221.2</v>
      </c>
      <c r="T376" s="5">
        <v>228.25</v>
      </c>
      <c r="U376" s="5">
        <v>217</v>
      </c>
      <c r="V376" s="5">
        <v>218.5</v>
      </c>
      <c r="W376" s="5">
        <v>1382700</v>
      </c>
      <c r="Y376" s="6">
        <f t="shared" si="10"/>
        <v>40354</v>
      </c>
      <c r="Z376" s="5">
        <f t="shared" si="11"/>
        <v>4083.3200999999999</v>
      </c>
      <c r="AA376" s="5">
        <v>82.61</v>
      </c>
      <c r="AB376" s="5">
        <v>91</v>
      </c>
    </row>
    <row r="377" spans="1:28" x14ac:dyDescent="0.3">
      <c r="A377" s="6">
        <v>38713</v>
      </c>
      <c r="B377" s="7">
        <v>0.66666666666666663</v>
      </c>
      <c r="C377" s="5">
        <v>207</v>
      </c>
      <c r="D377" s="5">
        <v>208.5</v>
      </c>
      <c r="E377" s="5">
        <v>207</v>
      </c>
      <c r="F377" s="5">
        <v>207</v>
      </c>
      <c r="G377" s="5">
        <v>4500</v>
      </c>
      <c r="I377" s="6">
        <v>40358</v>
      </c>
      <c r="J377" s="7">
        <v>0.66666666666666663</v>
      </c>
      <c r="K377" s="5">
        <v>3950</v>
      </c>
      <c r="L377" s="5">
        <v>3950</v>
      </c>
      <c r="M377" s="5">
        <v>3772.2</v>
      </c>
      <c r="N377" s="5">
        <v>3830</v>
      </c>
      <c r="O377" s="5">
        <v>42</v>
      </c>
      <c r="Q377" s="6">
        <v>38698</v>
      </c>
      <c r="R377" s="7">
        <v>0.66666666666666663</v>
      </c>
      <c r="S377" s="5">
        <v>218.5</v>
      </c>
      <c r="T377" s="5">
        <v>220</v>
      </c>
      <c r="U377" s="5">
        <v>212.5</v>
      </c>
      <c r="V377" s="5">
        <v>214</v>
      </c>
      <c r="W377" s="5">
        <v>577700</v>
      </c>
      <c r="Y377" s="6">
        <f t="shared" si="10"/>
        <v>40358</v>
      </c>
      <c r="Z377" s="5">
        <f t="shared" si="11"/>
        <v>3830</v>
      </c>
      <c r="AA377" s="5">
        <v>80.59</v>
      </c>
      <c r="AB377" s="5">
        <v>89.25</v>
      </c>
    </row>
    <row r="378" spans="1:28" x14ac:dyDescent="0.3">
      <c r="A378" s="6">
        <v>38714</v>
      </c>
      <c r="B378" s="7">
        <v>0.66666666666666663</v>
      </c>
      <c r="C378" s="5">
        <v>207</v>
      </c>
      <c r="D378" s="5">
        <v>208</v>
      </c>
      <c r="E378" s="5">
        <v>206</v>
      </c>
      <c r="F378" s="5">
        <v>207</v>
      </c>
      <c r="G378" s="5">
        <v>8200</v>
      </c>
      <c r="I378" s="6">
        <v>40359</v>
      </c>
      <c r="J378" s="7">
        <v>0.66666666666666663</v>
      </c>
      <c r="K378" s="5">
        <v>3830.51</v>
      </c>
      <c r="L378" s="5">
        <v>3900</v>
      </c>
      <c r="M378" s="5">
        <v>3830.51</v>
      </c>
      <c r="N378" s="5">
        <v>3885</v>
      </c>
      <c r="O378" s="5">
        <v>50</v>
      </c>
      <c r="Q378" s="6">
        <v>38699</v>
      </c>
      <c r="R378" s="7">
        <v>0.66666666666666663</v>
      </c>
      <c r="S378" s="5">
        <v>214.05</v>
      </c>
      <c r="T378" s="5">
        <v>218.4</v>
      </c>
      <c r="U378" s="5">
        <v>214.05</v>
      </c>
      <c r="V378" s="5">
        <v>217.45</v>
      </c>
      <c r="W378" s="5">
        <v>621600</v>
      </c>
      <c r="Y378" s="6">
        <f t="shared" si="10"/>
        <v>40359</v>
      </c>
      <c r="Z378" s="5">
        <f t="shared" si="11"/>
        <v>3885</v>
      </c>
      <c r="AA378" s="5">
        <v>80.56</v>
      </c>
      <c r="AB378" s="5">
        <v>92.65</v>
      </c>
    </row>
    <row r="379" spans="1:28" x14ac:dyDescent="0.3">
      <c r="A379" s="6">
        <v>38715</v>
      </c>
      <c r="B379" s="7">
        <v>0.66666666666666663</v>
      </c>
      <c r="C379" s="5">
        <v>208</v>
      </c>
      <c r="D379" s="5">
        <v>209.25</v>
      </c>
      <c r="E379" s="5">
        <v>207</v>
      </c>
      <c r="F379" s="5">
        <v>209.25</v>
      </c>
      <c r="G379" s="5">
        <v>14500</v>
      </c>
      <c r="I379" s="6">
        <v>40360</v>
      </c>
      <c r="J379" s="7">
        <v>0.66666666666666663</v>
      </c>
      <c r="K379" s="5">
        <v>3885</v>
      </c>
      <c r="L379" s="5">
        <v>3959</v>
      </c>
      <c r="M379" s="5">
        <v>3861</v>
      </c>
      <c r="N379" s="5">
        <v>3900</v>
      </c>
      <c r="O379" s="5">
        <v>166</v>
      </c>
      <c r="Q379" s="6">
        <v>38700</v>
      </c>
      <c r="R379" s="7">
        <v>0.66666666666666663</v>
      </c>
      <c r="S379" s="5">
        <v>217.45</v>
      </c>
      <c r="T379" s="5">
        <v>218.45</v>
      </c>
      <c r="U379" s="5">
        <v>210.1</v>
      </c>
      <c r="V379" s="5">
        <v>215.75</v>
      </c>
      <c r="W379" s="5">
        <v>863900</v>
      </c>
      <c r="Y379" s="6">
        <f t="shared" si="10"/>
        <v>40360</v>
      </c>
      <c r="Z379" s="5">
        <f t="shared" si="11"/>
        <v>3900</v>
      </c>
      <c r="AA379" s="5">
        <v>80.819999999999993</v>
      </c>
      <c r="AB379" s="5">
        <v>91.5</v>
      </c>
    </row>
    <row r="380" spans="1:28" x14ac:dyDescent="0.3">
      <c r="A380" s="6">
        <v>38716</v>
      </c>
      <c r="B380" s="7">
        <v>0.66666666666666663</v>
      </c>
      <c r="C380" s="5">
        <v>210</v>
      </c>
      <c r="D380" s="5">
        <v>219.7</v>
      </c>
      <c r="E380" s="5">
        <v>210</v>
      </c>
      <c r="F380" s="5">
        <v>219.7</v>
      </c>
      <c r="G380" s="5">
        <v>58600</v>
      </c>
      <c r="I380" s="6">
        <v>40361</v>
      </c>
      <c r="J380" s="7">
        <v>0.66666666666666663</v>
      </c>
      <c r="K380" s="5">
        <v>3900</v>
      </c>
      <c r="L380" s="5">
        <v>3960</v>
      </c>
      <c r="M380" s="5">
        <v>3850</v>
      </c>
      <c r="N380" s="5">
        <v>3909.8200999999999</v>
      </c>
      <c r="O380" s="5">
        <v>151</v>
      </c>
      <c r="Q380" s="6">
        <v>38701</v>
      </c>
      <c r="R380" s="7">
        <v>0.66666666666666663</v>
      </c>
      <c r="S380" s="5">
        <v>215.75</v>
      </c>
      <c r="T380" s="5">
        <v>218</v>
      </c>
      <c r="U380" s="5">
        <v>214</v>
      </c>
      <c r="V380" s="5">
        <v>214</v>
      </c>
      <c r="W380" s="5">
        <v>297200</v>
      </c>
      <c r="Y380" s="6">
        <f t="shared" si="10"/>
        <v>40361</v>
      </c>
      <c r="Z380" s="5">
        <f t="shared" si="11"/>
        <v>3909.8200999999999</v>
      </c>
      <c r="AA380" s="5">
        <v>80.400000000000006</v>
      </c>
      <c r="AB380" s="5">
        <v>91.5</v>
      </c>
    </row>
    <row r="381" spans="1:28" x14ac:dyDescent="0.3">
      <c r="A381" s="6">
        <v>38719</v>
      </c>
      <c r="B381" s="7">
        <v>0.66666666666666663</v>
      </c>
      <c r="C381" s="5">
        <v>222</v>
      </c>
      <c r="D381" s="5">
        <v>230</v>
      </c>
      <c r="E381" s="5">
        <v>221</v>
      </c>
      <c r="F381" s="5">
        <v>230</v>
      </c>
      <c r="G381" s="5">
        <v>43200</v>
      </c>
      <c r="I381" s="6">
        <v>40364</v>
      </c>
      <c r="J381" s="7">
        <v>0.66666666666666663</v>
      </c>
      <c r="K381" s="5">
        <v>3900</v>
      </c>
      <c r="L381" s="5">
        <v>3900</v>
      </c>
      <c r="M381" s="5">
        <v>3900</v>
      </c>
      <c r="N381" s="5">
        <v>3900</v>
      </c>
      <c r="O381" s="5">
        <v>70</v>
      </c>
      <c r="Q381" s="6">
        <v>38702</v>
      </c>
      <c r="R381" s="7">
        <v>0.66666666666666663</v>
      </c>
      <c r="S381" s="5">
        <v>214</v>
      </c>
      <c r="T381" s="5">
        <v>216.1</v>
      </c>
      <c r="U381" s="5">
        <v>211.2</v>
      </c>
      <c r="V381" s="5">
        <v>213</v>
      </c>
      <c r="W381" s="5">
        <v>186700</v>
      </c>
      <c r="Y381" s="6">
        <f t="shared" si="10"/>
        <v>40364</v>
      </c>
      <c r="Z381" s="5">
        <f t="shared" si="11"/>
        <v>3900</v>
      </c>
      <c r="AA381" s="5">
        <v>79.78</v>
      </c>
      <c r="AB381" s="5">
        <v>87.47</v>
      </c>
    </row>
    <row r="382" spans="1:28" x14ac:dyDescent="0.3">
      <c r="A382" s="6">
        <v>38720</v>
      </c>
      <c r="B382" s="7">
        <v>0.66666666666666663</v>
      </c>
      <c r="C382" s="5">
        <v>229</v>
      </c>
      <c r="D382" s="5">
        <v>230</v>
      </c>
      <c r="E382" s="5">
        <v>225</v>
      </c>
      <c r="F382" s="5">
        <v>226</v>
      </c>
      <c r="G382" s="5">
        <v>22600</v>
      </c>
      <c r="I382" s="6">
        <v>40365</v>
      </c>
      <c r="J382" s="7">
        <v>0.66666666666666663</v>
      </c>
      <c r="K382" s="5">
        <v>3900</v>
      </c>
      <c r="L382" s="5">
        <v>3947</v>
      </c>
      <c r="M382" s="5">
        <v>3841</v>
      </c>
      <c r="N382" s="5">
        <v>3909.6498999999999</v>
      </c>
      <c r="O382" s="5">
        <v>263</v>
      </c>
      <c r="Q382" s="6">
        <v>38705</v>
      </c>
      <c r="R382" s="7">
        <v>0.66666666666666663</v>
      </c>
      <c r="S382" s="5">
        <v>213</v>
      </c>
      <c r="T382" s="5">
        <v>214.5</v>
      </c>
      <c r="U382" s="5">
        <v>209</v>
      </c>
      <c r="V382" s="5">
        <v>210.25</v>
      </c>
      <c r="W382" s="5">
        <v>166000</v>
      </c>
      <c r="Y382" s="6">
        <f t="shared" si="10"/>
        <v>40365</v>
      </c>
      <c r="Z382" s="5">
        <f t="shared" si="11"/>
        <v>3909.6498999999999</v>
      </c>
      <c r="AA382" s="5">
        <v>78.75</v>
      </c>
      <c r="AB382" s="5">
        <v>87.55</v>
      </c>
    </row>
    <row r="383" spans="1:28" x14ac:dyDescent="0.3">
      <c r="A383" s="6">
        <v>38721</v>
      </c>
      <c r="B383" s="7">
        <v>0.66666666666666663</v>
      </c>
      <c r="C383" s="5">
        <v>226</v>
      </c>
      <c r="D383" s="5">
        <v>229</v>
      </c>
      <c r="E383" s="5">
        <v>225.5</v>
      </c>
      <c r="F383" s="5">
        <v>226.6</v>
      </c>
      <c r="G383" s="5">
        <v>17400</v>
      </c>
      <c r="I383" s="6">
        <v>40366</v>
      </c>
      <c r="J383" s="7">
        <v>0.66666666666666663</v>
      </c>
      <c r="K383" s="5">
        <v>3909.6498999999999</v>
      </c>
      <c r="L383" s="5">
        <v>3950</v>
      </c>
      <c r="M383" s="5">
        <v>3815</v>
      </c>
      <c r="N383" s="5">
        <v>3940</v>
      </c>
      <c r="O383" s="5">
        <v>78</v>
      </c>
      <c r="Q383" s="6">
        <v>38706</v>
      </c>
      <c r="R383" s="7">
        <v>0.66666666666666663</v>
      </c>
      <c r="S383" s="5">
        <v>210.25</v>
      </c>
      <c r="T383" s="5">
        <v>212.75</v>
      </c>
      <c r="U383" s="5">
        <v>207.8</v>
      </c>
      <c r="V383" s="5">
        <v>209</v>
      </c>
      <c r="W383" s="5">
        <v>168100</v>
      </c>
      <c r="Y383" s="6">
        <f t="shared" si="10"/>
        <v>40366</v>
      </c>
      <c r="Z383" s="5">
        <f t="shared" si="11"/>
        <v>3940</v>
      </c>
      <c r="AA383" s="5">
        <v>81.290000000000006</v>
      </c>
      <c r="AB383" s="5">
        <v>89.79</v>
      </c>
    </row>
    <row r="384" spans="1:28" x14ac:dyDescent="0.3">
      <c r="A384" s="6">
        <v>38722</v>
      </c>
      <c r="B384" s="7">
        <v>0.66666666666666663</v>
      </c>
      <c r="C384" s="5">
        <v>225</v>
      </c>
      <c r="D384" s="5">
        <v>227.95</v>
      </c>
      <c r="E384" s="5">
        <v>224.15</v>
      </c>
      <c r="F384" s="5">
        <v>226.1</v>
      </c>
      <c r="G384" s="5">
        <v>7300</v>
      </c>
      <c r="I384" s="6">
        <v>40367</v>
      </c>
      <c r="J384" s="7">
        <v>0.66666666666666663</v>
      </c>
      <c r="K384" s="5">
        <v>3940</v>
      </c>
      <c r="L384" s="5">
        <v>3988.96</v>
      </c>
      <c r="M384" s="5">
        <v>3901.01</v>
      </c>
      <c r="N384" s="5">
        <v>3949.48</v>
      </c>
      <c r="O384" s="5">
        <v>9</v>
      </c>
      <c r="Q384" s="6">
        <v>38707</v>
      </c>
      <c r="R384" s="7">
        <v>0.66666666666666663</v>
      </c>
      <c r="S384" s="5">
        <v>209</v>
      </c>
      <c r="T384" s="5">
        <v>211.7</v>
      </c>
      <c r="U384" s="5">
        <v>206</v>
      </c>
      <c r="V384" s="5">
        <v>207</v>
      </c>
      <c r="W384" s="5">
        <v>239000</v>
      </c>
      <c r="Y384" s="6">
        <f t="shared" si="10"/>
        <v>40367</v>
      </c>
      <c r="Z384" s="5">
        <f t="shared" si="11"/>
        <v>3949.48</v>
      </c>
      <c r="AA384" s="5">
        <v>82.6</v>
      </c>
      <c r="AB384" s="5">
        <v>89.36</v>
      </c>
    </row>
    <row r="385" spans="1:28" x14ac:dyDescent="0.3">
      <c r="A385" s="6">
        <v>38723</v>
      </c>
      <c r="B385" s="7">
        <v>0.66666666666666663</v>
      </c>
      <c r="C385" s="5">
        <v>226.35</v>
      </c>
      <c r="D385" s="5">
        <v>229</v>
      </c>
      <c r="E385" s="5">
        <v>223.4</v>
      </c>
      <c r="F385" s="5">
        <v>225.5</v>
      </c>
      <c r="G385" s="5">
        <v>14500</v>
      </c>
      <c r="I385" s="6">
        <v>40368</v>
      </c>
      <c r="J385" s="7">
        <v>0.66666666666666663</v>
      </c>
      <c r="K385" s="5">
        <v>3949.48</v>
      </c>
      <c r="L385" s="5">
        <v>4017</v>
      </c>
      <c r="M385" s="5">
        <v>3840</v>
      </c>
      <c r="N385" s="5">
        <v>3999.99</v>
      </c>
      <c r="O385" s="5">
        <v>1419</v>
      </c>
      <c r="Q385" s="6">
        <v>38708</v>
      </c>
      <c r="R385" s="7">
        <v>0.66666666666666663</v>
      </c>
      <c r="S385" s="5">
        <v>207</v>
      </c>
      <c r="T385" s="5">
        <v>208.45</v>
      </c>
      <c r="U385" s="5">
        <v>205</v>
      </c>
      <c r="V385" s="5">
        <v>205.8</v>
      </c>
      <c r="W385" s="5">
        <v>135600</v>
      </c>
      <c r="Y385" s="6">
        <f t="shared" si="10"/>
        <v>40368</v>
      </c>
      <c r="Z385" s="5">
        <f t="shared" si="11"/>
        <v>3999.99</v>
      </c>
      <c r="AA385" s="5">
        <v>84.93</v>
      </c>
      <c r="AB385" s="5">
        <v>89.84</v>
      </c>
    </row>
    <row r="386" spans="1:28" x14ac:dyDescent="0.3">
      <c r="A386" s="6">
        <v>38726</v>
      </c>
      <c r="B386" s="7">
        <v>0.66666666666666663</v>
      </c>
      <c r="C386" s="5">
        <v>226.5</v>
      </c>
      <c r="D386" s="5">
        <v>226.5</v>
      </c>
      <c r="E386" s="5">
        <v>223.5</v>
      </c>
      <c r="F386" s="5">
        <v>223.8</v>
      </c>
      <c r="G386" s="5">
        <v>2300</v>
      </c>
      <c r="I386" s="6">
        <v>40371</v>
      </c>
      <c r="J386" s="7">
        <v>0.66666666666666663</v>
      </c>
      <c r="K386" s="5">
        <v>3999.99</v>
      </c>
      <c r="L386" s="5">
        <v>4099</v>
      </c>
      <c r="M386" s="5">
        <v>3910.1001000000001</v>
      </c>
      <c r="N386" s="5">
        <v>4000</v>
      </c>
      <c r="O386" s="5">
        <v>9</v>
      </c>
      <c r="Q386" s="6">
        <v>38709</v>
      </c>
      <c r="R386" s="7">
        <v>0.66666666666666663</v>
      </c>
      <c r="S386" s="5">
        <v>205.8</v>
      </c>
      <c r="T386" s="5">
        <v>207</v>
      </c>
      <c r="U386" s="5">
        <v>202</v>
      </c>
      <c r="V386" s="5">
        <v>203</v>
      </c>
      <c r="W386" s="5">
        <v>207900</v>
      </c>
      <c r="Y386" s="6">
        <f t="shared" si="10"/>
        <v>40371</v>
      </c>
      <c r="Z386" s="5">
        <f t="shared" si="11"/>
        <v>4000</v>
      </c>
      <c r="AA386" s="5">
        <v>84.27</v>
      </c>
      <c r="AB386" s="5">
        <v>89.52</v>
      </c>
    </row>
    <row r="387" spans="1:28" x14ac:dyDescent="0.3">
      <c r="A387" s="6">
        <v>38733</v>
      </c>
      <c r="B387" s="7">
        <v>0.66666666666666663</v>
      </c>
      <c r="C387" s="5">
        <v>224.95</v>
      </c>
      <c r="D387" s="5">
        <v>227</v>
      </c>
      <c r="E387" s="5">
        <v>224.1</v>
      </c>
      <c r="F387" s="5">
        <v>224.95</v>
      </c>
      <c r="G387" s="5">
        <v>11000</v>
      </c>
      <c r="I387" s="6">
        <v>40372</v>
      </c>
      <c r="J387" s="7">
        <v>0.66666666666666663</v>
      </c>
      <c r="K387" s="5">
        <v>3999.99</v>
      </c>
      <c r="L387" s="5">
        <v>3999.99</v>
      </c>
      <c r="M387" s="5">
        <v>3925.01</v>
      </c>
      <c r="N387" s="5">
        <v>3999.99</v>
      </c>
      <c r="O387" s="5">
        <v>22</v>
      </c>
      <c r="Q387" s="6">
        <v>38712</v>
      </c>
      <c r="R387" s="7">
        <v>0.66666666666666663</v>
      </c>
      <c r="S387" s="5">
        <v>203</v>
      </c>
      <c r="T387" s="5">
        <v>205.1</v>
      </c>
      <c r="U387" s="5">
        <v>200</v>
      </c>
      <c r="V387" s="5">
        <v>200</v>
      </c>
      <c r="W387" s="5">
        <v>112700</v>
      </c>
      <c r="Y387" s="6">
        <f t="shared" si="10"/>
        <v>40372</v>
      </c>
      <c r="Z387" s="5">
        <f t="shared" si="11"/>
        <v>3999.99</v>
      </c>
      <c r="AA387" s="5">
        <v>86.59</v>
      </c>
      <c r="AB387" s="5">
        <v>90.38</v>
      </c>
    </row>
    <row r="388" spans="1:28" x14ac:dyDescent="0.3">
      <c r="A388" s="6">
        <v>38734</v>
      </c>
      <c r="B388" s="7">
        <v>0.66666666666666663</v>
      </c>
      <c r="C388" s="5">
        <v>225</v>
      </c>
      <c r="D388" s="5">
        <v>225</v>
      </c>
      <c r="E388" s="5">
        <v>222.8</v>
      </c>
      <c r="F388" s="5">
        <v>222.8</v>
      </c>
      <c r="G388" s="5">
        <v>2100</v>
      </c>
      <c r="I388" s="6">
        <v>40373</v>
      </c>
      <c r="J388" s="7">
        <v>0.66666666666666663</v>
      </c>
      <c r="K388" s="5">
        <v>3999.99</v>
      </c>
      <c r="L388" s="5">
        <v>4000</v>
      </c>
      <c r="M388" s="5">
        <v>3955</v>
      </c>
      <c r="N388" s="5">
        <v>3997.8200999999999</v>
      </c>
      <c r="O388" s="5">
        <v>27</v>
      </c>
      <c r="Q388" s="6">
        <v>38713</v>
      </c>
      <c r="R388" s="7">
        <v>0.66666666666666663</v>
      </c>
      <c r="S388" s="5">
        <v>200</v>
      </c>
      <c r="T388" s="5">
        <v>209</v>
      </c>
      <c r="U388" s="5">
        <v>200</v>
      </c>
      <c r="V388" s="5">
        <v>205</v>
      </c>
      <c r="W388" s="5">
        <v>383700</v>
      </c>
      <c r="Y388" s="6">
        <f t="shared" ref="Y388:Y451" si="12">I388</f>
        <v>40373</v>
      </c>
      <c r="Z388" s="5">
        <f t="shared" ref="Z388:Z451" si="13">N388</f>
        <v>3997.8200999999999</v>
      </c>
      <c r="AA388" s="5">
        <v>90.91</v>
      </c>
      <c r="AB388" s="5">
        <v>92.9</v>
      </c>
    </row>
    <row r="389" spans="1:28" x14ac:dyDescent="0.3">
      <c r="A389" s="6">
        <v>38735</v>
      </c>
      <c r="B389" s="7">
        <v>0.66666666666666663</v>
      </c>
      <c r="C389" s="5">
        <v>224</v>
      </c>
      <c r="D389" s="5">
        <v>224</v>
      </c>
      <c r="E389" s="5">
        <v>223</v>
      </c>
      <c r="F389" s="5">
        <v>223.75</v>
      </c>
      <c r="G389" s="5">
        <v>6300</v>
      </c>
      <c r="I389" s="6">
        <v>40374</v>
      </c>
      <c r="J389" s="7">
        <v>0.66666666666666663</v>
      </c>
      <c r="K389" s="5">
        <v>3997.8200999999999</v>
      </c>
      <c r="L389" s="5">
        <v>4000</v>
      </c>
      <c r="M389" s="5">
        <v>3830</v>
      </c>
      <c r="N389" s="5">
        <v>3999.77</v>
      </c>
      <c r="O389" s="5">
        <v>3109</v>
      </c>
      <c r="Q389" s="6">
        <v>38714</v>
      </c>
      <c r="R389" s="7">
        <v>0.66666666666666663</v>
      </c>
      <c r="S389" s="5">
        <v>205</v>
      </c>
      <c r="T389" s="5">
        <v>209.75</v>
      </c>
      <c r="U389" s="5">
        <v>204.25</v>
      </c>
      <c r="V389" s="5">
        <v>205</v>
      </c>
      <c r="W389" s="5">
        <v>436600</v>
      </c>
      <c r="Y389" s="6">
        <f t="shared" si="12"/>
        <v>40374</v>
      </c>
      <c r="Z389" s="5">
        <f t="shared" si="13"/>
        <v>3999.77</v>
      </c>
      <c r="AA389" s="5">
        <v>91.6</v>
      </c>
      <c r="AB389" s="5">
        <v>92.89</v>
      </c>
    </row>
    <row r="390" spans="1:28" x14ac:dyDescent="0.3">
      <c r="A390" s="6">
        <v>38736</v>
      </c>
      <c r="B390" s="7">
        <v>0.66666666666666663</v>
      </c>
      <c r="C390" s="5">
        <v>222</v>
      </c>
      <c r="D390" s="5">
        <v>222.5</v>
      </c>
      <c r="E390" s="5">
        <v>219.05</v>
      </c>
      <c r="F390" s="5">
        <v>222.5</v>
      </c>
      <c r="G390" s="5">
        <v>3400</v>
      </c>
      <c r="I390" s="6">
        <v>40375</v>
      </c>
      <c r="J390" s="7">
        <v>0.66666666666666663</v>
      </c>
      <c r="K390" s="5">
        <v>3990.99</v>
      </c>
      <c r="L390" s="5">
        <v>3990.99</v>
      </c>
      <c r="M390" s="5">
        <v>3901</v>
      </c>
      <c r="N390" s="5">
        <v>3982.97</v>
      </c>
      <c r="O390" s="5">
        <v>237</v>
      </c>
      <c r="Q390" s="6">
        <v>38715</v>
      </c>
      <c r="R390" s="7">
        <v>0.66666666666666663</v>
      </c>
      <c r="S390" s="5">
        <v>205</v>
      </c>
      <c r="T390" s="5">
        <v>209.1</v>
      </c>
      <c r="U390" s="5">
        <v>204</v>
      </c>
      <c r="V390" s="5">
        <v>208</v>
      </c>
      <c r="W390" s="5">
        <v>366500</v>
      </c>
      <c r="Y390" s="6">
        <f t="shared" si="12"/>
        <v>40375</v>
      </c>
      <c r="Z390" s="5">
        <f t="shared" si="13"/>
        <v>3982.97</v>
      </c>
      <c r="AA390" s="5">
        <v>91.6</v>
      </c>
      <c r="AB390" s="5">
        <v>92.5</v>
      </c>
    </row>
    <row r="391" spans="1:28" x14ac:dyDescent="0.3">
      <c r="A391" s="6">
        <v>38737</v>
      </c>
      <c r="B391" s="7">
        <v>0.66666666666666663</v>
      </c>
      <c r="C391" s="5">
        <v>222</v>
      </c>
      <c r="D391" s="5">
        <v>222</v>
      </c>
      <c r="E391" s="5">
        <v>220</v>
      </c>
      <c r="F391" s="5">
        <v>221.9</v>
      </c>
      <c r="G391" s="5">
        <v>2500</v>
      </c>
      <c r="I391" s="6">
        <v>40378</v>
      </c>
      <c r="J391" s="7">
        <v>0.66666666666666663</v>
      </c>
      <c r="K391" s="5">
        <v>3982.97</v>
      </c>
      <c r="L391" s="5">
        <v>3995</v>
      </c>
      <c r="M391" s="5">
        <v>3930</v>
      </c>
      <c r="N391" s="5">
        <v>3947.3400999999999</v>
      </c>
      <c r="O391" s="5">
        <v>19</v>
      </c>
      <c r="Q391" s="6">
        <v>38716</v>
      </c>
      <c r="R391" s="7">
        <v>0.66666666666666663</v>
      </c>
      <c r="S391" s="5">
        <v>208</v>
      </c>
      <c r="T391" s="5">
        <v>210.5</v>
      </c>
      <c r="U391" s="5">
        <v>207.5</v>
      </c>
      <c r="V391" s="5">
        <v>208</v>
      </c>
      <c r="W391" s="5">
        <v>536900</v>
      </c>
      <c r="Y391" s="6">
        <f t="shared" si="12"/>
        <v>40378</v>
      </c>
      <c r="Z391" s="5">
        <f t="shared" si="13"/>
        <v>3947.3400999999999</v>
      </c>
      <c r="AA391" s="5">
        <v>91.75</v>
      </c>
      <c r="AB391" s="5">
        <v>93.38</v>
      </c>
    </row>
    <row r="392" spans="1:28" x14ac:dyDescent="0.3">
      <c r="A392" s="6">
        <v>38740</v>
      </c>
      <c r="B392" s="7">
        <v>0.66666666666666663</v>
      </c>
      <c r="C392" s="5">
        <v>217.75</v>
      </c>
      <c r="D392" s="5">
        <v>223</v>
      </c>
      <c r="E392" s="5">
        <v>217.7</v>
      </c>
      <c r="F392" s="5">
        <v>223</v>
      </c>
      <c r="G392" s="5">
        <v>6000</v>
      </c>
      <c r="I392" s="6">
        <v>40379</v>
      </c>
      <c r="J392" s="7">
        <v>0.66666666666666663</v>
      </c>
      <c r="K392" s="5">
        <v>3947.3400999999999</v>
      </c>
      <c r="L392" s="5">
        <v>4000</v>
      </c>
      <c r="M392" s="5">
        <v>3935</v>
      </c>
      <c r="N392" s="5">
        <v>3977.3301000000001</v>
      </c>
      <c r="O392" s="5">
        <v>29</v>
      </c>
      <c r="Q392" s="6">
        <v>38719</v>
      </c>
      <c r="R392" s="7">
        <v>0.66666666666666663</v>
      </c>
      <c r="S392" s="5">
        <v>208.6</v>
      </c>
      <c r="T392" s="5">
        <v>211</v>
      </c>
      <c r="U392" s="5">
        <v>208.6</v>
      </c>
      <c r="V392" s="5">
        <v>210.2</v>
      </c>
      <c r="W392" s="5">
        <v>215500</v>
      </c>
      <c r="Y392" s="6">
        <f t="shared" si="12"/>
        <v>40379</v>
      </c>
      <c r="Z392" s="5">
        <f t="shared" si="13"/>
        <v>3977.3301000000001</v>
      </c>
      <c r="AA392" s="5">
        <v>90.45</v>
      </c>
      <c r="AB392" s="5">
        <v>92.72</v>
      </c>
    </row>
    <row r="393" spans="1:28" x14ac:dyDescent="0.3">
      <c r="A393" s="6">
        <v>38741</v>
      </c>
      <c r="B393" s="7">
        <v>0.66666666666666663</v>
      </c>
      <c r="C393" s="5">
        <v>220</v>
      </c>
      <c r="D393" s="5">
        <v>221.5</v>
      </c>
      <c r="E393" s="5">
        <v>220</v>
      </c>
      <c r="F393" s="5">
        <v>220</v>
      </c>
      <c r="G393" s="5">
        <v>8600</v>
      </c>
      <c r="I393" s="6">
        <v>40380</v>
      </c>
      <c r="J393" s="7">
        <v>0.66666666666666663</v>
      </c>
      <c r="K393" s="5">
        <v>3977.3301000000001</v>
      </c>
      <c r="L393" s="5">
        <v>3994.99</v>
      </c>
      <c r="M393" s="5">
        <v>3900.02</v>
      </c>
      <c r="N393" s="5">
        <v>3952.3301000000001</v>
      </c>
      <c r="O393" s="5">
        <v>10</v>
      </c>
      <c r="Q393" s="6">
        <v>38720</v>
      </c>
      <c r="R393" s="7">
        <v>0.66666666666666663</v>
      </c>
      <c r="S393" s="5">
        <v>211</v>
      </c>
      <c r="T393" s="5">
        <v>213.95</v>
      </c>
      <c r="U393" s="5">
        <v>211</v>
      </c>
      <c r="V393" s="5">
        <v>211.5</v>
      </c>
      <c r="W393" s="5">
        <v>349600</v>
      </c>
      <c r="Y393" s="6">
        <f t="shared" si="12"/>
        <v>40380</v>
      </c>
      <c r="Z393" s="5">
        <f t="shared" si="13"/>
        <v>3952.3301000000001</v>
      </c>
      <c r="AA393" s="5">
        <v>90.06</v>
      </c>
      <c r="AB393" s="5">
        <v>94.75</v>
      </c>
    </row>
    <row r="394" spans="1:28" x14ac:dyDescent="0.3">
      <c r="A394" s="6">
        <v>38742</v>
      </c>
      <c r="B394" s="7">
        <v>0.66666666666666663</v>
      </c>
      <c r="C394" s="5">
        <v>220.75</v>
      </c>
      <c r="D394" s="5">
        <v>220.75</v>
      </c>
      <c r="E394" s="5">
        <v>217.05</v>
      </c>
      <c r="F394" s="5">
        <v>217.05</v>
      </c>
      <c r="G394" s="5">
        <v>1400</v>
      </c>
      <c r="I394" s="6">
        <v>40381</v>
      </c>
      <c r="J394" s="7">
        <v>0.66666666666666663</v>
      </c>
      <c r="K394" s="5">
        <v>3952.3301000000001</v>
      </c>
      <c r="L394" s="5">
        <v>3998.99</v>
      </c>
      <c r="M394" s="5">
        <v>3930</v>
      </c>
      <c r="N394" s="5">
        <v>3963.25</v>
      </c>
      <c r="O394" s="5">
        <v>29</v>
      </c>
      <c r="Q394" s="6">
        <v>38721</v>
      </c>
      <c r="R394" s="7">
        <v>0.66666666666666663</v>
      </c>
      <c r="S394" s="5">
        <v>212.45</v>
      </c>
      <c r="T394" s="5">
        <v>222.05</v>
      </c>
      <c r="U394" s="5">
        <v>212.45</v>
      </c>
      <c r="V394" s="5">
        <v>219</v>
      </c>
      <c r="W394" s="5">
        <v>1442900</v>
      </c>
      <c r="Y394" s="6">
        <f t="shared" si="12"/>
        <v>40381</v>
      </c>
      <c r="Z394" s="5">
        <f t="shared" si="13"/>
        <v>3963.25</v>
      </c>
      <c r="AA394" s="5">
        <v>89.03</v>
      </c>
      <c r="AB394" s="5">
        <v>91.53</v>
      </c>
    </row>
    <row r="395" spans="1:28" x14ac:dyDescent="0.3">
      <c r="A395" s="6">
        <v>38743</v>
      </c>
      <c r="B395" s="7">
        <v>0.66666666666666663</v>
      </c>
      <c r="C395" s="5">
        <v>218.5</v>
      </c>
      <c r="D395" s="5">
        <v>219</v>
      </c>
      <c r="E395" s="5">
        <v>216</v>
      </c>
      <c r="F395" s="5">
        <v>217.5</v>
      </c>
      <c r="G395" s="5">
        <v>6000</v>
      </c>
      <c r="I395" s="6">
        <v>40382</v>
      </c>
      <c r="J395" s="7">
        <v>0.66666666666666663</v>
      </c>
      <c r="K395" s="5">
        <v>3963.25</v>
      </c>
      <c r="L395" s="5">
        <v>4079.99</v>
      </c>
      <c r="M395" s="5">
        <v>3962</v>
      </c>
      <c r="N395" s="5">
        <v>4008</v>
      </c>
      <c r="O395" s="5">
        <v>15</v>
      </c>
      <c r="Q395" s="6">
        <v>38722</v>
      </c>
      <c r="R395" s="7">
        <v>0.66666666666666663</v>
      </c>
      <c r="S395" s="5">
        <v>219.5</v>
      </c>
      <c r="T395" s="5">
        <v>227.8</v>
      </c>
      <c r="U395" s="5">
        <v>219.5</v>
      </c>
      <c r="V395" s="5">
        <v>224</v>
      </c>
      <c r="W395" s="5">
        <v>1648100</v>
      </c>
      <c r="Y395" s="6">
        <f t="shared" si="12"/>
        <v>40382</v>
      </c>
      <c r="Z395" s="5">
        <f t="shared" si="13"/>
        <v>4008</v>
      </c>
      <c r="AA395" s="5">
        <v>88.85</v>
      </c>
      <c r="AB395" s="5">
        <v>92.5</v>
      </c>
    </row>
    <row r="396" spans="1:28" x14ac:dyDescent="0.3">
      <c r="A396" s="6">
        <v>38744</v>
      </c>
      <c r="B396" s="7">
        <v>0.66666666666666663</v>
      </c>
      <c r="C396" s="5">
        <v>212</v>
      </c>
      <c r="D396" s="5">
        <v>220</v>
      </c>
      <c r="E396" s="5">
        <v>212</v>
      </c>
      <c r="F396" s="5">
        <v>217.5</v>
      </c>
      <c r="G396" s="5">
        <v>12800</v>
      </c>
      <c r="I396" s="6">
        <v>40385</v>
      </c>
      <c r="J396" s="7">
        <v>0.66666666666666663</v>
      </c>
      <c r="K396" s="5">
        <v>3985</v>
      </c>
      <c r="L396" s="5">
        <v>3985</v>
      </c>
      <c r="M396" s="5">
        <v>3940</v>
      </c>
      <c r="N396" s="5">
        <v>3952</v>
      </c>
      <c r="O396" s="5">
        <v>55</v>
      </c>
      <c r="Q396" s="6">
        <v>38723</v>
      </c>
      <c r="R396" s="7">
        <v>0.66666666666666663</v>
      </c>
      <c r="S396" s="5">
        <v>224</v>
      </c>
      <c r="T396" s="5">
        <v>228.05</v>
      </c>
      <c r="U396" s="5">
        <v>218.6</v>
      </c>
      <c r="V396" s="5">
        <v>219</v>
      </c>
      <c r="W396" s="5">
        <v>755900</v>
      </c>
      <c r="Y396" s="6">
        <f t="shared" si="12"/>
        <v>40385</v>
      </c>
      <c r="Z396" s="5">
        <f t="shared" si="13"/>
        <v>3952</v>
      </c>
      <c r="AA396" s="5">
        <v>87.78</v>
      </c>
      <c r="AB396" s="5">
        <v>91.15</v>
      </c>
    </row>
    <row r="397" spans="1:28" x14ac:dyDescent="0.3">
      <c r="A397" s="6">
        <v>38747</v>
      </c>
      <c r="B397" s="7">
        <v>0.66666666666666663</v>
      </c>
      <c r="C397" s="5">
        <v>224</v>
      </c>
      <c r="D397" s="5">
        <v>225.6</v>
      </c>
      <c r="E397" s="5">
        <v>222</v>
      </c>
      <c r="F397" s="5">
        <v>225</v>
      </c>
      <c r="G397" s="5">
        <v>12400</v>
      </c>
      <c r="I397" s="6">
        <v>40386</v>
      </c>
      <c r="J397" s="7">
        <v>0.66666666666666663</v>
      </c>
      <c r="K397" s="5">
        <v>3952</v>
      </c>
      <c r="L397" s="5">
        <v>3999</v>
      </c>
      <c r="M397" s="5">
        <v>3950</v>
      </c>
      <c r="N397" s="5">
        <v>3996.5</v>
      </c>
      <c r="O397" s="5">
        <v>11</v>
      </c>
      <c r="Q397" s="6">
        <v>38726</v>
      </c>
      <c r="R397" s="7">
        <v>0.66666666666666663</v>
      </c>
      <c r="S397" s="5">
        <v>219</v>
      </c>
      <c r="T397" s="5">
        <v>221.5</v>
      </c>
      <c r="U397" s="5">
        <v>215</v>
      </c>
      <c r="V397" s="5">
        <v>217.2</v>
      </c>
      <c r="W397" s="5">
        <v>277800</v>
      </c>
      <c r="Y397" s="6">
        <f t="shared" si="12"/>
        <v>40386</v>
      </c>
      <c r="Z397" s="5">
        <f t="shared" si="13"/>
        <v>3996.5</v>
      </c>
      <c r="AA397" s="5">
        <v>88.31</v>
      </c>
      <c r="AB397" s="5">
        <v>91.69</v>
      </c>
    </row>
    <row r="398" spans="1:28" x14ac:dyDescent="0.3">
      <c r="A398" s="6">
        <v>38748</v>
      </c>
      <c r="B398" s="7">
        <v>0.66666666666666663</v>
      </c>
      <c r="C398" s="5">
        <v>225.5</v>
      </c>
      <c r="D398" s="5">
        <v>229.85</v>
      </c>
      <c r="E398" s="5">
        <v>225</v>
      </c>
      <c r="F398" s="5">
        <v>226</v>
      </c>
      <c r="G398" s="5">
        <v>30800</v>
      </c>
      <c r="I398" s="6">
        <v>40387</v>
      </c>
      <c r="J398" s="7">
        <v>0.66666666666666663</v>
      </c>
      <c r="K398" s="5">
        <v>3996.5</v>
      </c>
      <c r="L398" s="5">
        <v>4009</v>
      </c>
      <c r="M398" s="5">
        <v>3961</v>
      </c>
      <c r="N398" s="5">
        <v>3961.1698999999999</v>
      </c>
      <c r="O398" s="5">
        <v>134</v>
      </c>
      <c r="Q398" s="6">
        <v>38733</v>
      </c>
      <c r="R398" s="7">
        <v>0.66666666666666663</v>
      </c>
      <c r="S398" s="5">
        <v>217.2</v>
      </c>
      <c r="T398" s="5">
        <v>220.95</v>
      </c>
      <c r="U398" s="5">
        <v>216.75</v>
      </c>
      <c r="V398" s="5">
        <v>220.4</v>
      </c>
      <c r="W398" s="5">
        <v>552400</v>
      </c>
      <c r="Y398" s="6">
        <f t="shared" si="12"/>
        <v>40387</v>
      </c>
      <c r="Z398" s="5">
        <f t="shared" si="13"/>
        <v>3961.1698999999999</v>
      </c>
      <c r="AA398" s="5">
        <v>91.06</v>
      </c>
      <c r="AB398" s="5">
        <v>92.5</v>
      </c>
    </row>
    <row r="399" spans="1:28" x14ac:dyDescent="0.3">
      <c r="A399" s="6">
        <v>38749</v>
      </c>
      <c r="B399" s="7">
        <v>0.66666666666666663</v>
      </c>
      <c r="C399" s="5">
        <v>228.95</v>
      </c>
      <c r="D399" s="5">
        <v>228.95</v>
      </c>
      <c r="E399" s="5">
        <v>223</v>
      </c>
      <c r="F399" s="5">
        <v>223</v>
      </c>
      <c r="G399" s="5">
        <v>28600</v>
      </c>
      <c r="I399" s="6">
        <v>40388</v>
      </c>
      <c r="J399" s="7">
        <v>0.66666666666666663</v>
      </c>
      <c r="K399" s="5">
        <v>3961.1698999999999</v>
      </c>
      <c r="L399" s="5">
        <v>4010</v>
      </c>
      <c r="M399" s="5">
        <v>3950</v>
      </c>
      <c r="N399" s="5">
        <v>3999.46</v>
      </c>
      <c r="O399" s="5">
        <v>152</v>
      </c>
      <c r="Q399" s="6">
        <v>38734</v>
      </c>
      <c r="R399" s="7">
        <v>0.66666666666666663</v>
      </c>
      <c r="S399" s="5">
        <v>220.4</v>
      </c>
      <c r="T399" s="5">
        <v>226.8</v>
      </c>
      <c r="U399" s="5">
        <v>217.1</v>
      </c>
      <c r="V399" s="5">
        <v>222</v>
      </c>
      <c r="W399" s="5">
        <v>931300</v>
      </c>
      <c r="Y399" s="6">
        <f t="shared" si="12"/>
        <v>40388</v>
      </c>
      <c r="Z399" s="5">
        <f t="shared" si="13"/>
        <v>3999.46</v>
      </c>
      <c r="AA399" s="5">
        <v>89.97</v>
      </c>
      <c r="AB399" s="5">
        <v>92.71</v>
      </c>
    </row>
    <row r="400" spans="1:28" x14ac:dyDescent="0.3">
      <c r="A400" s="6">
        <v>38750</v>
      </c>
      <c r="B400" s="7">
        <v>0.66666666666666663</v>
      </c>
      <c r="C400" s="5">
        <v>223</v>
      </c>
      <c r="D400" s="5">
        <v>224</v>
      </c>
      <c r="E400" s="5">
        <v>221</v>
      </c>
      <c r="F400" s="5">
        <v>224</v>
      </c>
      <c r="G400" s="5">
        <v>5500</v>
      </c>
      <c r="I400" s="6">
        <v>40389</v>
      </c>
      <c r="J400" s="7">
        <v>0.66666666666666663</v>
      </c>
      <c r="K400" s="5">
        <v>3999.46</v>
      </c>
      <c r="L400" s="5">
        <v>4010</v>
      </c>
      <c r="M400" s="5">
        <v>3910</v>
      </c>
      <c r="N400" s="5">
        <v>3991.6799000000001</v>
      </c>
      <c r="O400" s="5">
        <v>571</v>
      </c>
      <c r="Q400" s="6">
        <v>38735</v>
      </c>
      <c r="R400" s="7">
        <v>0.66666666666666663</v>
      </c>
      <c r="S400" s="5">
        <v>222</v>
      </c>
      <c r="T400" s="5">
        <v>225</v>
      </c>
      <c r="U400" s="5">
        <v>220.6</v>
      </c>
      <c r="V400" s="5">
        <v>221.9</v>
      </c>
      <c r="W400" s="5">
        <v>205600</v>
      </c>
      <c r="Y400" s="6">
        <f t="shared" si="12"/>
        <v>40389</v>
      </c>
      <c r="Z400" s="5">
        <f t="shared" si="13"/>
        <v>3991.6799000000001</v>
      </c>
      <c r="AA400" s="5">
        <v>91.5</v>
      </c>
      <c r="AB400" s="5">
        <v>93.63</v>
      </c>
    </row>
    <row r="401" spans="1:28" x14ac:dyDescent="0.3">
      <c r="A401" s="6">
        <v>38751</v>
      </c>
      <c r="B401" s="7">
        <v>0.66666666666666663</v>
      </c>
      <c r="C401" s="5">
        <v>222</v>
      </c>
      <c r="D401" s="5">
        <v>223</v>
      </c>
      <c r="E401" s="5">
        <v>220.1</v>
      </c>
      <c r="F401" s="5">
        <v>222</v>
      </c>
      <c r="G401" s="5">
        <v>13300</v>
      </c>
      <c r="I401" s="6">
        <v>40392</v>
      </c>
      <c r="J401" s="7">
        <v>0.66666666666666663</v>
      </c>
      <c r="K401" s="5">
        <v>3991.6799000000001</v>
      </c>
      <c r="L401" s="5">
        <v>4039</v>
      </c>
      <c r="M401" s="5">
        <v>3910</v>
      </c>
      <c r="N401" s="5">
        <v>3965.25</v>
      </c>
      <c r="O401" s="5">
        <v>13</v>
      </c>
      <c r="Q401" s="6">
        <v>38736</v>
      </c>
      <c r="R401" s="7">
        <v>0.66666666666666663</v>
      </c>
      <c r="S401" s="5">
        <v>221.9</v>
      </c>
      <c r="T401" s="5">
        <v>223</v>
      </c>
      <c r="U401" s="5">
        <v>219</v>
      </c>
      <c r="V401" s="5">
        <v>219.95</v>
      </c>
      <c r="W401" s="5">
        <v>188800</v>
      </c>
      <c r="Y401" s="6">
        <f t="shared" si="12"/>
        <v>40392</v>
      </c>
      <c r="Z401" s="5">
        <f t="shared" si="13"/>
        <v>3965.25</v>
      </c>
      <c r="AA401" s="5">
        <v>88.98</v>
      </c>
      <c r="AB401" s="5">
        <v>92.63</v>
      </c>
    </row>
    <row r="402" spans="1:28" x14ac:dyDescent="0.3">
      <c r="A402" s="6">
        <v>38754</v>
      </c>
      <c r="B402" s="7">
        <v>0.66666666666666663</v>
      </c>
      <c r="C402" s="5">
        <v>228</v>
      </c>
      <c r="D402" s="5">
        <v>228</v>
      </c>
      <c r="E402" s="5">
        <v>220.55</v>
      </c>
      <c r="F402" s="5">
        <v>224</v>
      </c>
      <c r="G402" s="5">
        <v>32500</v>
      </c>
      <c r="I402" s="6">
        <v>40393</v>
      </c>
      <c r="J402" s="7">
        <v>0.66666666666666663</v>
      </c>
      <c r="K402" s="5">
        <v>3985</v>
      </c>
      <c r="L402" s="5">
        <v>4000</v>
      </c>
      <c r="M402" s="5">
        <v>3985</v>
      </c>
      <c r="N402" s="5">
        <v>4000</v>
      </c>
      <c r="O402" s="5">
        <v>11</v>
      </c>
      <c r="Q402" s="6">
        <v>38737</v>
      </c>
      <c r="R402" s="7">
        <v>0.66666666666666663</v>
      </c>
      <c r="S402" s="5">
        <v>219.95</v>
      </c>
      <c r="T402" s="5">
        <v>221.45</v>
      </c>
      <c r="U402" s="5">
        <v>216.25</v>
      </c>
      <c r="V402" s="5">
        <v>218.85</v>
      </c>
      <c r="W402" s="5">
        <v>136600</v>
      </c>
      <c r="Y402" s="6">
        <f t="shared" si="12"/>
        <v>40393</v>
      </c>
      <c r="Z402" s="5">
        <f t="shared" si="13"/>
        <v>4000</v>
      </c>
      <c r="AA402" s="5">
        <v>88.81</v>
      </c>
      <c r="AB402" s="5">
        <v>92.33</v>
      </c>
    </row>
    <row r="403" spans="1:28" x14ac:dyDescent="0.3">
      <c r="A403" s="6">
        <v>38755</v>
      </c>
      <c r="B403" s="7">
        <v>0.66666666666666663</v>
      </c>
      <c r="C403" s="5">
        <v>224</v>
      </c>
      <c r="D403" s="5">
        <v>235.2</v>
      </c>
      <c r="E403" s="5">
        <v>224</v>
      </c>
      <c r="F403" s="5">
        <v>235.2</v>
      </c>
      <c r="G403" s="5">
        <v>130000</v>
      </c>
      <c r="I403" s="6">
        <v>40394</v>
      </c>
      <c r="J403" s="7">
        <v>0.66666666666666663</v>
      </c>
      <c r="K403" s="5">
        <v>4000</v>
      </c>
      <c r="L403" s="5">
        <v>4010</v>
      </c>
      <c r="M403" s="5">
        <v>3970</v>
      </c>
      <c r="N403" s="5">
        <v>3987.52</v>
      </c>
      <c r="O403" s="5">
        <v>4</v>
      </c>
      <c r="Q403" s="6">
        <v>38740</v>
      </c>
      <c r="R403" s="7">
        <v>0.66666666666666663</v>
      </c>
      <c r="S403" s="5">
        <v>218.85</v>
      </c>
      <c r="T403" s="5">
        <v>221.5</v>
      </c>
      <c r="U403" s="5">
        <v>218</v>
      </c>
      <c r="V403" s="5">
        <v>219.5</v>
      </c>
      <c r="W403" s="5">
        <v>114600</v>
      </c>
      <c r="Y403" s="6">
        <f t="shared" si="12"/>
        <v>40394</v>
      </c>
      <c r="Z403" s="5">
        <f t="shared" si="13"/>
        <v>3987.52</v>
      </c>
      <c r="AA403" s="5">
        <v>92.02</v>
      </c>
      <c r="AB403" s="5">
        <v>92.93</v>
      </c>
    </row>
    <row r="404" spans="1:28" x14ac:dyDescent="0.3">
      <c r="A404" s="6">
        <v>38758</v>
      </c>
      <c r="B404" s="7">
        <v>0.66666666666666663</v>
      </c>
      <c r="C404" s="5">
        <v>244</v>
      </c>
      <c r="D404" s="5">
        <v>244</v>
      </c>
      <c r="E404" s="5">
        <v>233.05</v>
      </c>
      <c r="F404" s="5">
        <v>235.5</v>
      </c>
      <c r="G404" s="5">
        <v>89500</v>
      </c>
      <c r="I404" s="6">
        <v>40395</v>
      </c>
      <c r="J404" s="7">
        <v>0.66666666666666663</v>
      </c>
      <c r="K404" s="5">
        <v>3987.52</v>
      </c>
      <c r="L404" s="5">
        <v>4001</v>
      </c>
      <c r="M404" s="5">
        <v>3801.01</v>
      </c>
      <c r="N404" s="5">
        <v>3999.7</v>
      </c>
      <c r="O404" s="5">
        <v>413</v>
      </c>
      <c r="Q404" s="6">
        <v>38741</v>
      </c>
      <c r="R404" s="7">
        <v>0.66666666666666663</v>
      </c>
      <c r="S404" s="5">
        <v>219.5</v>
      </c>
      <c r="T404" s="5">
        <v>220.4</v>
      </c>
      <c r="U404" s="5">
        <v>212</v>
      </c>
      <c r="V404" s="5">
        <v>213.5</v>
      </c>
      <c r="W404" s="5">
        <v>170500</v>
      </c>
      <c r="Y404" s="6">
        <f t="shared" si="12"/>
        <v>40395</v>
      </c>
      <c r="Z404" s="5">
        <f t="shared" si="13"/>
        <v>3999.7</v>
      </c>
      <c r="AA404" s="5">
        <v>89.29</v>
      </c>
      <c r="AB404" s="5">
        <v>92.22</v>
      </c>
    </row>
    <row r="405" spans="1:28" x14ac:dyDescent="0.3">
      <c r="A405" s="6">
        <v>38761</v>
      </c>
      <c r="B405" s="7">
        <v>0.66666666666666663</v>
      </c>
      <c r="C405" s="5">
        <v>236</v>
      </c>
      <c r="D405" s="5">
        <v>236</v>
      </c>
      <c r="E405" s="5">
        <v>228.1</v>
      </c>
      <c r="F405" s="5">
        <v>230.5</v>
      </c>
      <c r="G405" s="5">
        <v>40500</v>
      </c>
      <c r="I405" s="6">
        <v>40396</v>
      </c>
      <c r="J405" s="7">
        <v>0.66666666666666663</v>
      </c>
      <c r="K405" s="5">
        <v>3999.7</v>
      </c>
      <c r="L405" s="5">
        <v>4010</v>
      </c>
      <c r="M405" s="5">
        <v>3915</v>
      </c>
      <c r="N405" s="5">
        <v>3958.1298999999999</v>
      </c>
      <c r="O405" s="5">
        <v>255</v>
      </c>
      <c r="Q405" s="6">
        <v>38742</v>
      </c>
      <c r="R405" s="7">
        <v>0.66666666666666663</v>
      </c>
      <c r="S405" s="5">
        <v>213.5</v>
      </c>
      <c r="T405" s="5">
        <v>214.75</v>
      </c>
      <c r="U405" s="5">
        <v>207</v>
      </c>
      <c r="V405" s="5">
        <v>210</v>
      </c>
      <c r="W405" s="5">
        <v>223100</v>
      </c>
      <c r="Y405" s="6">
        <f t="shared" si="12"/>
        <v>40396</v>
      </c>
      <c r="Z405" s="5">
        <f t="shared" si="13"/>
        <v>3958.1298999999999</v>
      </c>
      <c r="AA405" s="5">
        <v>86.98</v>
      </c>
      <c r="AB405" s="5">
        <v>91.84</v>
      </c>
    </row>
    <row r="406" spans="1:28" x14ac:dyDescent="0.3">
      <c r="A406" s="6">
        <v>38762</v>
      </c>
      <c r="B406" s="7">
        <v>0.66666666666666663</v>
      </c>
      <c r="C406" s="5">
        <v>233.75</v>
      </c>
      <c r="D406" s="5">
        <v>234.5</v>
      </c>
      <c r="E406" s="5">
        <v>228.5</v>
      </c>
      <c r="F406" s="5">
        <v>230</v>
      </c>
      <c r="G406" s="5">
        <v>12600</v>
      </c>
      <c r="I406" s="6">
        <v>40397</v>
      </c>
      <c r="J406" s="7">
        <v>0.66666666666666663</v>
      </c>
      <c r="K406" s="5">
        <v>3958.1298999999999</v>
      </c>
      <c r="L406" s="5">
        <v>3988.96</v>
      </c>
      <c r="M406" s="5">
        <v>3901.01</v>
      </c>
      <c r="N406" s="5">
        <v>3949.48</v>
      </c>
      <c r="O406" s="5">
        <v>9</v>
      </c>
      <c r="Q406" s="6">
        <v>38743</v>
      </c>
      <c r="R406" s="7">
        <v>0.66666666666666663</v>
      </c>
      <c r="S406" s="5">
        <v>210</v>
      </c>
      <c r="T406" s="5">
        <v>210.6</v>
      </c>
      <c r="U406" s="5">
        <v>201.6</v>
      </c>
      <c r="V406" s="5">
        <v>208</v>
      </c>
      <c r="W406" s="5">
        <v>297200</v>
      </c>
      <c r="Y406" s="6">
        <f t="shared" si="12"/>
        <v>40397</v>
      </c>
      <c r="Z406" s="5">
        <f t="shared" si="13"/>
        <v>3949.48</v>
      </c>
      <c r="AA406" s="5" t="e">
        <v>#N/A</v>
      </c>
      <c r="AB406" s="5">
        <v>89.36</v>
      </c>
    </row>
    <row r="407" spans="1:28" x14ac:dyDescent="0.3">
      <c r="A407" s="6">
        <v>38763</v>
      </c>
      <c r="B407" s="7">
        <v>0.66666666666666663</v>
      </c>
      <c r="C407" s="5">
        <v>232.4</v>
      </c>
      <c r="D407" s="5">
        <v>236</v>
      </c>
      <c r="E407" s="5">
        <v>230.5</v>
      </c>
      <c r="F407" s="5">
        <v>235</v>
      </c>
      <c r="G407" s="5">
        <v>35300</v>
      </c>
      <c r="I407" s="6">
        <v>40399</v>
      </c>
      <c r="J407" s="7">
        <v>0.66666666666666663</v>
      </c>
      <c r="K407" s="5">
        <v>3949.48</v>
      </c>
      <c r="L407" s="5">
        <v>4040</v>
      </c>
      <c r="M407" s="5">
        <v>3900</v>
      </c>
      <c r="N407" s="5">
        <v>3960.3400999999999</v>
      </c>
      <c r="O407" s="5">
        <v>1514</v>
      </c>
      <c r="Q407" s="6">
        <v>38744</v>
      </c>
      <c r="R407" s="7">
        <v>0.66666666666666663</v>
      </c>
      <c r="S407" s="5">
        <v>209</v>
      </c>
      <c r="T407" s="5">
        <v>215.5</v>
      </c>
      <c r="U407" s="5">
        <v>209</v>
      </c>
      <c r="V407" s="5">
        <v>213.5</v>
      </c>
      <c r="W407" s="5">
        <v>665400</v>
      </c>
      <c r="Y407" s="6">
        <f t="shared" si="12"/>
        <v>40399</v>
      </c>
      <c r="Z407" s="5">
        <f t="shared" si="13"/>
        <v>3960.3400999999999</v>
      </c>
      <c r="AA407" s="5">
        <v>82.81</v>
      </c>
      <c r="AB407" s="5">
        <v>89.26</v>
      </c>
    </row>
    <row r="408" spans="1:28" x14ac:dyDescent="0.3">
      <c r="A408" s="6">
        <v>38764</v>
      </c>
      <c r="B408" s="7">
        <v>0.66666666666666663</v>
      </c>
      <c r="C408" s="5">
        <v>235.15</v>
      </c>
      <c r="D408" s="5">
        <v>235.15</v>
      </c>
      <c r="E408" s="5">
        <v>230.1</v>
      </c>
      <c r="F408" s="5">
        <v>231</v>
      </c>
      <c r="G408" s="5">
        <v>10500</v>
      </c>
      <c r="I408" s="6">
        <v>40400</v>
      </c>
      <c r="J408" s="7">
        <v>0.66666666666666663</v>
      </c>
      <c r="K408" s="5">
        <v>3960.3400999999999</v>
      </c>
      <c r="L408" s="5">
        <v>4000</v>
      </c>
      <c r="M408" s="5">
        <v>3763</v>
      </c>
      <c r="N408" s="5">
        <v>3932.6298999999999</v>
      </c>
      <c r="O408" s="5">
        <v>267</v>
      </c>
      <c r="Q408" s="6">
        <v>38747</v>
      </c>
      <c r="R408" s="7">
        <v>0.66666666666666663</v>
      </c>
      <c r="S408" s="5">
        <v>213.5</v>
      </c>
      <c r="T408" s="5">
        <v>217.6</v>
      </c>
      <c r="U408" s="5">
        <v>209.05</v>
      </c>
      <c r="V408" s="5">
        <v>212.95</v>
      </c>
      <c r="W408" s="5">
        <v>627100</v>
      </c>
      <c r="Y408" s="6">
        <f t="shared" si="12"/>
        <v>40400</v>
      </c>
      <c r="Z408" s="5">
        <f t="shared" si="13"/>
        <v>3932.6298999999999</v>
      </c>
      <c r="AA408" s="5">
        <v>81.08</v>
      </c>
      <c r="AB408" s="5">
        <v>89</v>
      </c>
    </row>
    <row r="409" spans="1:28" x14ac:dyDescent="0.3">
      <c r="A409" s="6">
        <v>38765</v>
      </c>
      <c r="B409" s="7">
        <v>0.66666666666666663</v>
      </c>
      <c r="C409" s="5">
        <v>224</v>
      </c>
      <c r="D409" s="5">
        <v>230</v>
      </c>
      <c r="E409" s="5">
        <v>224</v>
      </c>
      <c r="F409" s="5">
        <v>229</v>
      </c>
      <c r="G409" s="5">
        <v>10100</v>
      </c>
      <c r="I409" s="6">
        <v>40401</v>
      </c>
      <c r="J409" s="7">
        <v>0.66666666666666663</v>
      </c>
      <c r="K409" s="5">
        <v>3932.6298999999999</v>
      </c>
      <c r="L409" s="5">
        <v>3960</v>
      </c>
      <c r="M409" s="5">
        <v>3871.02</v>
      </c>
      <c r="N409" s="5">
        <v>3901.75</v>
      </c>
      <c r="O409" s="5">
        <v>277</v>
      </c>
      <c r="Q409" s="6">
        <v>38748</v>
      </c>
      <c r="R409" s="7">
        <v>0.66666666666666663</v>
      </c>
      <c r="S409" s="5">
        <v>212.95</v>
      </c>
      <c r="T409" s="5">
        <v>213.5</v>
      </c>
      <c r="U409" s="5">
        <v>206</v>
      </c>
      <c r="V409" s="5">
        <v>206</v>
      </c>
      <c r="W409" s="5">
        <v>391300</v>
      </c>
      <c r="Y409" s="6">
        <f t="shared" si="12"/>
        <v>40401</v>
      </c>
      <c r="Z409" s="5">
        <f t="shared" si="13"/>
        <v>3901.75</v>
      </c>
      <c r="AA409" s="5">
        <v>82.8</v>
      </c>
      <c r="AB409" s="5">
        <v>88.8</v>
      </c>
    </row>
    <row r="410" spans="1:28" x14ac:dyDescent="0.3">
      <c r="A410" s="6">
        <v>38768</v>
      </c>
      <c r="B410" s="7">
        <v>0.66666666666666663</v>
      </c>
      <c r="C410" s="5">
        <v>228.5</v>
      </c>
      <c r="D410" s="5">
        <v>229</v>
      </c>
      <c r="E410" s="5">
        <v>228.15</v>
      </c>
      <c r="F410" s="5">
        <v>229</v>
      </c>
      <c r="G410" s="5">
        <v>7000</v>
      </c>
      <c r="I410" s="6">
        <v>40402</v>
      </c>
      <c r="J410" s="7">
        <v>0.66666666666666663</v>
      </c>
      <c r="K410" s="5">
        <v>3901.75</v>
      </c>
      <c r="L410" s="5">
        <v>3999.98</v>
      </c>
      <c r="M410" s="5">
        <v>3800</v>
      </c>
      <c r="N410" s="5">
        <v>3939.49</v>
      </c>
      <c r="O410" s="5">
        <v>9</v>
      </c>
      <c r="Q410" s="6">
        <v>38749</v>
      </c>
      <c r="R410" s="7">
        <v>0.66666666666666663</v>
      </c>
      <c r="S410" s="5">
        <v>206</v>
      </c>
      <c r="T410" s="5">
        <v>209.5</v>
      </c>
      <c r="U410" s="5">
        <v>203</v>
      </c>
      <c r="V410" s="5">
        <v>204.95</v>
      </c>
      <c r="W410" s="5">
        <v>811600</v>
      </c>
      <c r="Y410" s="6">
        <f t="shared" si="12"/>
        <v>40402</v>
      </c>
      <c r="Z410" s="5">
        <f t="shared" si="13"/>
        <v>3939.49</v>
      </c>
      <c r="AA410" s="5">
        <v>81.53</v>
      </c>
      <c r="AB410" s="5">
        <v>89</v>
      </c>
    </row>
    <row r="411" spans="1:28" x14ac:dyDescent="0.3">
      <c r="A411" s="6">
        <v>38769</v>
      </c>
      <c r="B411" s="7">
        <v>0.66666666666666663</v>
      </c>
      <c r="C411" s="5">
        <v>229</v>
      </c>
      <c r="D411" s="5">
        <v>232</v>
      </c>
      <c r="E411" s="5">
        <v>229</v>
      </c>
      <c r="F411" s="5">
        <v>230</v>
      </c>
      <c r="G411" s="5">
        <v>7300</v>
      </c>
      <c r="I411" s="6">
        <v>40403</v>
      </c>
      <c r="J411" s="7">
        <v>0.66666666666666663</v>
      </c>
      <c r="K411" s="5">
        <v>3939.49</v>
      </c>
      <c r="L411" s="5">
        <v>3975</v>
      </c>
      <c r="M411" s="5">
        <v>3900</v>
      </c>
      <c r="N411" s="5">
        <v>3900</v>
      </c>
      <c r="O411" s="5">
        <v>7</v>
      </c>
      <c r="Q411" s="6">
        <v>38750</v>
      </c>
      <c r="R411" s="7">
        <v>0.66666666666666663</v>
      </c>
      <c r="S411" s="5">
        <v>204.95</v>
      </c>
      <c r="T411" s="5">
        <v>206</v>
      </c>
      <c r="U411" s="5">
        <v>194.75</v>
      </c>
      <c r="V411" s="5">
        <v>194.75</v>
      </c>
      <c r="W411" s="5">
        <v>1194000</v>
      </c>
      <c r="Y411" s="6">
        <f t="shared" si="12"/>
        <v>40403</v>
      </c>
      <c r="Z411" s="5">
        <f t="shared" si="13"/>
        <v>3900</v>
      </c>
      <c r="AA411" s="5">
        <v>81.39</v>
      </c>
      <c r="AB411" s="5">
        <v>88</v>
      </c>
    </row>
    <row r="412" spans="1:28" x14ac:dyDescent="0.3">
      <c r="A412" s="6">
        <v>38770</v>
      </c>
      <c r="B412" s="7">
        <v>0.66666666666666663</v>
      </c>
      <c r="C412" s="5">
        <v>232.95</v>
      </c>
      <c r="D412" s="5">
        <v>232.95</v>
      </c>
      <c r="E412" s="5">
        <v>230</v>
      </c>
      <c r="F412" s="5">
        <v>230</v>
      </c>
      <c r="G412" s="5">
        <v>5100</v>
      </c>
      <c r="I412" s="6">
        <v>40406</v>
      </c>
      <c r="J412" s="7">
        <v>0.66666666666666663</v>
      </c>
      <c r="K412" s="5">
        <v>3900</v>
      </c>
      <c r="L412" s="5">
        <v>3999</v>
      </c>
      <c r="M412" s="5">
        <v>3710.01</v>
      </c>
      <c r="N412" s="5">
        <v>3838.3400999999999</v>
      </c>
      <c r="O412" s="5">
        <v>12</v>
      </c>
      <c r="Q412" s="6">
        <v>38751</v>
      </c>
      <c r="R412" s="7">
        <v>0.66666666666666663</v>
      </c>
      <c r="S412" s="5">
        <v>193.5</v>
      </c>
      <c r="T412" s="5">
        <v>193.5</v>
      </c>
      <c r="U412" s="5">
        <v>186.05</v>
      </c>
      <c r="V412" s="5">
        <v>189.75</v>
      </c>
      <c r="W412" s="5">
        <v>402700</v>
      </c>
      <c r="Y412" s="6">
        <f t="shared" si="12"/>
        <v>40406</v>
      </c>
      <c r="Z412" s="5">
        <f t="shared" si="13"/>
        <v>3838.3400999999999</v>
      </c>
      <c r="AA412" s="5">
        <v>77.33</v>
      </c>
      <c r="AB412" s="5">
        <v>85</v>
      </c>
    </row>
    <row r="413" spans="1:28" x14ac:dyDescent="0.3">
      <c r="A413" s="6">
        <v>38771</v>
      </c>
      <c r="B413" s="7">
        <v>0.66666666666666663</v>
      </c>
      <c r="C413" s="5">
        <v>232</v>
      </c>
      <c r="D413" s="5">
        <v>234.5</v>
      </c>
      <c r="E413" s="5">
        <v>230.6</v>
      </c>
      <c r="F413" s="5">
        <v>233.25</v>
      </c>
      <c r="G413" s="5">
        <v>17800</v>
      </c>
      <c r="I413" s="6">
        <v>40407</v>
      </c>
      <c r="J413" s="7">
        <v>0.66666666666666663</v>
      </c>
      <c r="K413" s="5">
        <v>3838.3400999999999</v>
      </c>
      <c r="L413" s="5">
        <v>3960</v>
      </c>
      <c r="M413" s="5">
        <v>3710</v>
      </c>
      <c r="N413" s="5">
        <v>3813.3301000000001</v>
      </c>
      <c r="O413" s="5">
        <v>15</v>
      </c>
      <c r="Q413" s="6">
        <v>38754</v>
      </c>
      <c r="R413" s="7">
        <v>0.66666666666666663</v>
      </c>
      <c r="S413" s="5">
        <v>190.15</v>
      </c>
      <c r="T413" s="5">
        <v>194</v>
      </c>
      <c r="U413" s="5">
        <v>190.15</v>
      </c>
      <c r="V413" s="5">
        <v>191.9</v>
      </c>
      <c r="W413" s="5">
        <v>250700</v>
      </c>
      <c r="Y413" s="6">
        <f t="shared" si="12"/>
        <v>40407</v>
      </c>
      <c r="Z413" s="5">
        <f t="shared" si="13"/>
        <v>3813.3301000000001</v>
      </c>
      <c r="AA413" s="5">
        <v>76.12</v>
      </c>
      <c r="AB413" s="5">
        <v>83.32</v>
      </c>
    </row>
    <row r="414" spans="1:28" x14ac:dyDescent="0.3">
      <c r="A414" s="6">
        <v>38772</v>
      </c>
      <c r="B414" s="7">
        <v>0.66666666666666663</v>
      </c>
      <c r="C414" s="5">
        <v>231.55</v>
      </c>
      <c r="D414" s="5">
        <v>233</v>
      </c>
      <c r="E414" s="5">
        <v>230.05</v>
      </c>
      <c r="F414" s="5">
        <v>230.1</v>
      </c>
      <c r="G414" s="5">
        <v>7400</v>
      </c>
      <c r="I414" s="6">
        <v>40408</v>
      </c>
      <c r="J414" s="7">
        <v>0.66666666666666663</v>
      </c>
      <c r="K414" s="5">
        <v>3813.3301000000001</v>
      </c>
      <c r="L414" s="5">
        <v>3990</v>
      </c>
      <c r="M414" s="5">
        <v>3710.01</v>
      </c>
      <c r="N414" s="5">
        <v>3874.29</v>
      </c>
      <c r="O414" s="5">
        <v>93</v>
      </c>
      <c r="Q414" s="6">
        <v>38755</v>
      </c>
      <c r="R414" s="7">
        <v>0.66666666666666663</v>
      </c>
      <c r="S414" s="5">
        <v>191.9</v>
      </c>
      <c r="T414" s="5">
        <v>193</v>
      </c>
      <c r="U414" s="5">
        <v>189.5</v>
      </c>
      <c r="V414" s="5">
        <v>191</v>
      </c>
      <c r="W414" s="5">
        <v>132800</v>
      </c>
      <c r="Y414" s="6">
        <f t="shared" si="12"/>
        <v>40408</v>
      </c>
      <c r="Z414" s="5">
        <f t="shared" si="13"/>
        <v>3874.29</v>
      </c>
      <c r="AA414" s="5">
        <v>76.38</v>
      </c>
      <c r="AB414" s="5">
        <v>83.8</v>
      </c>
    </row>
    <row r="415" spans="1:28" x14ac:dyDescent="0.3">
      <c r="A415" s="6">
        <v>38775</v>
      </c>
      <c r="B415" s="7">
        <v>0.66666666666666663</v>
      </c>
      <c r="C415" s="5">
        <v>230.25</v>
      </c>
      <c r="D415" s="5">
        <v>230.25</v>
      </c>
      <c r="E415" s="5">
        <v>225</v>
      </c>
      <c r="F415" s="5">
        <v>229.5</v>
      </c>
      <c r="G415" s="5">
        <v>2800</v>
      </c>
      <c r="I415" s="6">
        <v>40409</v>
      </c>
      <c r="J415" s="7">
        <v>0.66666666666666663</v>
      </c>
      <c r="K415" s="5">
        <v>3874.29</v>
      </c>
      <c r="L415" s="5">
        <v>3990</v>
      </c>
      <c r="M415" s="5">
        <v>3800.23</v>
      </c>
      <c r="N415" s="5">
        <v>3922.3798999999999</v>
      </c>
      <c r="O415" s="5">
        <v>83</v>
      </c>
      <c r="Q415" s="6">
        <v>38758</v>
      </c>
      <c r="R415" s="7">
        <v>0.66666666666666663</v>
      </c>
      <c r="S415" s="5">
        <v>191</v>
      </c>
      <c r="T415" s="5">
        <v>192</v>
      </c>
      <c r="U415" s="5">
        <v>189</v>
      </c>
      <c r="V415" s="5">
        <v>189.1</v>
      </c>
      <c r="W415" s="5">
        <v>159200</v>
      </c>
      <c r="Y415" s="6">
        <f t="shared" si="12"/>
        <v>40409</v>
      </c>
      <c r="Z415" s="5">
        <f t="shared" si="13"/>
        <v>3922.3798999999999</v>
      </c>
      <c r="AA415" s="5">
        <v>80.040000000000006</v>
      </c>
      <c r="AB415" s="5">
        <v>86.17</v>
      </c>
    </row>
    <row r="416" spans="1:28" x14ac:dyDescent="0.3">
      <c r="A416" s="6">
        <v>38776</v>
      </c>
      <c r="B416" s="7">
        <v>0.66666666666666663</v>
      </c>
      <c r="C416" s="5">
        <v>229.5</v>
      </c>
      <c r="D416" s="5">
        <v>230.85</v>
      </c>
      <c r="E416" s="5">
        <v>229</v>
      </c>
      <c r="F416" s="5">
        <v>230.5</v>
      </c>
      <c r="G416" s="5">
        <v>6700</v>
      </c>
      <c r="I416" s="6">
        <v>40410</v>
      </c>
      <c r="J416" s="7">
        <v>0.66666666666666663</v>
      </c>
      <c r="K416" s="5">
        <v>3922.3798999999999</v>
      </c>
      <c r="L416" s="5">
        <v>4000</v>
      </c>
      <c r="M416" s="5">
        <v>3752</v>
      </c>
      <c r="N416" s="5">
        <v>3970.5900999999999</v>
      </c>
      <c r="O416" s="5">
        <v>124</v>
      </c>
      <c r="Q416" s="6">
        <v>38761</v>
      </c>
      <c r="R416" s="7">
        <v>0.66666666666666663</v>
      </c>
      <c r="S416" s="5">
        <v>189.1</v>
      </c>
      <c r="T416" s="5">
        <v>190</v>
      </c>
      <c r="U416" s="5">
        <v>188.05</v>
      </c>
      <c r="V416" s="5">
        <v>189</v>
      </c>
      <c r="W416" s="5">
        <v>99000</v>
      </c>
      <c r="Y416" s="6">
        <f t="shared" si="12"/>
        <v>40410</v>
      </c>
      <c r="Z416" s="5">
        <f t="shared" si="13"/>
        <v>3970.5900999999999</v>
      </c>
      <c r="AA416" s="5">
        <v>82.12</v>
      </c>
      <c r="AB416" s="5">
        <v>86.23</v>
      </c>
    </row>
    <row r="417" spans="1:28" x14ac:dyDescent="0.3">
      <c r="A417" s="6">
        <v>38777</v>
      </c>
      <c r="B417" s="7">
        <v>0.66666666666666663</v>
      </c>
      <c r="C417" s="5">
        <v>235</v>
      </c>
      <c r="D417" s="5">
        <v>235</v>
      </c>
      <c r="E417" s="5">
        <v>229</v>
      </c>
      <c r="F417" s="5">
        <v>230</v>
      </c>
      <c r="G417" s="5">
        <v>19000</v>
      </c>
      <c r="I417" s="6">
        <v>40413</v>
      </c>
      <c r="J417" s="7">
        <v>0.66666666666666663</v>
      </c>
      <c r="K417" s="5">
        <v>3970.5900999999999</v>
      </c>
      <c r="L417" s="5">
        <v>4000</v>
      </c>
      <c r="M417" s="5">
        <v>3950.5</v>
      </c>
      <c r="N417" s="5">
        <v>3970</v>
      </c>
      <c r="O417" s="5">
        <v>154</v>
      </c>
      <c r="Q417" s="6">
        <v>38762</v>
      </c>
      <c r="R417" s="7">
        <v>0.66666666666666663</v>
      </c>
      <c r="S417" s="5">
        <v>189</v>
      </c>
      <c r="T417" s="5">
        <v>194.8</v>
      </c>
      <c r="U417" s="5">
        <v>188</v>
      </c>
      <c r="V417" s="5">
        <v>191</v>
      </c>
      <c r="W417" s="5">
        <v>237800</v>
      </c>
      <c r="Y417" s="6">
        <f t="shared" si="12"/>
        <v>40413</v>
      </c>
      <c r="Z417" s="5">
        <f t="shared" si="13"/>
        <v>3970</v>
      </c>
      <c r="AA417" s="5">
        <v>82.93</v>
      </c>
      <c r="AB417" s="5">
        <v>84.5</v>
      </c>
    </row>
    <row r="418" spans="1:28" x14ac:dyDescent="0.3">
      <c r="A418" s="6">
        <v>38778</v>
      </c>
      <c r="B418" s="7">
        <v>0.66666666666666663</v>
      </c>
      <c r="C418" s="5">
        <v>228.2</v>
      </c>
      <c r="D418" s="5">
        <v>229.05</v>
      </c>
      <c r="E418" s="5">
        <v>227.7</v>
      </c>
      <c r="F418" s="5">
        <v>228.7</v>
      </c>
      <c r="G418" s="5">
        <v>4000</v>
      </c>
      <c r="I418" s="6">
        <v>40414</v>
      </c>
      <c r="J418" s="7">
        <v>0.66666666666666663</v>
      </c>
      <c r="K418" s="5">
        <v>3970</v>
      </c>
      <c r="L418" s="5">
        <v>4045</v>
      </c>
      <c r="M418" s="5">
        <v>3950.01</v>
      </c>
      <c r="N418" s="5">
        <v>3952.72</v>
      </c>
      <c r="O418" s="5">
        <v>22</v>
      </c>
      <c r="Q418" s="6">
        <v>38763</v>
      </c>
      <c r="R418" s="7">
        <v>0.66666666666666663</v>
      </c>
      <c r="S418" s="5">
        <v>191.05</v>
      </c>
      <c r="T418" s="5">
        <v>200.55</v>
      </c>
      <c r="U418" s="5">
        <v>191.05</v>
      </c>
      <c r="V418" s="5">
        <v>200.55</v>
      </c>
      <c r="W418" s="5">
        <v>642300</v>
      </c>
      <c r="Y418" s="6">
        <f t="shared" si="12"/>
        <v>40414</v>
      </c>
      <c r="Z418" s="5">
        <f t="shared" si="13"/>
        <v>3952.72</v>
      </c>
      <c r="AA418" s="5">
        <v>80.239999999999995</v>
      </c>
      <c r="AB418" s="5">
        <v>84.5</v>
      </c>
    </row>
    <row r="419" spans="1:28" x14ac:dyDescent="0.3">
      <c r="A419" s="6">
        <v>38779</v>
      </c>
      <c r="B419" s="7">
        <v>0.66666666666666663</v>
      </c>
      <c r="C419" s="5">
        <v>229.9</v>
      </c>
      <c r="D419" s="5">
        <v>229.9</v>
      </c>
      <c r="E419" s="5">
        <v>228</v>
      </c>
      <c r="F419" s="5">
        <v>228</v>
      </c>
      <c r="G419" s="5">
        <v>1900</v>
      </c>
      <c r="I419" s="6">
        <v>40415</v>
      </c>
      <c r="J419" s="7">
        <v>0.66666666666666663</v>
      </c>
      <c r="K419" s="5">
        <v>3952.72</v>
      </c>
      <c r="L419" s="5">
        <v>4010</v>
      </c>
      <c r="M419" s="5">
        <v>3801.01</v>
      </c>
      <c r="N419" s="5">
        <v>3993.0700999999999</v>
      </c>
      <c r="O419" s="5">
        <v>1434</v>
      </c>
      <c r="Q419" s="6">
        <v>38764</v>
      </c>
      <c r="R419" s="7">
        <v>0.66666666666666663</v>
      </c>
      <c r="S419" s="5">
        <v>202.1</v>
      </c>
      <c r="T419" s="5">
        <v>207.5</v>
      </c>
      <c r="U419" s="5">
        <v>202.1</v>
      </c>
      <c r="V419" s="5">
        <v>205.4</v>
      </c>
      <c r="W419" s="5">
        <v>765000</v>
      </c>
      <c r="Y419" s="6">
        <f t="shared" si="12"/>
        <v>40415</v>
      </c>
      <c r="Z419" s="5">
        <f t="shared" si="13"/>
        <v>3993.0700999999999</v>
      </c>
      <c r="AA419" s="5">
        <v>77.510000000000005</v>
      </c>
      <c r="AB419" s="5">
        <v>81</v>
      </c>
    </row>
    <row r="420" spans="1:28" x14ac:dyDescent="0.3">
      <c r="A420" s="6">
        <v>38782</v>
      </c>
      <c r="B420" s="7">
        <v>0.66666666666666663</v>
      </c>
      <c r="C420" s="5">
        <v>229.5</v>
      </c>
      <c r="D420" s="5">
        <v>229.5</v>
      </c>
      <c r="E420" s="5">
        <v>224.1</v>
      </c>
      <c r="F420" s="5">
        <v>224.1</v>
      </c>
      <c r="G420" s="5">
        <v>3500</v>
      </c>
      <c r="I420" s="6">
        <v>40416</v>
      </c>
      <c r="J420" s="7">
        <v>0.66666666666666663</v>
      </c>
      <c r="K420" s="5">
        <v>3993.0700999999999</v>
      </c>
      <c r="L420" s="5">
        <v>4039</v>
      </c>
      <c r="M420" s="5">
        <v>3885</v>
      </c>
      <c r="N420" s="5">
        <v>3999.03</v>
      </c>
      <c r="O420" s="5">
        <v>1677</v>
      </c>
      <c r="Q420" s="6">
        <v>38765</v>
      </c>
      <c r="R420" s="7">
        <v>0.66666666666666663</v>
      </c>
      <c r="S420" s="5">
        <v>205.4</v>
      </c>
      <c r="T420" s="5">
        <v>206.5</v>
      </c>
      <c r="U420" s="5">
        <v>201.5</v>
      </c>
      <c r="V420" s="5">
        <v>206</v>
      </c>
      <c r="W420" s="5">
        <v>519900</v>
      </c>
      <c r="Y420" s="6">
        <f t="shared" si="12"/>
        <v>40416</v>
      </c>
      <c r="Z420" s="5">
        <f t="shared" si="13"/>
        <v>3999.03</v>
      </c>
      <c r="AA420" s="5">
        <v>79.86</v>
      </c>
      <c r="AB420" s="5">
        <v>79.510000000000005</v>
      </c>
    </row>
    <row r="421" spans="1:28" x14ac:dyDescent="0.3">
      <c r="A421" s="6">
        <v>38783</v>
      </c>
      <c r="B421" s="7">
        <v>0.66666666666666663</v>
      </c>
      <c r="C421" s="5">
        <v>223.6</v>
      </c>
      <c r="D421" s="5">
        <v>225.9</v>
      </c>
      <c r="E421" s="5">
        <v>223</v>
      </c>
      <c r="F421" s="5">
        <v>224</v>
      </c>
      <c r="G421" s="5">
        <v>8100</v>
      </c>
      <c r="I421" s="6">
        <v>40417</v>
      </c>
      <c r="J421" s="7">
        <v>0.66666666666666663</v>
      </c>
      <c r="K421" s="5">
        <v>3999.03</v>
      </c>
      <c r="L421" s="5">
        <v>4087.99</v>
      </c>
      <c r="M421" s="5">
        <v>3951</v>
      </c>
      <c r="N421" s="5">
        <v>4042.3301000000001</v>
      </c>
      <c r="O421" s="5">
        <v>3</v>
      </c>
      <c r="Q421" s="6">
        <v>38768</v>
      </c>
      <c r="R421" s="7">
        <v>0.66666666666666663</v>
      </c>
      <c r="S421" s="5">
        <v>206</v>
      </c>
      <c r="T421" s="5">
        <v>212</v>
      </c>
      <c r="U421" s="5">
        <v>205</v>
      </c>
      <c r="V421" s="5">
        <v>208</v>
      </c>
      <c r="W421" s="5">
        <v>602800</v>
      </c>
      <c r="Y421" s="6">
        <f t="shared" si="12"/>
        <v>40417</v>
      </c>
      <c r="Z421" s="5">
        <f t="shared" si="13"/>
        <v>4042.3301000000001</v>
      </c>
      <c r="AA421" s="5">
        <v>79.849999999999994</v>
      </c>
      <c r="AB421" s="5">
        <v>80</v>
      </c>
    </row>
    <row r="422" spans="1:28" x14ac:dyDescent="0.3">
      <c r="A422" s="6">
        <v>38784</v>
      </c>
      <c r="B422" s="7">
        <v>0.66666666666666663</v>
      </c>
      <c r="C422" s="5">
        <v>224</v>
      </c>
      <c r="D422" s="5">
        <v>224</v>
      </c>
      <c r="E422" s="5">
        <v>217.5</v>
      </c>
      <c r="F422" s="5">
        <v>218.8</v>
      </c>
      <c r="G422" s="5">
        <v>5500</v>
      </c>
      <c r="I422" s="6">
        <v>40420</v>
      </c>
      <c r="J422" s="7">
        <v>0.66666666666666663</v>
      </c>
      <c r="K422" s="5">
        <v>4024.98</v>
      </c>
      <c r="L422" s="5">
        <v>4024.98</v>
      </c>
      <c r="M422" s="5">
        <v>3950</v>
      </c>
      <c r="N422" s="5">
        <v>3971.8</v>
      </c>
      <c r="O422" s="5">
        <v>22</v>
      </c>
      <c r="Q422" s="6">
        <v>38769</v>
      </c>
      <c r="R422" s="7">
        <v>0.66666666666666663</v>
      </c>
      <c r="S422" s="5">
        <v>208</v>
      </c>
      <c r="T422" s="5">
        <v>212</v>
      </c>
      <c r="U422" s="5">
        <v>208</v>
      </c>
      <c r="V422" s="5">
        <v>209</v>
      </c>
      <c r="W422" s="5">
        <v>684300</v>
      </c>
      <c r="Y422" s="6">
        <f t="shared" si="12"/>
        <v>40420</v>
      </c>
      <c r="Z422" s="5">
        <f t="shared" si="13"/>
        <v>3971.8</v>
      </c>
      <c r="AA422" s="5">
        <v>77.44</v>
      </c>
      <c r="AB422" s="5">
        <v>79</v>
      </c>
    </row>
    <row r="423" spans="1:28" x14ac:dyDescent="0.3">
      <c r="A423" s="6">
        <v>38785</v>
      </c>
      <c r="B423" s="7">
        <v>0.66666666666666663</v>
      </c>
      <c r="C423" s="5">
        <v>223.8</v>
      </c>
      <c r="D423" s="5">
        <v>223.8</v>
      </c>
      <c r="E423" s="5">
        <v>218</v>
      </c>
      <c r="F423" s="5">
        <v>220</v>
      </c>
      <c r="G423" s="5">
        <v>4800</v>
      </c>
      <c r="I423" s="6">
        <v>40421</v>
      </c>
      <c r="J423" s="7">
        <v>0.66666666666666663</v>
      </c>
      <c r="K423" s="5">
        <v>3971.8</v>
      </c>
      <c r="L423" s="5">
        <v>4010</v>
      </c>
      <c r="M423" s="5">
        <v>3905</v>
      </c>
      <c r="N423" s="5">
        <v>3930.04</v>
      </c>
      <c r="O423" s="5">
        <v>3162</v>
      </c>
      <c r="Q423" s="6">
        <v>38770</v>
      </c>
      <c r="R423" s="7">
        <v>0.66666666666666663</v>
      </c>
      <c r="S423" s="5">
        <v>209</v>
      </c>
      <c r="T423" s="5">
        <v>210.8</v>
      </c>
      <c r="U423" s="5">
        <v>206.1</v>
      </c>
      <c r="V423" s="5">
        <v>208.5</v>
      </c>
      <c r="W423" s="5">
        <v>281400</v>
      </c>
      <c r="Y423" s="6">
        <f t="shared" si="12"/>
        <v>40421</v>
      </c>
      <c r="Z423" s="5">
        <f t="shared" si="13"/>
        <v>3930.04</v>
      </c>
      <c r="AA423" s="5">
        <v>80.180000000000007</v>
      </c>
      <c r="AB423" s="5">
        <v>80.900000000000006</v>
      </c>
    </row>
    <row r="424" spans="1:28" x14ac:dyDescent="0.3">
      <c r="A424" s="6">
        <v>38786</v>
      </c>
      <c r="B424" s="7">
        <v>0.66666666666666663</v>
      </c>
      <c r="C424" s="5">
        <v>212</v>
      </c>
      <c r="D424" s="5">
        <v>219.4</v>
      </c>
      <c r="E424" s="5">
        <v>212</v>
      </c>
      <c r="F424" s="5">
        <v>215.1</v>
      </c>
      <c r="G424" s="5">
        <v>5800</v>
      </c>
      <c r="I424" s="6">
        <v>40422</v>
      </c>
      <c r="J424" s="7">
        <v>0.66666666666666663</v>
      </c>
      <c r="K424" s="5">
        <v>3930.04</v>
      </c>
      <c r="L424" s="5">
        <v>3998.99</v>
      </c>
      <c r="M424" s="5">
        <v>3905</v>
      </c>
      <c r="N424" s="5">
        <v>3984.3301000000001</v>
      </c>
      <c r="O424" s="5">
        <v>44</v>
      </c>
      <c r="Q424" s="6">
        <v>38771</v>
      </c>
      <c r="R424" s="7">
        <v>0.66666666666666663</v>
      </c>
      <c r="S424" s="5">
        <v>208.5</v>
      </c>
      <c r="T424" s="5">
        <v>210</v>
      </c>
      <c r="U424" s="5">
        <v>205.05</v>
      </c>
      <c r="V424" s="5">
        <v>207.45</v>
      </c>
      <c r="W424" s="5">
        <v>149200</v>
      </c>
      <c r="Y424" s="6">
        <f t="shared" si="12"/>
        <v>40422</v>
      </c>
      <c r="Z424" s="5">
        <f t="shared" si="13"/>
        <v>3984.3301000000001</v>
      </c>
      <c r="AA424" s="5">
        <v>79.02</v>
      </c>
      <c r="AB424" s="5">
        <v>78.39</v>
      </c>
    </row>
    <row r="425" spans="1:28" x14ac:dyDescent="0.3">
      <c r="A425" s="6">
        <v>38789</v>
      </c>
      <c r="B425" s="7">
        <v>0.66666666666666663</v>
      </c>
      <c r="C425" s="5">
        <v>218.35</v>
      </c>
      <c r="D425" s="5">
        <v>225</v>
      </c>
      <c r="E425" s="5">
        <v>215</v>
      </c>
      <c r="F425" s="5">
        <v>215</v>
      </c>
      <c r="G425" s="5">
        <v>11600</v>
      </c>
      <c r="I425" s="6">
        <v>40423</v>
      </c>
      <c r="J425" s="7">
        <v>0.66666666666666663</v>
      </c>
      <c r="K425" s="5">
        <v>3984.3301000000001</v>
      </c>
      <c r="L425" s="5">
        <v>4019</v>
      </c>
      <c r="M425" s="5">
        <v>3945</v>
      </c>
      <c r="N425" s="5">
        <v>4014.75</v>
      </c>
      <c r="O425" s="5">
        <v>19</v>
      </c>
      <c r="Q425" s="6">
        <v>38772</v>
      </c>
      <c r="R425" s="7">
        <v>0.66666666666666663</v>
      </c>
      <c r="S425" s="5">
        <v>207.45</v>
      </c>
      <c r="T425" s="5">
        <v>209</v>
      </c>
      <c r="U425" s="5">
        <v>200</v>
      </c>
      <c r="V425" s="5">
        <v>203</v>
      </c>
      <c r="W425" s="5">
        <v>129800</v>
      </c>
      <c r="Y425" s="6">
        <f t="shared" si="12"/>
        <v>40423</v>
      </c>
      <c r="Z425" s="5">
        <f t="shared" si="13"/>
        <v>4014.75</v>
      </c>
      <c r="AA425" s="5">
        <v>81.23</v>
      </c>
      <c r="AB425" s="5">
        <v>78.52</v>
      </c>
    </row>
    <row r="426" spans="1:28" x14ac:dyDescent="0.3">
      <c r="A426" s="6">
        <v>38790</v>
      </c>
      <c r="B426" s="7">
        <v>0.66666666666666663</v>
      </c>
      <c r="C426" s="5">
        <v>215</v>
      </c>
      <c r="D426" s="5">
        <v>216.05</v>
      </c>
      <c r="E426" s="5">
        <v>210</v>
      </c>
      <c r="F426" s="5">
        <v>213.3</v>
      </c>
      <c r="G426" s="5">
        <v>2300</v>
      </c>
      <c r="I426" s="6">
        <v>40424</v>
      </c>
      <c r="J426" s="7">
        <v>0.66666666666666663</v>
      </c>
      <c r="K426" s="5">
        <v>4014.75</v>
      </c>
      <c r="L426" s="5">
        <v>4040.75</v>
      </c>
      <c r="M426" s="5">
        <v>3906</v>
      </c>
      <c r="N426" s="5">
        <v>3996.2</v>
      </c>
      <c r="O426" s="5">
        <v>26</v>
      </c>
      <c r="Q426" s="6">
        <v>38775</v>
      </c>
      <c r="R426" s="7">
        <v>0.66666666666666663</v>
      </c>
      <c r="S426" s="5">
        <v>203</v>
      </c>
      <c r="T426" s="5">
        <v>204</v>
      </c>
      <c r="U426" s="5">
        <v>193.95</v>
      </c>
      <c r="V426" s="5">
        <v>195</v>
      </c>
      <c r="W426" s="5">
        <v>181000</v>
      </c>
      <c r="Y426" s="6">
        <f t="shared" si="12"/>
        <v>40424</v>
      </c>
      <c r="Z426" s="5">
        <f t="shared" si="13"/>
        <v>3996.2</v>
      </c>
      <c r="AA426" s="5">
        <v>80.22</v>
      </c>
      <c r="AB426" s="5">
        <v>78.92</v>
      </c>
    </row>
    <row r="427" spans="1:28" x14ac:dyDescent="0.3">
      <c r="A427" s="6">
        <v>38791</v>
      </c>
      <c r="B427" s="7">
        <v>0.66666666666666663</v>
      </c>
      <c r="C427" s="5">
        <v>213.3</v>
      </c>
      <c r="D427" s="5">
        <v>217.4</v>
      </c>
      <c r="E427" s="5">
        <v>213</v>
      </c>
      <c r="F427" s="5">
        <v>214.9</v>
      </c>
      <c r="G427" s="5">
        <v>8800</v>
      </c>
      <c r="I427" s="6">
        <v>40427</v>
      </c>
      <c r="J427" s="7">
        <v>0.66666666666666663</v>
      </c>
      <c r="K427" s="5">
        <v>3996.2</v>
      </c>
      <c r="L427" s="5">
        <v>3996.2</v>
      </c>
      <c r="M427" s="5">
        <v>3900</v>
      </c>
      <c r="N427" s="5">
        <v>3931.6100999999999</v>
      </c>
      <c r="O427" s="5">
        <v>104</v>
      </c>
      <c r="Q427" s="6">
        <v>38776</v>
      </c>
      <c r="R427" s="7">
        <v>0.66666666666666663</v>
      </c>
      <c r="S427" s="5">
        <v>195</v>
      </c>
      <c r="T427" s="5">
        <v>198</v>
      </c>
      <c r="U427" s="5">
        <v>194</v>
      </c>
      <c r="V427" s="5">
        <v>196.3</v>
      </c>
      <c r="W427" s="5">
        <v>196000</v>
      </c>
      <c r="Y427" s="6">
        <f t="shared" si="12"/>
        <v>40427</v>
      </c>
      <c r="Z427" s="5">
        <f t="shared" si="13"/>
        <v>3931.6100999999999</v>
      </c>
      <c r="AA427" s="5">
        <v>79.739999999999995</v>
      </c>
      <c r="AB427" s="5">
        <v>79.099999999999994</v>
      </c>
    </row>
    <row r="428" spans="1:28" x14ac:dyDescent="0.3">
      <c r="A428" s="6">
        <v>38792</v>
      </c>
      <c r="B428" s="7">
        <v>0.66666666666666663</v>
      </c>
      <c r="C428" s="5">
        <v>217</v>
      </c>
      <c r="D428" s="5">
        <v>220</v>
      </c>
      <c r="E428" s="5">
        <v>215.05</v>
      </c>
      <c r="F428" s="5">
        <v>219.5</v>
      </c>
      <c r="G428" s="5">
        <v>13700</v>
      </c>
      <c r="I428" s="6">
        <v>40428</v>
      </c>
      <c r="J428" s="7">
        <v>0.66666666666666663</v>
      </c>
      <c r="K428" s="5">
        <v>3931.6100999999999</v>
      </c>
      <c r="L428" s="5">
        <v>3980</v>
      </c>
      <c r="M428" s="5">
        <v>3910.01</v>
      </c>
      <c r="N428" s="5">
        <v>3959.71</v>
      </c>
      <c r="O428" s="5">
        <v>258</v>
      </c>
      <c r="Q428" s="6">
        <v>38777</v>
      </c>
      <c r="R428" s="7">
        <v>0.66666666666666663</v>
      </c>
      <c r="S428" s="5">
        <v>196.3</v>
      </c>
      <c r="T428" s="5">
        <v>199.4</v>
      </c>
      <c r="U428" s="5">
        <v>196</v>
      </c>
      <c r="V428" s="5">
        <v>199.3</v>
      </c>
      <c r="W428" s="5">
        <v>74300</v>
      </c>
      <c r="Y428" s="6">
        <f t="shared" si="12"/>
        <v>40428</v>
      </c>
      <c r="Z428" s="5">
        <f t="shared" si="13"/>
        <v>3959.71</v>
      </c>
      <c r="AA428" s="5">
        <v>80.069999999999993</v>
      </c>
      <c r="AB428" s="5">
        <v>78.989999999999995</v>
      </c>
    </row>
    <row r="429" spans="1:28" x14ac:dyDescent="0.3">
      <c r="A429" s="6">
        <v>38793</v>
      </c>
      <c r="B429" s="7">
        <v>0.66666666666666663</v>
      </c>
      <c r="C429" s="5">
        <v>220</v>
      </c>
      <c r="D429" s="5">
        <v>225</v>
      </c>
      <c r="E429" s="5">
        <v>220</v>
      </c>
      <c r="F429" s="5">
        <v>222</v>
      </c>
      <c r="G429" s="5">
        <v>13000</v>
      </c>
      <c r="I429" s="6">
        <v>40429</v>
      </c>
      <c r="J429" s="7">
        <v>0.66666666666666663</v>
      </c>
      <c r="K429" s="5">
        <v>3959.71</v>
      </c>
      <c r="L429" s="5">
        <v>4009</v>
      </c>
      <c r="M429" s="5">
        <v>3900.1100999999999</v>
      </c>
      <c r="N429" s="5">
        <v>3991.73</v>
      </c>
      <c r="O429" s="5">
        <v>1163</v>
      </c>
      <c r="Q429" s="6">
        <v>38778</v>
      </c>
      <c r="R429" s="7">
        <v>0.66666666666666663</v>
      </c>
      <c r="S429" s="5">
        <v>199.3</v>
      </c>
      <c r="T429" s="5">
        <v>203</v>
      </c>
      <c r="U429" s="5">
        <v>197</v>
      </c>
      <c r="V429" s="5">
        <v>198</v>
      </c>
      <c r="W429" s="5">
        <v>75600</v>
      </c>
      <c r="Y429" s="6">
        <f t="shared" si="12"/>
        <v>40429</v>
      </c>
      <c r="Z429" s="5">
        <f t="shared" si="13"/>
        <v>3991.73</v>
      </c>
      <c r="AA429" s="5">
        <v>81.650000000000006</v>
      </c>
      <c r="AB429" s="5">
        <v>79.12</v>
      </c>
    </row>
    <row r="430" spans="1:28" x14ac:dyDescent="0.3">
      <c r="A430" s="6">
        <v>38796</v>
      </c>
      <c r="B430" s="7">
        <v>0.66666666666666663</v>
      </c>
      <c r="C430" s="5">
        <v>186.9</v>
      </c>
      <c r="D430" s="5">
        <v>188.4</v>
      </c>
      <c r="E430" s="5">
        <v>180</v>
      </c>
      <c r="F430" s="5">
        <v>180</v>
      </c>
      <c r="G430" s="5">
        <v>19900</v>
      </c>
      <c r="I430" s="6">
        <v>40430</v>
      </c>
      <c r="J430" s="7">
        <v>0.66666666666666663</v>
      </c>
      <c r="K430" s="5">
        <v>3991.73</v>
      </c>
      <c r="L430" s="5">
        <v>4040</v>
      </c>
      <c r="M430" s="5">
        <v>3917.01</v>
      </c>
      <c r="N430" s="5">
        <v>4039.99</v>
      </c>
      <c r="O430" s="5">
        <v>903</v>
      </c>
      <c r="Q430" s="6">
        <v>38779</v>
      </c>
      <c r="R430" s="7">
        <v>0.66666666666666663</v>
      </c>
      <c r="S430" s="5">
        <v>198</v>
      </c>
      <c r="T430" s="5">
        <v>198.65</v>
      </c>
      <c r="U430" s="5">
        <v>196</v>
      </c>
      <c r="V430" s="5">
        <v>196.5</v>
      </c>
      <c r="W430" s="5">
        <v>30200</v>
      </c>
      <c r="Y430" s="6">
        <f t="shared" si="12"/>
        <v>40430</v>
      </c>
      <c r="Z430" s="5">
        <f t="shared" si="13"/>
        <v>4039.99</v>
      </c>
      <c r="AA430" s="5">
        <v>81.11</v>
      </c>
      <c r="AB430" s="5">
        <v>80.569999999999993</v>
      </c>
    </row>
    <row r="431" spans="1:28" x14ac:dyDescent="0.3">
      <c r="A431" s="6">
        <v>38797</v>
      </c>
      <c r="B431" s="7">
        <v>0.66666666666666663</v>
      </c>
      <c r="C431" s="5">
        <v>179.95</v>
      </c>
      <c r="D431" s="5">
        <v>179.95</v>
      </c>
      <c r="E431" s="5">
        <v>173</v>
      </c>
      <c r="F431" s="5">
        <v>174</v>
      </c>
      <c r="G431" s="5">
        <v>11700</v>
      </c>
      <c r="I431" s="6">
        <v>40435</v>
      </c>
      <c r="J431" s="7">
        <v>0.66666666666666663</v>
      </c>
      <c r="K431" s="5">
        <v>4039.99</v>
      </c>
      <c r="L431" s="5">
        <v>4200</v>
      </c>
      <c r="M431" s="5">
        <v>3980</v>
      </c>
      <c r="N431" s="5">
        <v>4138.8301000000001</v>
      </c>
      <c r="O431" s="5">
        <v>18</v>
      </c>
      <c r="Q431" s="6">
        <v>38782</v>
      </c>
      <c r="R431" s="7">
        <v>0.66666666666666663</v>
      </c>
      <c r="S431" s="5">
        <v>196.5</v>
      </c>
      <c r="T431" s="5">
        <v>198</v>
      </c>
      <c r="U431" s="5">
        <v>186.7</v>
      </c>
      <c r="V431" s="5">
        <v>186.7</v>
      </c>
      <c r="W431" s="5">
        <v>72100</v>
      </c>
      <c r="Y431" s="6">
        <f t="shared" si="12"/>
        <v>40435</v>
      </c>
      <c r="Z431" s="5">
        <f t="shared" si="13"/>
        <v>4138.8301000000001</v>
      </c>
      <c r="AA431" s="5">
        <v>83</v>
      </c>
      <c r="AB431" s="5">
        <v>83.31</v>
      </c>
    </row>
    <row r="432" spans="1:28" x14ac:dyDescent="0.3">
      <c r="A432" s="6">
        <v>38798</v>
      </c>
      <c r="B432" s="7">
        <v>0.66666666666666663</v>
      </c>
      <c r="C432" s="5">
        <v>175</v>
      </c>
      <c r="D432" s="5">
        <v>178</v>
      </c>
      <c r="E432" s="5">
        <v>174</v>
      </c>
      <c r="F432" s="5">
        <v>175</v>
      </c>
      <c r="G432" s="5">
        <v>6900</v>
      </c>
      <c r="I432" s="6">
        <v>40436</v>
      </c>
      <c r="J432" s="7">
        <v>0.66666666666666663</v>
      </c>
      <c r="K432" s="5">
        <v>4138.8301000000001</v>
      </c>
      <c r="L432" s="5">
        <v>4198</v>
      </c>
      <c r="M432" s="5">
        <v>4065.01</v>
      </c>
      <c r="N432" s="5">
        <v>4068.5601000000001</v>
      </c>
      <c r="O432" s="5">
        <v>5049</v>
      </c>
      <c r="Q432" s="6">
        <v>38783</v>
      </c>
      <c r="R432" s="7">
        <v>0.66666666666666663</v>
      </c>
      <c r="S432" s="5">
        <v>185.25</v>
      </c>
      <c r="T432" s="5">
        <v>185.25</v>
      </c>
      <c r="U432" s="5">
        <v>177.45</v>
      </c>
      <c r="V432" s="5">
        <v>185.25</v>
      </c>
      <c r="W432" s="5">
        <v>73300</v>
      </c>
      <c r="Y432" s="6">
        <f t="shared" si="12"/>
        <v>40436</v>
      </c>
      <c r="Z432" s="5">
        <f t="shared" si="13"/>
        <v>4068.5601000000001</v>
      </c>
      <c r="AA432" s="5">
        <v>81.52</v>
      </c>
      <c r="AB432" s="5">
        <v>83.3</v>
      </c>
    </row>
    <row r="433" spans="1:28" x14ac:dyDescent="0.3">
      <c r="A433" s="6">
        <v>38800</v>
      </c>
      <c r="B433" s="7">
        <v>0.66666666666666663</v>
      </c>
      <c r="C433" s="5">
        <v>174</v>
      </c>
      <c r="D433" s="5">
        <v>178.9</v>
      </c>
      <c r="E433" s="5">
        <v>173.15</v>
      </c>
      <c r="F433" s="5">
        <v>177</v>
      </c>
      <c r="G433" s="5">
        <v>10200</v>
      </c>
      <c r="I433" s="6">
        <v>40437</v>
      </c>
      <c r="J433" s="7">
        <v>0.66666666666666663</v>
      </c>
      <c r="K433" s="5">
        <v>4068.5601000000001</v>
      </c>
      <c r="L433" s="5">
        <v>4100</v>
      </c>
      <c r="M433" s="5">
        <v>4006.01</v>
      </c>
      <c r="N433" s="5">
        <v>4071</v>
      </c>
      <c r="O433" s="5">
        <v>1173</v>
      </c>
      <c r="Q433" s="6">
        <v>38784</v>
      </c>
      <c r="R433" s="7">
        <v>0.66666666666666663</v>
      </c>
      <c r="S433" s="5">
        <v>185.25</v>
      </c>
      <c r="T433" s="5">
        <v>188</v>
      </c>
      <c r="U433" s="5">
        <v>176</v>
      </c>
      <c r="V433" s="5">
        <v>176</v>
      </c>
      <c r="W433" s="5">
        <v>86900</v>
      </c>
      <c r="Y433" s="6">
        <f t="shared" si="12"/>
        <v>40437</v>
      </c>
      <c r="Z433" s="5">
        <f t="shared" si="13"/>
        <v>4071</v>
      </c>
      <c r="AA433" s="5">
        <v>81.510000000000005</v>
      </c>
      <c r="AB433" s="5">
        <v>84.01</v>
      </c>
    </row>
    <row r="434" spans="1:28" x14ac:dyDescent="0.3">
      <c r="A434" s="6">
        <v>38803</v>
      </c>
      <c r="B434" s="7">
        <v>0.66666666666666663</v>
      </c>
      <c r="C434" s="5">
        <v>177.5</v>
      </c>
      <c r="D434" s="5">
        <v>180</v>
      </c>
      <c r="E434" s="5">
        <v>175.5</v>
      </c>
      <c r="F434" s="5">
        <v>179.4</v>
      </c>
      <c r="G434" s="5">
        <v>11700</v>
      </c>
      <c r="I434" s="6">
        <v>40438</v>
      </c>
      <c r="J434" s="7">
        <v>0.66666666666666663</v>
      </c>
      <c r="K434" s="5">
        <v>4071</v>
      </c>
      <c r="L434" s="5">
        <v>4089</v>
      </c>
      <c r="M434" s="5">
        <v>3910.01</v>
      </c>
      <c r="N434" s="5">
        <v>4048.26</v>
      </c>
      <c r="O434" s="5">
        <v>103</v>
      </c>
      <c r="Q434" s="6">
        <v>38785</v>
      </c>
      <c r="R434" s="7">
        <v>0.66666666666666663</v>
      </c>
      <c r="S434" s="5">
        <v>176</v>
      </c>
      <c r="T434" s="5">
        <v>177.5</v>
      </c>
      <c r="U434" s="5">
        <v>167.2</v>
      </c>
      <c r="V434" s="5">
        <v>176.95</v>
      </c>
      <c r="W434" s="5">
        <v>114800</v>
      </c>
      <c r="Y434" s="6">
        <f t="shared" si="12"/>
        <v>40438</v>
      </c>
      <c r="Z434" s="5">
        <f t="shared" si="13"/>
        <v>4048.26</v>
      </c>
      <c r="AA434" s="5">
        <v>85.52</v>
      </c>
      <c r="AB434" s="5">
        <v>88.13</v>
      </c>
    </row>
    <row r="435" spans="1:28" x14ac:dyDescent="0.3">
      <c r="A435" s="6">
        <v>38804</v>
      </c>
      <c r="B435" s="7">
        <v>0.66666666666666663</v>
      </c>
      <c r="C435" s="5">
        <v>179</v>
      </c>
      <c r="D435" s="5">
        <v>179.1</v>
      </c>
      <c r="E435" s="5">
        <v>176.6</v>
      </c>
      <c r="F435" s="5">
        <v>178</v>
      </c>
      <c r="G435" s="5">
        <v>3100</v>
      </c>
      <c r="I435" s="6">
        <v>40441</v>
      </c>
      <c r="J435" s="7">
        <v>0.66666666666666663</v>
      </c>
      <c r="K435" s="5">
        <v>4048.26</v>
      </c>
      <c r="L435" s="5">
        <v>4100</v>
      </c>
      <c r="M435" s="5">
        <v>3900.01</v>
      </c>
      <c r="N435" s="5">
        <v>4000</v>
      </c>
      <c r="O435" s="5">
        <v>4906</v>
      </c>
      <c r="Q435" s="6">
        <v>38786</v>
      </c>
      <c r="R435" s="7">
        <v>0.66666666666666663</v>
      </c>
      <c r="S435" s="5">
        <v>174</v>
      </c>
      <c r="T435" s="5">
        <v>174</v>
      </c>
      <c r="U435" s="5">
        <v>168.15</v>
      </c>
      <c r="V435" s="5">
        <v>168.15</v>
      </c>
      <c r="W435" s="5">
        <v>45400</v>
      </c>
      <c r="Y435" s="6">
        <f t="shared" si="12"/>
        <v>40441</v>
      </c>
      <c r="Z435" s="5">
        <f t="shared" si="13"/>
        <v>4000</v>
      </c>
      <c r="AA435" s="5">
        <v>85.43</v>
      </c>
      <c r="AB435" s="5">
        <v>89.26</v>
      </c>
    </row>
    <row r="436" spans="1:28" x14ac:dyDescent="0.3">
      <c r="A436" s="6">
        <v>38805</v>
      </c>
      <c r="B436" s="7">
        <v>0.66666666666666663</v>
      </c>
      <c r="C436" s="5">
        <v>177.1</v>
      </c>
      <c r="D436" s="5">
        <v>179</v>
      </c>
      <c r="E436" s="5">
        <v>176.6</v>
      </c>
      <c r="F436" s="5">
        <v>179</v>
      </c>
      <c r="G436" s="5">
        <v>1800</v>
      </c>
      <c r="I436" s="6">
        <v>40442</v>
      </c>
      <c r="J436" s="7">
        <v>0.66666666666666663</v>
      </c>
      <c r="K436" s="5">
        <v>4000</v>
      </c>
      <c r="L436" s="5">
        <v>4200</v>
      </c>
      <c r="M436" s="5">
        <v>3952</v>
      </c>
      <c r="N436" s="5">
        <v>3972</v>
      </c>
      <c r="O436" s="5">
        <v>10</v>
      </c>
      <c r="Q436" s="6">
        <v>38789</v>
      </c>
      <c r="R436" s="7">
        <v>0.66666666666666663</v>
      </c>
      <c r="S436" s="5">
        <v>168.15</v>
      </c>
      <c r="T436" s="5">
        <v>172</v>
      </c>
      <c r="U436" s="5">
        <v>159.75</v>
      </c>
      <c r="V436" s="5">
        <v>159.75</v>
      </c>
      <c r="W436" s="5">
        <v>71500</v>
      </c>
      <c r="Y436" s="6">
        <f t="shared" si="12"/>
        <v>40442</v>
      </c>
      <c r="Z436" s="5">
        <f t="shared" si="13"/>
        <v>3972</v>
      </c>
      <c r="AA436" s="5">
        <v>84</v>
      </c>
      <c r="AB436" s="5">
        <v>89.5</v>
      </c>
    </row>
    <row r="437" spans="1:28" x14ac:dyDescent="0.3">
      <c r="A437" s="6">
        <v>38806</v>
      </c>
      <c r="B437" s="7">
        <v>0.66666666666666663</v>
      </c>
      <c r="C437" s="5">
        <v>179</v>
      </c>
      <c r="D437" s="5">
        <v>179</v>
      </c>
      <c r="E437" s="5">
        <v>177.75</v>
      </c>
      <c r="F437" s="5">
        <v>179</v>
      </c>
      <c r="G437" s="5">
        <v>2500</v>
      </c>
      <c r="I437" s="6">
        <v>40443</v>
      </c>
      <c r="J437" s="7">
        <v>0.66666666666666663</v>
      </c>
      <c r="K437" s="5">
        <v>3972</v>
      </c>
      <c r="L437" s="5">
        <v>4044.96</v>
      </c>
      <c r="M437" s="5">
        <v>3775</v>
      </c>
      <c r="N437" s="5">
        <v>4000</v>
      </c>
      <c r="O437" s="5">
        <v>494</v>
      </c>
      <c r="Q437" s="6">
        <v>38790</v>
      </c>
      <c r="R437" s="7">
        <v>0.66666666666666663</v>
      </c>
      <c r="S437" s="5">
        <v>159.75</v>
      </c>
      <c r="T437" s="5">
        <v>161.5</v>
      </c>
      <c r="U437" s="5">
        <v>151.80000000000001</v>
      </c>
      <c r="V437" s="5">
        <v>159.85</v>
      </c>
      <c r="W437" s="5">
        <v>133100</v>
      </c>
      <c r="Y437" s="6">
        <f t="shared" si="12"/>
        <v>40443</v>
      </c>
      <c r="Z437" s="5">
        <f t="shared" si="13"/>
        <v>4000</v>
      </c>
      <c r="AA437" s="5">
        <v>83.62</v>
      </c>
      <c r="AB437" s="5">
        <v>89.4</v>
      </c>
    </row>
    <row r="438" spans="1:28" x14ac:dyDescent="0.3">
      <c r="A438" s="6">
        <v>38807</v>
      </c>
      <c r="B438" s="7">
        <v>0.66666666666666663</v>
      </c>
      <c r="C438" s="5">
        <v>178</v>
      </c>
      <c r="D438" s="5">
        <v>180.5</v>
      </c>
      <c r="E438" s="5">
        <v>177</v>
      </c>
      <c r="F438" s="5">
        <v>180.5</v>
      </c>
      <c r="G438" s="5">
        <v>10800</v>
      </c>
      <c r="I438" s="6">
        <v>40444</v>
      </c>
      <c r="J438" s="7">
        <v>0.66666666666666663</v>
      </c>
      <c r="K438" s="5">
        <v>4000</v>
      </c>
      <c r="L438" s="5">
        <v>4019.99</v>
      </c>
      <c r="M438" s="5">
        <v>3900</v>
      </c>
      <c r="N438" s="5">
        <v>3981</v>
      </c>
      <c r="O438" s="5">
        <v>207</v>
      </c>
      <c r="Q438" s="6">
        <v>38791</v>
      </c>
      <c r="R438" s="7">
        <v>0.66666666666666663</v>
      </c>
      <c r="S438" s="5">
        <v>159.85</v>
      </c>
      <c r="T438" s="5">
        <v>163.4</v>
      </c>
      <c r="U438" s="5">
        <v>158</v>
      </c>
      <c r="V438" s="5">
        <v>163.1</v>
      </c>
      <c r="W438" s="5">
        <v>69200</v>
      </c>
      <c r="Y438" s="6">
        <f t="shared" si="12"/>
        <v>40444</v>
      </c>
      <c r="Z438" s="5">
        <f t="shared" si="13"/>
        <v>3981</v>
      </c>
      <c r="AA438" s="5">
        <v>81.93</v>
      </c>
      <c r="AB438" s="5">
        <v>88.58</v>
      </c>
    </row>
    <row r="439" spans="1:28" x14ac:dyDescent="0.3">
      <c r="A439" s="6">
        <v>38810</v>
      </c>
      <c r="B439" s="7">
        <v>0.66666666666666663</v>
      </c>
      <c r="C439" s="5">
        <v>182.9</v>
      </c>
      <c r="D439" s="5">
        <v>183</v>
      </c>
      <c r="E439" s="5">
        <v>178</v>
      </c>
      <c r="F439" s="5">
        <v>178.1</v>
      </c>
      <c r="G439" s="5">
        <v>2800</v>
      </c>
      <c r="I439" s="6">
        <v>40445</v>
      </c>
      <c r="J439" s="7">
        <v>0.66666666666666663</v>
      </c>
      <c r="K439" s="5">
        <v>3981</v>
      </c>
      <c r="L439" s="5">
        <v>4007.99</v>
      </c>
      <c r="M439" s="5">
        <v>3900.02</v>
      </c>
      <c r="N439" s="5">
        <v>3998.98</v>
      </c>
      <c r="O439" s="5">
        <v>74</v>
      </c>
      <c r="Q439" s="6">
        <v>38792</v>
      </c>
      <c r="R439" s="7">
        <v>0.66666666666666663</v>
      </c>
      <c r="S439" s="5">
        <v>163.1</v>
      </c>
      <c r="T439" s="5">
        <v>171.25</v>
      </c>
      <c r="U439" s="5">
        <v>161</v>
      </c>
      <c r="V439" s="5">
        <v>171.25</v>
      </c>
      <c r="W439" s="5">
        <v>95000</v>
      </c>
      <c r="Y439" s="6">
        <f t="shared" si="12"/>
        <v>40445</v>
      </c>
      <c r="Z439" s="5">
        <f t="shared" si="13"/>
        <v>3998.98</v>
      </c>
      <c r="AA439" s="5">
        <v>81.819999999999993</v>
      </c>
      <c r="AB439" s="5">
        <v>87.8</v>
      </c>
    </row>
    <row r="440" spans="1:28" x14ac:dyDescent="0.3">
      <c r="A440" s="6">
        <v>38811</v>
      </c>
      <c r="B440" s="7">
        <v>0.66666666666666663</v>
      </c>
      <c r="C440" s="5">
        <v>178.5</v>
      </c>
      <c r="D440" s="5">
        <v>182.5</v>
      </c>
      <c r="E440" s="5">
        <v>178.5</v>
      </c>
      <c r="F440" s="5">
        <v>182.5</v>
      </c>
      <c r="G440" s="5">
        <v>6200</v>
      </c>
      <c r="I440" s="6">
        <v>40448</v>
      </c>
      <c r="J440" s="7">
        <v>0.66666666666666663</v>
      </c>
      <c r="K440" s="5">
        <v>3998.98</v>
      </c>
      <c r="L440" s="5">
        <v>4010</v>
      </c>
      <c r="M440" s="5">
        <v>3990</v>
      </c>
      <c r="N440" s="5">
        <v>3990</v>
      </c>
      <c r="O440" s="5">
        <v>12</v>
      </c>
      <c r="Q440" s="6">
        <v>38793</v>
      </c>
      <c r="R440" s="7">
        <v>0.66666666666666663</v>
      </c>
      <c r="S440" s="5">
        <v>177.75</v>
      </c>
      <c r="T440" s="5">
        <v>179.8</v>
      </c>
      <c r="U440" s="5">
        <v>177.75</v>
      </c>
      <c r="V440" s="5">
        <v>179.8</v>
      </c>
      <c r="W440" s="5">
        <v>211600</v>
      </c>
      <c r="Y440" s="6">
        <f t="shared" si="12"/>
        <v>40448</v>
      </c>
      <c r="Z440" s="5">
        <f t="shared" si="13"/>
        <v>3990</v>
      </c>
      <c r="AA440" s="5">
        <v>81.66</v>
      </c>
      <c r="AB440" s="5">
        <v>89.1</v>
      </c>
    </row>
    <row r="441" spans="1:28" x14ac:dyDescent="0.3">
      <c r="A441" s="6">
        <v>38812</v>
      </c>
      <c r="B441" s="7">
        <v>0.66666666666666663</v>
      </c>
      <c r="C441" s="5">
        <v>179</v>
      </c>
      <c r="D441" s="5">
        <v>182</v>
      </c>
      <c r="E441" s="5">
        <v>179</v>
      </c>
      <c r="F441" s="5">
        <v>180.35</v>
      </c>
      <c r="G441" s="5">
        <v>2600</v>
      </c>
      <c r="I441" s="6">
        <v>40449</v>
      </c>
      <c r="J441" s="7">
        <v>0.66666666666666663</v>
      </c>
      <c r="K441" s="5">
        <v>3990</v>
      </c>
      <c r="L441" s="5">
        <v>4030</v>
      </c>
      <c r="M441" s="5">
        <v>3955.01</v>
      </c>
      <c r="N441" s="5">
        <v>4028.55</v>
      </c>
      <c r="O441" s="5">
        <v>686</v>
      </c>
      <c r="Q441" s="6">
        <v>38796</v>
      </c>
      <c r="R441" s="7">
        <v>0.66666666666666663</v>
      </c>
      <c r="S441" s="5">
        <v>180.1</v>
      </c>
      <c r="T441" s="5">
        <v>188.75</v>
      </c>
      <c r="U441" s="5">
        <v>180.1</v>
      </c>
      <c r="V441" s="5">
        <v>188.75</v>
      </c>
      <c r="W441" s="5">
        <v>183800</v>
      </c>
      <c r="Y441" s="6">
        <f t="shared" si="12"/>
        <v>40449</v>
      </c>
      <c r="Z441" s="5">
        <f t="shared" si="13"/>
        <v>4028.55</v>
      </c>
      <c r="AA441" s="5">
        <v>81.95</v>
      </c>
      <c r="AB441" s="5">
        <v>88.06</v>
      </c>
    </row>
    <row r="442" spans="1:28" x14ac:dyDescent="0.3">
      <c r="A442" s="6">
        <v>38813</v>
      </c>
      <c r="B442" s="7">
        <v>0.66666666666666663</v>
      </c>
      <c r="C442" s="5">
        <v>182</v>
      </c>
      <c r="D442" s="5">
        <v>182</v>
      </c>
      <c r="E442" s="5">
        <v>179.25</v>
      </c>
      <c r="F442" s="5">
        <v>181</v>
      </c>
      <c r="G442" s="5">
        <v>8900</v>
      </c>
      <c r="I442" s="6">
        <v>40451</v>
      </c>
      <c r="J442" s="7">
        <v>0.66666666666666663</v>
      </c>
      <c r="K442" s="5">
        <v>4028.55</v>
      </c>
      <c r="L442" s="5">
        <v>4030</v>
      </c>
      <c r="M442" s="5">
        <v>4000</v>
      </c>
      <c r="N442" s="5">
        <v>4024.95</v>
      </c>
      <c r="O442" s="5">
        <v>267</v>
      </c>
      <c r="Q442" s="6">
        <v>38797</v>
      </c>
      <c r="R442" s="7">
        <v>0.66666666666666663</v>
      </c>
      <c r="S442" s="5">
        <v>188.75</v>
      </c>
      <c r="T442" s="5">
        <v>196</v>
      </c>
      <c r="U442" s="5">
        <v>188</v>
      </c>
      <c r="V442" s="5">
        <v>191</v>
      </c>
      <c r="W442" s="5">
        <v>92000</v>
      </c>
      <c r="Y442" s="6">
        <f t="shared" si="12"/>
        <v>40451</v>
      </c>
      <c r="Z442" s="5">
        <f t="shared" si="13"/>
        <v>4024.95</v>
      </c>
      <c r="AA442" s="5">
        <v>79.48</v>
      </c>
      <c r="AB442" s="5">
        <v>88.51</v>
      </c>
    </row>
    <row r="443" spans="1:28" x14ac:dyDescent="0.3">
      <c r="A443" s="6">
        <v>38814</v>
      </c>
      <c r="B443" s="7">
        <v>0.66666666666666663</v>
      </c>
      <c r="C443" s="5">
        <v>180</v>
      </c>
      <c r="D443" s="5">
        <v>181</v>
      </c>
      <c r="E443" s="5">
        <v>180</v>
      </c>
      <c r="F443" s="5">
        <v>181</v>
      </c>
      <c r="G443" s="5">
        <v>3900</v>
      </c>
      <c r="I443" s="6">
        <v>40455</v>
      </c>
      <c r="J443" s="7">
        <v>0.66666666666666663</v>
      </c>
      <c r="K443" s="5">
        <v>4020</v>
      </c>
      <c r="L443" s="5">
        <v>4020</v>
      </c>
      <c r="M443" s="5">
        <v>4019</v>
      </c>
      <c r="N443" s="5">
        <v>4019</v>
      </c>
      <c r="O443" s="5">
        <v>1</v>
      </c>
      <c r="Q443" s="6">
        <v>38798</v>
      </c>
      <c r="R443" s="7">
        <v>0.66666666666666663</v>
      </c>
      <c r="S443" s="5">
        <v>191</v>
      </c>
      <c r="T443" s="5">
        <v>193.9</v>
      </c>
      <c r="U443" s="5">
        <v>186.5</v>
      </c>
      <c r="V443" s="5">
        <v>188.7</v>
      </c>
      <c r="W443" s="5">
        <v>56600</v>
      </c>
      <c r="Y443" s="6">
        <f t="shared" si="12"/>
        <v>40455</v>
      </c>
      <c r="Z443" s="5">
        <f t="shared" si="13"/>
        <v>4019</v>
      </c>
      <c r="AA443" s="5">
        <v>80.900000000000006</v>
      </c>
      <c r="AB443" s="5">
        <v>88.5</v>
      </c>
    </row>
    <row r="444" spans="1:28" x14ac:dyDescent="0.3">
      <c r="A444" s="6">
        <v>38817</v>
      </c>
      <c r="B444" s="7">
        <v>0.66666666666666663</v>
      </c>
      <c r="C444" s="5">
        <v>182.5</v>
      </c>
      <c r="D444" s="5">
        <v>182.5</v>
      </c>
      <c r="E444" s="5">
        <v>180</v>
      </c>
      <c r="F444" s="5">
        <v>180.05</v>
      </c>
      <c r="G444" s="5">
        <v>9100</v>
      </c>
      <c r="I444" s="6">
        <v>40456</v>
      </c>
      <c r="J444" s="7">
        <v>0.66666666666666663</v>
      </c>
      <c r="K444" s="5">
        <v>4000</v>
      </c>
      <c r="L444" s="5">
        <v>4000</v>
      </c>
      <c r="M444" s="5">
        <v>3825</v>
      </c>
      <c r="N444" s="5">
        <v>4000</v>
      </c>
      <c r="O444" s="5">
        <v>21</v>
      </c>
      <c r="Q444" s="6">
        <v>38800</v>
      </c>
      <c r="R444" s="7">
        <v>0.66666666666666663</v>
      </c>
      <c r="S444" s="5">
        <v>188.7</v>
      </c>
      <c r="T444" s="5">
        <v>189.5</v>
      </c>
      <c r="U444" s="5">
        <v>184.5</v>
      </c>
      <c r="V444" s="5">
        <v>186.9</v>
      </c>
      <c r="W444" s="5">
        <v>28000</v>
      </c>
      <c r="Y444" s="6">
        <f t="shared" si="12"/>
        <v>40456</v>
      </c>
      <c r="Z444" s="5">
        <f t="shared" si="13"/>
        <v>4000</v>
      </c>
      <c r="AA444" s="5">
        <v>79.92</v>
      </c>
      <c r="AB444" s="5">
        <v>88.5</v>
      </c>
    </row>
    <row r="445" spans="1:28" x14ac:dyDescent="0.3">
      <c r="A445" s="6">
        <v>38820</v>
      </c>
      <c r="B445" s="7">
        <v>0.66666666666666663</v>
      </c>
      <c r="C445" s="5">
        <v>180.05</v>
      </c>
      <c r="D445" s="5">
        <v>180.05</v>
      </c>
      <c r="E445" s="5">
        <v>179.05</v>
      </c>
      <c r="F445" s="5">
        <v>179.05</v>
      </c>
      <c r="G445" s="5">
        <v>3500</v>
      </c>
      <c r="I445" s="6">
        <v>40457</v>
      </c>
      <c r="J445" s="7">
        <v>0.66666666666666663</v>
      </c>
      <c r="K445" s="5">
        <v>4000</v>
      </c>
      <c r="L445" s="5">
        <v>4010</v>
      </c>
      <c r="M445" s="5">
        <v>3950</v>
      </c>
      <c r="N445" s="5">
        <v>3950</v>
      </c>
      <c r="O445" s="5">
        <v>2</v>
      </c>
      <c r="Q445" s="6">
        <v>38803</v>
      </c>
      <c r="R445" s="7">
        <v>0.66666666666666663</v>
      </c>
      <c r="S445" s="5">
        <v>186.9</v>
      </c>
      <c r="T445" s="5">
        <v>187</v>
      </c>
      <c r="U445" s="5">
        <v>181.1</v>
      </c>
      <c r="V445" s="5">
        <v>181.7</v>
      </c>
      <c r="W445" s="5">
        <v>29500</v>
      </c>
      <c r="Y445" s="6">
        <f t="shared" si="12"/>
        <v>40457</v>
      </c>
      <c r="Z445" s="5">
        <f t="shared" si="13"/>
        <v>3950</v>
      </c>
      <c r="AA445" s="5">
        <v>80.849999999999994</v>
      </c>
      <c r="AB445" s="5">
        <v>90.5</v>
      </c>
    </row>
    <row r="446" spans="1:28" x14ac:dyDescent="0.3">
      <c r="A446" s="6">
        <v>38821</v>
      </c>
      <c r="B446" s="7">
        <v>0.66666666666666663</v>
      </c>
      <c r="C446" s="5">
        <v>180</v>
      </c>
      <c r="D446" s="5">
        <v>180.3</v>
      </c>
      <c r="E446" s="5">
        <v>180</v>
      </c>
      <c r="F446" s="5">
        <v>180.3</v>
      </c>
      <c r="G446" s="5">
        <v>1600</v>
      </c>
      <c r="I446" s="6">
        <v>40458</v>
      </c>
      <c r="J446" s="7">
        <v>0.66666666666666663</v>
      </c>
      <c r="K446" s="5">
        <v>3961</v>
      </c>
      <c r="L446" s="5">
        <v>4018</v>
      </c>
      <c r="M446" s="5">
        <v>3961</v>
      </c>
      <c r="N446" s="5">
        <v>3961</v>
      </c>
      <c r="O446" s="5">
        <v>1516</v>
      </c>
      <c r="Q446" s="6">
        <v>38804</v>
      </c>
      <c r="R446" s="7">
        <v>0.66666666666666663</v>
      </c>
      <c r="S446" s="5">
        <v>181.5</v>
      </c>
      <c r="T446" s="5">
        <v>181.5</v>
      </c>
      <c r="U446" s="5">
        <v>177.6</v>
      </c>
      <c r="V446" s="5">
        <v>178</v>
      </c>
      <c r="W446" s="5">
        <v>21700</v>
      </c>
      <c r="Y446" s="6">
        <f t="shared" si="12"/>
        <v>40458</v>
      </c>
      <c r="Z446" s="5">
        <f t="shared" si="13"/>
        <v>3961</v>
      </c>
      <c r="AA446" s="5">
        <v>82.1</v>
      </c>
      <c r="AB446" s="5">
        <v>91.9</v>
      </c>
    </row>
    <row r="447" spans="1:28" x14ac:dyDescent="0.3">
      <c r="A447" s="6">
        <v>38824</v>
      </c>
      <c r="B447" s="7">
        <v>0.66666666666666663</v>
      </c>
      <c r="C447" s="5">
        <v>180.3</v>
      </c>
      <c r="D447" s="5">
        <v>182</v>
      </c>
      <c r="E447" s="5">
        <v>180</v>
      </c>
      <c r="F447" s="5">
        <v>180</v>
      </c>
      <c r="G447" s="5">
        <v>2900</v>
      </c>
      <c r="I447" s="6">
        <v>40459</v>
      </c>
      <c r="J447" s="7">
        <v>0.66666666666666663</v>
      </c>
      <c r="K447" s="5">
        <v>3961</v>
      </c>
      <c r="L447" s="5">
        <v>4079.99</v>
      </c>
      <c r="M447" s="5">
        <v>3952</v>
      </c>
      <c r="N447" s="5">
        <v>3990</v>
      </c>
      <c r="O447" s="5">
        <v>351</v>
      </c>
      <c r="Q447" s="6">
        <v>38805</v>
      </c>
      <c r="R447" s="7">
        <v>0.66666666666666663</v>
      </c>
      <c r="S447" s="5">
        <v>178</v>
      </c>
      <c r="T447" s="5">
        <v>181</v>
      </c>
      <c r="U447" s="5">
        <v>175</v>
      </c>
      <c r="V447" s="5">
        <v>177</v>
      </c>
      <c r="W447" s="5">
        <v>61200</v>
      </c>
      <c r="Y447" s="6">
        <f t="shared" si="12"/>
        <v>40459</v>
      </c>
      <c r="Z447" s="5">
        <f t="shared" si="13"/>
        <v>3990</v>
      </c>
      <c r="AA447" s="5">
        <v>86.13</v>
      </c>
      <c r="AB447" s="5">
        <v>92</v>
      </c>
    </row>
    <row r="448" spans="1:28" x14ac:dyDescent="0.3">
      <c r="A448" s="6">
        <v>38825</v>
      </c>
      <c r="B448" s="7">
        <v>0.66666666666666663</v>
      </c>
      <c r="C448" s="5">
        <v>180</v>
      </c>
      <c r="D448" s="5">
        <v>181</v>
      </c>
      <c r="E448" s="5">
        <v>178.3</v>
      </c>
      <c r="F448" s="5">
        <v>178.8</v>
      </c>
      <c r="G448" s="5">
        <v>3600</v>
      </c>
      <c r="I448" s="6">
        <v>40463</v>
      </c>
      <c r="J448" s="7">
        <v>0.66666666666666663</v>
      </c>
      <c r="K448" s="5">
        <v>3990</v>
      </c>
      <c r="L448" s="5">
        <v>4099</v>
      </c>
      <c r="M448" s="5">
        <v>3940</v>
      </c>
      <c r="N448" s="5">
        <v>3940</v>
      </c>
      <c r="O448" s="5">
        <v>2</v>
      </c>
      <c r="Q448" s="6">
        <v>38806</v>
      </c>
      <c r="R448" s="7">
        <v>0.66666666666666663</v>
      </c>
      <c r="S448" s="5">
        <v>177</v>
      </c>
      <c r="T448" s="5">
        <v>179.9</v>
      </c>
      <c r="U448" s="5">
        <v>177</v>
      </c>
      <c r="V448" s="5">
        <v>178</v>
      </c>
      <c r="W448" s="5">
        <v>20900</v>
      </c>
      <c r="Y448" s="6">
        <f t="shared" si="12"/>
        <v>40463</v>
      </c>
      <c r="Z448" s="5">
        <f t="shared" si="13"/>
        <v>3940</v>
      </c>
      <c r="AA448" s="5">
        <v>86.85</v>
      </c>
      <c r="AB448" s="5">
        <v>92</v>
      </c>
    </row>
    <row r="449" spans="1:28" x14ac:dyDescent="0.3">
      <c r="A449" s="6">
        <v>38826</v>
      </c>
      <c r="B449" s="7">
        <v>0.66666666666666663</v>
      </c>
      <c r="C449" s="5">
        <v>178</v>
      </c>
      <c r="D449" s="5">
        <v>180</v>
      </c>
      <c r="E449" s="5">
        <v>177.85</v>
      </c>
      <c r="F449" s="5">
        <v>180</v>
      </c>
      <c r="G449" s="5">
        <v>5600</v>
      </c>
      <c r="I449" s="6">
        <v>40464</v>
      </c>
      <c r="J449" s="7">
        <v>0.66666666666666663</v>
      </c>
      <c r="K449" s="5">
        <v>3940</v>
      </c>
      <c r="L449" s="5">
        <v>4220</v>
      </c>
      <c r="M449" s="5">
        <v>3900.01</v>
      </c>
      <c r="N449" s="5">
        <v>4002</v>
      </c>
      <c r="O449" s="5">
        <v>5</v>
      </c>
      <c r="Q449" s="6">
        <v>38807</v>
      </c>
      <c r="R449" s="7">
        <v>0.66666666666666663</v>
      </c>
      <c r="S449" s="5">
        <v>178</v>
      </c>
      <c r="T449" s="5">
        <v>179.5</v>
      </c>
      <c r="U449" s="5">
        <v>175.25</v>
      </c>
      <c r="V449" s="5">
        <v>178</v>
      </c>
      <c r="W449" s="5">
        <v>19600</v>
      </c>
      <c r="Y449" s="6">
        <f t="shared" si="12"/>
        <v>40464</v>
      </c>
      <c r="Z449" s="5">
        <f t="shared" si="13"/>
        <v>4002</v>
      </c>
      <c r="AA449" s="5">
        <v>87.85</v>
      </c>
      <c r="AB449" s="5">
        <v>92.98</v>
      </c>
    </row>
    <row r="450" spans="1:28" x14ac:dyDescent="0.3">
      <c r="A450" s="6">
        <v>38827</v>
      </c>
      <c r="B450" s="7">
        <v>0.66666666666666663</v>
      </c>
      <c r="C450" s="5">
        <v>177.85</v>
      </c>
      <c r="D450" s="5">
        <v>180</v>
      </c>
      <c r="E450" s="5">
        <v>177.85</v>
      </c>
      <c r="F450" s="5">
        <v>178.9</v>
      </c>
      <c r="G450" s="5">
        <v>5000</v>
      </c>
      <c r="I450" s="6">
        <v>40465</v>
      </c>
      <c r="J450" s="7">
        <v>0.66666666666666663</v>
      </c>
      <c r="K450" s="5">
        <v>4002</v>
      </c>
      <c r="L450" s="5">
        <v>4075</v>
      </c>
      <c r="M450" s="5">
        <v>3963.01</v>
      </c>
      <c r="N450" s="5">
        <v>4075</v>
      </c>
      <c r="O450" s="5">
        <v>5</v>
      </c>
      <c r="Q450" s="6">
        <v>38810</v>
      </c>
      <c r="R450" s="7">
        <v>0.66666666666666663</v>
      </c>
      <c r="S450" s="5">
        <v>178</v>
      </c>
      <c r="T450" s="5">
        <v>179</v>
      </c>
      <c r="U450" s="5">
        <v>177</v>
      </c>
      <c r="V450" s="5">
        <v>177.9</v>
      </c>
      <c r="W450" s="5">
        <v>121300</v>
      </c>
      <c r="Y450" s="6">
        <f t="shared" si="12"/>
        <v>40465</v>
      </c>
      <c r="Z450" s="5">
        <f t="shared" si="13"/>
        <v>4075</v>
      </c>
      <c r="AA450" s="5">
        <v>91.02</v>
      </c>
      <c r="AB450" s="5">
        <v>92.4</v>
      </c>
    </row>
    <row r="451" spans="1:28" x14ac:dyDescent="0.3">
      <c r="A451" s="6">
        <v>38828</v>
      </c>
      <c r="B451" s="7">
        <v>0.66666666666666663</v>
      </c>
      <c r="C451" s="5">
        <v>177.85</v>
      </c>
      <c r="D451" s="5">
        <v>180</v>
      </c>
      <c r="E451" s="5">
        <v>175.6</v>
      </c>
      <c r="F451" s="5">
        <v>180</v>
      </c>
      <c r="G451" s="5">
        <v>6400</v>
      </c>
      <c r="I451" s="6">
        <v>40466</v>
      </c>
      <c r="J451" s="7">
        <v>0.66666666666666663</v>
      </c>
      <c r="K451" s="5">
        <v>4075</v>
      </c>
      <c r="L451" s="5">
        <v>4089.99</v>
      </c>
      <c r="M451" s="5">
        <v>3950.01</v>
      </c>
      <c r="N451" s="5">
        <v>4064.99</v>
      </c>
      <c r="O451" s="5">
        <v>3</v>
      </c>
      <c r="Q451" s="6">
        <v>38811</v>
      </c>
      <c r="R451" s="7">
        <v>0.66666666666666663</v>
      </c>
      <c r="S451" s="5">
        <v>179.3</v>
      </c>
      <c r="T451" s="5">
        <v>184</v>
      </c>
      <c r="U451" s="5">
        <v>179.3</v>
      </c>
      <c r="V451" s="5">
        <v>179.5</v>
      </c>
      <c r="W451" s="5">
        <v>164900</v>
      </c>
      <c r="Y451" s="6">
        <f t="shared" si="12"/>
        <v>40466</v>
      </c>
      <c r="Z451" s="5">
        <f t="shared" si="13"/>
        <v>4064.99</v>
      </c>
      <c r="AA451" s="5">
        <v>90.5</v>
      </c>
      <c r="AB451" s="5">
        <v>90.9</v>
      </c>
    </row>
    <row r="452" spans="1:28" x14ac:dyDescent="0.3">
      <c r="A452" s="6">
        <v>38831</v>
      </c>
      <c r="B452" s="7">
        <v>0.66666666666666663</v>
      </c>
      <c r="C452" s="5">
        <v>176</v>
      </c>
      <c r="D452" s="5">
        <v>177</v>
      </c>
      <c r="E452" s="5">
        <v>175</v>
      </c>
      <c r="F452" s="5">
        <v>177</v>
      </c>
      <c r="G452" s="5">
        <v>4200</v>
      </c>
      <c r="I452" s="6">
        <v>40469</v>
      </c>
      <c r="J452" s="7">
        <v>0.66666666666666663</v>
      </c>
      <c r="K452" s="5">
        <v>4064.99</v>
      </c>
      <c r="L452" s="5">
        <v>4167.9902000000002</v>
      </c>
      <c r="M452" s="5">
        <v>3975</v>
      </c>
      <c r="N452" s="5">
        <v>4000</v>
      </c>
      <c r="O452" s="5">
        <v>6</v>
      </c>
      <c r="Q452" s="6">
        <v>38812</v>
      </c>
      <c r="R452" s="7">
        <v>0.66666666666666663</v>
      </c>
      <c r="S452" s="5">
        <v>180</v>
      </c>
      <c r="T452" s="5">
        <v>183.5</v>
      </c>
      <c r="U452" s="5">
        <v>180</v>
      </c>
      <c r="V452" s="5">
        <v>182</v>
      </c>
      <c r="W452" s="5">
        <v>141400</v>
      </c>
      <c r="Y452" s="6">
        <f t="shared" ref="Y452:Y515" si="14">I452</f>
        <v>40469</v>
      </c>
      <c r="Z452" s="5">
        <f t="shared" ref="Z452:Z515" si="15">N452</f>
        <v>4000</v>
      </c>
      <c r="AA452" s="5">
        <v>91.3</v>
      </c>
      <c r="AB452" s="5">
        <v>92</v>
      </c>
    </row>
    <row r="453" spans="1:28" x14ac:dyDescent="0.3">
      <c r="A453" s="6">
        <v>38832</v>
      </c>
      <c r="B453" s="7">
        <v>0.66666666666666663</v>
      </c>
      <c r="C453" s="5">
        <v>175.5</v>
      </c>
      <c r="D453" s="5">
        <v>175.75</v>
      </c>
      <c r="E453" s="5">
        <v>174.2</v>
      </c>
      <c r="F453" s="5">
        <v>175.75</v>
      </c>
      <c r="G453" s="5">
        <v>5600</v>
      </c>
      <c r="I453" s="6">
        <v>40470</v>
      </c>
      <c r="J453" s="7">
        <v>0.66666666666666663</v>
      </c>
      <c r="K453" s="5">
        <v>4000</v>
      </c>
      <c r="L453" s="5">
        <v>4099.9902000000002</v>
      </c>
      <c r="M453" s="5">
        <v>3986.1399000000001</v>
      </c>
      <c r="N453" s="5">
        <v>4000</v>
      </c>
      <c r="O453" s="5">
        <v>204</v>
      </c>
      <c r="Q453" s="6">
        <v>38813</v>
      </c>
      <c r="R453" s="7">
        <v>0.66666666666666663</v>
      </c>
      <c r="S453" s="5">
        <v>182</v>
      </c>
      <c r="T453" s="5">
        <v>185</v>
      </c>
      <c r="U453" s="5">
        <v>181.1</v>
      </c>
      <c r="V453" s="5">
        <v>183</v>
      </c>
      <c r="W453" s="5">
        <v>119300</v>
      </c>
      <c r="Y453" s="6">
        <f t="shared" si="14"/>
        <v>40470</v>
      </c>
      <c r="Z453" s="5">
        <f t="shared" si="15"/>
        <v>4000</v>
      </c>
      <c r="AA453" s="5">
        <v>94.37</v>
      </c>
      <c r="AB453" s="5">
        <v>91.2</v>
      </c>
    </row>
    <row r="454" spans="1:28" x14ac:dyDescent="0.3">
      <c r="A454" s="6">
        <v>38833</v>
      </c>
      <c r="B454" s="7">
        <v>0.66666666666666663</v>
      </c>
      <c r="C454" s="5">
        <v>174.1</v>
      </c>
      <c r="D454" s="5">
        <v>176</v>
      </c>
      <c r="E454" s="5">
        <v>173</v>
      </c>
      <c r="F454" s="5">
        <v>175.9</v>
      </c>
      <c r="G454" s="5">
        <v>2800</v>
      </c>
      <c r="I454" s="6">
        <v>40471</v>
      </c>
      <c r="J454" s="7">
        <v>0.66666666666666663</v>
      </c>
      <c r="K454" s="5">
        <v>4089.98</v>
      </c>
      <c r="L454" s="5">
        <v>4089.98</v>
      </c>
      <c r="M454" s="5">
        <v>4089.98</v>
      </c>
      <c r="N454" s="5">
        <v>4089.98</v>
      </c>
      <c r="O454" s="5">
        <v>1</v>
      </c>
      <c r="Q454" s="6">
        <v>38814</v>
      </c>
      <c r="R454" s="7">
        <v>0.66666666666666663</v>
      </c>
      <c r="S454" s="5">
        <v>183</v>
      </c>
      <c r="T454" s="5">
        <v>192.15</v>
      </c>
      <c r="U454" s="5">
        <v>183</v>
      </c>
      <c r="V454" s="5">
        <v>192.15</v>
      </c>
      <c r="W454" s="5">
        <v>300500</v>
      </c>
      <c r="Y454" s="6">
        <f t="shared" si="14"/>
        <v>40471</v>
      </c>
      <c r="Z454" s="5">
        <f t="shared" si="15"/>
        <v>4089.98</v>
      </c>
      <c r="AA454" s="5">
        <v>93.7</v>
      </c>
      <c r="AB454" s="5">
        <v>91.25</v>
      </c>
    </row>
    <row r="455" spans="1:28" x14ac:dyDescent="0.3">
      <c r="A455" s="6">
        <v>38834</v>
      </c>
      <c r="B455" s="7">
        <v>0.66666666666666663</v>
      </c>
      <c r="C455" s="5">
        <v>173.6</v>
      </c>
      <c r="D455" s="5">
        <v>176.75</v>
      </c>
      <c r="E455" s="5">
        <v>173.6</v>
      </c>
      <c r="F455" s="5">
        <v>176.75</v>
      </c>
      <c r="G455" s="5">
        <v>9900</v>
      </c>
      <c r="I455" s="6">
        <v>40472</v>
      </c>
      <c r="J455" s="7">
        <v>0.66666666666666663</v>
      </c>
      <c r="K455" s="5">
        <v>4080</v>
      </c>
      <c r="L455" s="5">
        <v>4080</v>
      </c>
      <c r="M455" s="5">
        <v>4000.1001000000001</v>
      </c>
      <c r="N455" s="5">
        <v>4000.1001000000001</v>
      </c>
      <c r="O455" s="5">
        <v>27</v>
      </c>
      <c r="Q455" s="6">
        <v>38817</v>
      </c>
      <c r="R455" s="7">
        <v>0.66666666666666663</v>
      </c>
      <c r="S455" s="5">
        <v>192.15</v>
      </c>
      <c r="T455" s="5">
        <v>198</v>
      </c>
      <c r="U455" s="5">
        <v>191.6</v>
      </c>
      <c r="V455" s="5">
        <v>192.75</v>
      </c>
      <c r="W455" s="5">
        <v>180600</v>
      </c>
      <c r="Y455" s="6">
        <f t="shared" si="14"/>
        <v>40472</v>
      </c>
      <c r="Z455" s="5">
        <f t="shared" si="15"/>
        <v>4000.1001000000001</v>
      </c>
      <c r="AA455" s="5">
        <v>97.1</v>
      </c>
      <c r="AB455" s="5">
        <v>92</v>
      </c>
    </row>
    <row r="456" spans="1:28" x14ac:dyDescent="0.3">
      <c r="A456" s="6">
        <v>38835</v>
      </c>
      <c r="B456" s="7">
        <v>0.66666666666666663</v>
      </c>
      <c r="C456" s="5">
        <v>169.5</v>
      </c>
      <c r="D456" s="5">
        <v>174.4</v>
      </c>
      <c r="E456" s="5">
        <v>169.5</v>
      </c>
      <c r="F456" s="5">
        <v>171</v>
      </c>
      <c r="G456" s="5">
        <v>4700</v>
      </c>
      <c r="I456" s="6">
        <v>40473</v>
      </c>
      <c r="J456" s="7">
        <v>0.66666666666666663</v>
      </c>
      <c r="K456" s="5">
        <v>4000.1001000000001</v>
      </c>
      <c r="L456" s="5">
        <v>4168.9902000000002</v>
      </c>
      <c r="M456" s="5">
        <v>3960</v>
      </c>
      <c r="N456" s="5">
        <v>4000</v>
      </c>
      <c r="O456" s="5">
        <v>57</v>
      </c>
      <c r="Q456" s="6">
        <v>38820</v>
      </c>
      <c r="R456" s="7">
        <v>0.66666666666666663</v>
      </c>
      <c r="S456" s="5">
        <v>190.8</v>
      </c>
      <c r="T456" s="5">
        <v>190.8</v>
      </c>
      <c r="U456" s="5">
        <v>188</v>
      </c>
      <c r="V456" s="5">
        <v>190</v>
      </c>
      <c r="W456" s="5">
        <v>74100</v>
      </c>
      <c r="Y456" s="6">
        <f t="shared" si="14"/>
        <v>40473</v>
      </c>
      <c r="Z456" s="5">
        <f t="shared" si="15"/>
        <v>4000</v>
      </c>
      <c r="AA456" s="5">
        <v>99.49</v>
      </c>
      <c r="AB456" s="5">
        <v>94</v>
      </c>
    </row>
    <row r="457" spans="1:28" x14ac:dyDescent="0.3">
      <c r="A457" s="6">
        <v>38839</v>
      </c>
      <c r="B457" s="7">
        <v>0.66666666666666663</v>
      </c>
      <c r="C457" s="5">
        <v>171</v>
      </c>
      <c r="D457" s="5">
        <v>173</v>
      </c>
      <c r="E457" s="5">
        <v>167.6</v>
      </c>
      <c r="F457" s="5">
        <v>173</v>
      </c>
      <c r="G457" s="5">
        <v>1400</v>
      </c>
      <c r="I457" s="6">
        <v>40476</v>
      </c>
      <c r="J457" s="7">
        <v>0.66666666666666663</v>
      </c>
      <c r="K457" s="5">
        <v>4000</v>
      </c>
      <c r="L457" s="5">
        <v>4050</v>
      </c>
      <c r="M457" s="5">
        <v>3963.0700999999999</v>
      </c>
      <c r="N457" s="5">
        <v>4020</v>
      </c>
      <c r="O457" s="5">
        <v>1022</v>
      </c>
      <c r="Q457" s="6">
        <v>38821</v>
      </c>
      <c r="R457" s="7">
        <v>0.66666666666666663</v>
      </c>
      <c r="S457" s="5">
        <v>190</v>
      </c>
      <c r="T457" s="5">
        <v>197.5</v>
      </c>
      <c r="U457" s="5">
        <v>188.65</v>
      </c>
      <c r="V457" s="5">
        <v>194.5</v>
      </c>
      <c r="W457" s="5">
        <v>383500</v>
      </c>
      <c r="Y457" s="6">
        <f t="shared" si="14"/>
        <v>40476</v>
      </c>
      <c r="Z457" s="5">
        <f t="shared" si="15"/>
        <v>4020</v>
      </c>
      <c r="AA457" s="5">
        <v>102.37</v>
      </c>
      <c r="AB457" s="5">
        <v>94.5</v>
      </c>
    </row>
    <row r="458" spans="1:28" x14ac:dyDescent="0.3">
      <c r="A458" s="6">
        <v>38840</v>
      </c>
      <c r="B458" s="7">
        <v>0.66666666666666663</v>
      </c>
      <c r="C458" s="5">
        <v>175</v>
      </c>
      <c r="D458" s="5">
        <v>175</v>
      </c>
      <c r="E458" s="5">
        <v>174.95</v>
      </c>
      <c r="F458" s="5">
        <v>175</v>
      </c>
      <c r="G458" s="5">
        <v>1300</v>
      </c>
      <c r="I458" s="6">
        <v>40477</v>
      </c>
      <c r="J458" s="7">
        <v>0.66666666666666663</v>
      </c>
      <c r="K458" s="5">
        <v>4020</v>
      </c>
      <c r="L458" s="5">
        <v>4079.99</v>
      </c>
      <c r="M458" s="5">
        <v>3992.01</v>
      </c>
      <c r="N458" s="5">
        <v>4050</v>
      </c>
      <c r="O458" s="5">
        <v>1008</v>
      </c>
      <c r="Q458" s="6">
        <v>38824</v>
      </c>
      <c r="R458" s="7">
        <v>0.66666666666666663</v>
      </c>
      <c r="S458" s="5">
        <v>194.5</v>
      </c>
      <c r="T458" s="5">
        <v>196.4</v>
      </c>
      <c r="U458" s="5">
        <v>192.65</v>
      </c>
      <c r="V458" s="5">
        <v>193</v>
      </c>
      <c r="W458" s="5">
        <v>140300</v>
      </c>
      <c r="Y458" s="6">
        <f t="shared" si="14"/>
        <v>40477</v>
      </c>
      <c r="Z458" s="5">
        <f t="shared" si="15"/>
        <v>4050</v>
      </c>
      <c r="AA458" s="5">
        <v>98.2</v>
      </c>
      <c r="AB458" s="5">
        <v>97.45</v>
      </c>
    </row>
    <row r="459" spans="1:28" x14ac:dyDescent="0.3">
      <c r="A459" s="6">
        <v>38841</v>
      </c>
      <c r="B459" s="7">
        <v>0.66666666666666663</v>
      </c>
      <c r="C459" s="5">
        <v>172.6</v>
      </c>
      <c r="D459" s="5">
        <v>172.6</v>
      </c>
      <c r="E459" s="5">
        <v>172.6</v>
      </c>
      <c r="F459" s="5">
        <v>172.6</v>
      </c>
      <c r="G459" s="5">
        <v>100</v>
      </c>
      <c r="I459" s="6">
        <v>40478</v>
      </c>
      <c r="J459" s="7">
        <v>0.66666666666666663</v>
      </c>
      <c r="K459" s="5">
        <v>4050</v>
      </c>
      <c r="L459" s="5">
        <v>4098</v>
      </c>
      <c r="M459" s="5">
        <v>3876</v>
      </c>
      <c r="N459" s="5">
        <v>4050</v>
      </c>
      <c r="O459" s="5">
        <v>49</v>
      </c>
      <c r="Q459" s="6">
        <v>38825</v>
      </c>
      <c r="R459" s="7">
        <v>0.66666666666666663</v>
      </c>
      <c r="S459" s="5">
        <v>193</v>
      </c>
      <c r="T459" s="5">
        <v>194</v>
      </c>
      <c r="U459" s="5">
        <v>184</v>
      </c>
      <c r="V459" s="5">
        <v>185.6</v>
      </c>
      <c r="W459" s="5">
        <v>221600</v>
      </c>
      <c r="Y459" s="6">
        <f t="shared" si="14"/>
        <v>40478</v>
      </c>
      <c r="Z459" s="5">
        <f t="shared" si="15"/>
        <v>4050</v>
      </c>
      <c r="AA459" s="5">
        <v>98.3</v>
      </c>
      <c r="AB459" s="5">
        <v>98.5</v>
      </c>
    </row>
    <row r="460" spans="1:28" x14ac:dyDescent="0.3">
      <c r="A460" s="6">
        <v>38842</v>
      </c>
      <c r="B460" s="7">
        <v>0.66666666666666663</v>
      </c>
      <c r="C460" s="5">
        <v>172</v>
      </c>
      <c r="D460" s="5">
        <v>172</v>
      </c>
      <c r="E460" s="5">
        <v>171</v>
      </c>
      <c r="F460" s="5">
        <v>171</v>
      </c>
      <c r="G460" s="5">
        <v>600</v>
      </c>
      <c r="I460" s="6">
        <v>40479</v>
      </c>
      <c r="J460" s="7">
        <v>0.66666666666666663</v>
      </c>
      <c r="K460" s="5">
        <v>4050</v>
      </c>
      <c r="L460" s="5">
        <v>4080</v>
      </c>
      <c r="M460" s="5">
        <v>4000.01</v>
      </c>
      <c r="N460" s="5">
        <v>4025</v>
      </c>
      <c r="O460" s="5">
        <v>48</v>
      </c>
      <c r="Q460" s="6">
        <v>38826</v>
      </c>
      <c r="R460" s="7">
        <v>0.66666666666666663</v>
      </c>
      <c r="S460" s="5">
        <v>185.6</v>
      </c>
      <c r="T460" s="5">
        <v>186</v>
      </c>
      <c r="U460" s="5">
        <v>178.5</v>
      </c>
      <c r="V460" s="5">
        <v>182.6</v>
      </c>
      <c r="W460" s="5">
        <v>104300</v>
      </c>
      <c r="Y460" s="6">
        <f t="shared" si="14"/>
        <v>40479</v>
      </c>
      <c r="Z460" s="5">
        <f t="shared" si="15"/>
        <v>4025</v>
      </c>
      <c r="AA460" s="5">
        <v>101.85</v>
      </c>
      <c r="AB460" s="5">
        <v>100</v>
      </c>
    </row>
    <row r="461" spans="1:28" x14ac:dyDescent="0.3">
      <c r="A461" s="6">
        <v>38845</v>
      </c>
      <c r="B461" s="7">
        <v>0.66666666666666663</v>
      </c>
      <c r="C461" s="5">
        <v>169</v>
      </c>
      <c r="D461" s="5">
        <v>170</v>
      </c>
      <c r="E461" s="5">
        <v>166.55</v>
      </c>
      <c r="F461" s="5">
        <v>168.5</v>
      </c>
      <c r="G461" s="5">
        <v>1900</v>
      </c>
      <c r="I461" s="6">
        <v>40480</v>
      </c>
      <c r="J461" s="7">
        <v>0.66666666666666663</v>
      </c>
      <c r="K461" s="5">
        <v>4025</v>
      </c>
      <c r="L461" s="5">
        <v>4099.9701999999997</v>
      </c>
      <c r="M461" s="5">
        <v>3900</v>
      </c>
      <c r="N461" s="5">
        <v>4088.6698999999999</v>
      </c>
      <c r="O461" s="5">
        <v>216</v>
      </c>
      <c r="Q461" s="6">
        <v>38827</v>
      </c>
      <c r="R461" s="7">
        <v>0.66666666666666663</v>
      </c>
      <c r="S461" s="5">
        <v>182.5</v>
      </c>
      <c r="T461" s="5">
        <v>182.5</v>
      </c>
      <c r="U461" s="5">
        <v>173.5</v>
      </c>
      <c r="V461" s="5">
        <v>173.5</v>
      </c>
      <c r="W461" s="5">
        <v>411000</v>
      </c>
      <c r="Y461" s="6">
        <f t="shared" si="14"/>
        <v>40480</v>
      </c>
      <c r="Z461" s="5">
        <f t="shared" si="15"/>
        <v>4088.6698999999999</v>
      </c>
      <c r="AA461" s="5">
        <v>100.36</v>
      </c>
      <c r="AB461" s="5">
        <v>100</v>
      </c>
    </row>
    <row r="462" spans="1:28" x14ac:dyDescent="0.3">
      <c r="A462" s="6">
        <v>38846</v>
      </c>
      <c r="B462" s="7">
        <v>0.66666666666666663</v>
      </c>
      <c r="C462" s="5">
        <v>170</v>
      </c>
      <c r="D462" s="5">
        <v>170</v>
      </c>
      <c r="E462" s="5">
        <v>168</v>
      </c>
      <c r="F462" s="5">
        <v>168</v>
      </c>
      <c r="G462" s="5">
        <v>1700</v>
      </c>
      <c r="I462" s="6">
        <v>40483</v>
      </c>
      <c r="J462" s="7">
        <v>0.66666666666666663</v>
      </c>
      <c r="K462" s="5">
        <v>4050.02</v>
      </c>
      <c r="L462" s="5">
        <v>4050.02</v>
      </c>
      <c r="M462" s="5">
        <v>4025</v>
      </c>
      <c r="N462" s="5">
        <v>4037.5</v>
      </c>
      <c r="O462" s="5">
        <v>13</v>
      </c>
      <c r="Q462" s="6">
        <v>38828</v>
      </c>
      <c r="R462" s="7">
        <v>0.66666666666666663</v>
      </c>
      <c r="S462" s="5">
        <v>165.5</v>
      </c>
      <c r="T462" s="5">
        <v>165.5</v>
      </c>
      <c r="U462" s="5">
        <v>156.15</v>
      </c>
      <c r="V462" s="5">
        <v>158.5</v>
      </c>
      <c r="W462" s="5">
        <v>489800</v>
      </c>
      <c r="Y462" s="6">
        <f t="shared" si="14"/>
        <v>40483</v>
      </c>
      <c r="Z462" s="5">
        <f t="shared" si="15"/>
        <v>4037.5</v>
      </c>
      <c r="AA462" s="5">
        <v>100.8</v>
      </c>
      <c r="AB462" s="5">
        <v>96.7</v>
      </c>
    </row>
    <row r="463" spans="1:28" x14ac:dyDescent="0.3">
      <c r="A463" s="6">
        <v>38847</v>
      </c>
      <c r="B463" s="7">
        <v>0.66666666666666663</v>
      </c>
      <c r="C463" s="5">
        <v>167</v>
      </c>
      <c r="D463" s="5">
        <v>167.2</v>
      </c>
      <c r="E463" s="5">
        <v>167</v>
      </c>
      <c r="F463" s="5">
        <v>167.2</v>
      </c>
      <c r="G463" s="5">
        <v>1200</v>
      </c>
      <c r="I463" s="6">
        <v>40484</v>
      </c>
      <c r="J463" s="7">
        <v>0.66666666666666663</v>
      </c>
      <c r="K463" s="5">
        <v>4037.5</v>
      </c>
      <c r="L463" s="5">
        <v>4069.99</v>
      </c>
      <c r="M463" s="5">
        <v>4015.0601000000001</v>
      </c>
      <c r="N463" s="5">
        <v>4069.99</v>
      </c>
      <c r="O463" s="5">
        <v>3</v>
      </c>
      <c r="Q463" s="6">
        <v>38831</v>
      </c>
      <c r="R463" s="7">
        <v>0.66666666666666663</v>
      </c>
      <c r="S463" s="5">
        <v>158.5</v>
      </c>
      <c r="T463" s="5">
        <v>159</v>
      </c>
      <c r="U463" s="5">
        <v>150.6</v>
      </c>
      <c r="V463" s="5">
        <v>152</v>
      </c>
      <c r="W463" s="5">
        <v>166900</v>
      </c>
      <c r="Y463" s="6">
        <f t="shared" si="14"/>
        <v>40484</v>
      </c>
      <c r="Z463" s="5">
        <f t="shared" si="15"/>
        <v>4069.99</v>
      </c>
      <c r="AA463" s="5">
        <v>105.84</v>
      </c>
      <c r="AB463" s="5">
        <v>98.99</v>
      </c>
    </row>
    <row r="464" spans="1:28" x14ac:dyDescent="0.3">
      <c r="A464" s="6">
        <v>38848</v>
      </c>
      <c r="B464" s="7">
        <v>0.66666666666666663</v>
      </c>
      <c r="C464" s="5">
        <v>167.2</v>
      </c>
      <c r="D464" s="5">
        <v>167.25</v>
      </c>
      <c r="E464" s="5">
        <v>166.5</v>
      </c>
      <c r="F464" s="5">
        <v>166.5</v>
      </c>
      <c r="G464" s="5">
        <v>4300</v>
      </c>
      <c r="I464" s="6">
        <v>40485</v>
      </c>
      <c r="J464" s="7">
        <v>0.66666666666666663</v>
      </c>
      <c r="K464" s="5">
        <v>4069.99</v>
      </c>
      <c r="L464" s="5">
        <v>4094.49</v>
      </c>
      <c r="M464" s="5">
        <v>4050</v>
      </c>
      <c r="N464" s="5">
        <v>4052.46</v>
      </c>
      <c r="O464" s="5">
        <v>233</v>
      </c>
      <c r="Q464" s="6">
        <v>38832</v>
      </c>
      <c r="R464" s="7">
        <v>0.66666666666666663</v>
      </c>
      <c r="S464" s="5">
        <v>152</v>
      </c>
      <c r="T464" s="5">
        <v>153.9</v>
      </c>
      <c r="U464" s="5">
        <v>148.25</v>
      </c>
      <c r="V464" s="5">
        <v>151</v>
      </c>
      <c r="W464" s="5">
        <v>63800</v>
      </c>
      <c r="Y464" s="6">
        <f t="shared" si="14"/>
        <v>40485</v>
      </c>
      <c r="Z464" s="5">
        <f t="shared" si="15"/>
        <v>4052.46</v>
      </c>
      <c r="AA464" s="5">
        <v>109.27</v>
      </c>
      <c r="AB464" s="5">
        <v>97.88</v>
      </c>
    </row>
    <row r="465" spans="1:28" x14ac:dyDescent="0.3">
      <c r="A465" s="6">
        <v>38849</v>
      </c>
      <c r="B465" s="7">
        <v>0.66666666666666663</v>
      </c>
      <c r="C465" s="5">
        <v>170</v>
      </c>
      <c r="D465" s="5">
        <v>170</v>
      </c>
      <c r="E465" s="5">
        <v>165.25</v>
      </c>
      <c r="F465" s="5">
        <v>166.5</v>
      </c>
      <c r="G465" s="5">
        <v>3600</v>
      </c>
      <c r="I465" s="6">
        <v>40486</v>
      </c>
      <c r="J465" s="7">
        <v>0.66666666666666663</v>
      </c>
      <c r="K465" s="5">
        <v>4052.46</v>
      </c>
      <c r="L465" s="5">
        <v>4079.99</v>
      </c>
      <c r="M465" s="5">
        <v>4020.01</v>
      </c>
      <c r="N465" s="5">
        <v>4050</v>
      </c>
      <c r="O465" s="5">
        <v>45</v>
      </c>
      <c r="Q465" s="6">
        <v>38833</v>
      </c>
      <c r="R465" s="7">
        <v>0.66666666666666663</v>
      </c>
      <c r="S465" s="5">
        <v>151</v>
      </c>
      <c r="T465" s="5">
        <v>154</v>
      </c>
      <c r="U465" s="5">
        <v>151</v>
      </c>
      <c r="V465" s="5">
        <v>152.94999999999999</v>
      </c>
      <c r="W465" s="5">
        <v>117900</v>
      </c>
      <c r="Y465" s="6">
        <f t="shared" si="14"/>
        <v>40486</v>
      </c>
      <c r="Z465" s="5">
        <f t="shared" si="15"/>
        <v>4050</v>
      </c>
      <c r="AA465" s="5">
        <v>114.5</v>
      </c>
      <c r="AB465" s="5">
        <v>98</v>
      </c>
    </row>
    <row r="466" spans="1:28" x14ac:dyDescent="0.3">
      <c r="A466" s="6">
        <v>38852</v>
      </c>
      <c r="B466" s="7">
        <v>0.66666666666666663</v>
      </c>
      <c r="C466" s="5">
        <v>165</v>
      </c>
      <c r="D466" s="5">
        <v>165</v>
      </c>
      <c r="E466" s="5">
        <v>160.5</v>
      </c>
      <c r="F466" s="5">
        <v>160.5</v>
      </c>
      <c r="G466" s="5">
        <v>9800</v>
      </c>
      <c r="I466" s="6">
        <v>40487</v>
      </c>
      <c r="J466" s="7">
        <v>0.66666666666666663</v>
      </c>
      <c r="K466" s="5">
        <v>4100</v>
      </c>
      <c r="L466" s="5">
        <v>4100</v>
      </c>
      <c r="M466" s="5">
        <v>4100</v>
      </c>
      <c r="N466" s="5">
        <v>4100</v>
      </c>
      <c r="O466" s="5">
        <v>1</v>
      </c>
      <c r="Q466" s="6">
        <v>38834</v>
      </c>
      <c r="R466" s="7">
        <v>0.66666666666666663</v>
      </c>
      <c r="S466" s="5">
        <v>152.5</v>
      </c>
      <c r="T466" s="5">
        <v>152.5</v>
      </c>
      <c r="U466" s="5">
        <v>146.94999999999999</v>
      </c>
      <c r="V466" s="5">
        <v>146.94999999999999</v>
      </c>
      <c r="W466" s="5">
        <v>76200</v>
      </c>
      <c r="Y466" s="6">
        <f t="shared" si="14"/>
        <v>40487</v>
      </c>
      <c r="Z466" s="5">
        <f t="shared" si="15"/>
        <v>4100</v>
      </c>
      <c r="AA466" s="5">
        <v>120.22</v>
      </c>
      <c r="AB466" s="5">
        <v>99.05</v>
      </c>
    </row>
    <row r="467" spans="1:28" x14ac:dyDescent="0.3">
      <c r="A467" s="6">
        <v>38853</v>
      </c>
      <c r="B467" s="7">
        <v>0.66666666666666663</v>
      </c>
      <c r="C467" s="5">
        <v>158.1</v>
      </c>
      <c r="D467" s="5">
        <v>158.1</v>
      </c>
      <c r="E467" s="5">
        <v>158.1</v>
      </c>
      <c r="F467" s="5">
        <v>158.1</v>
      </c>
      <c r="G467" s="5">
        <v>500</v>
      </c>
      <c r="I467" s="6">
        <v>40490</v>
      </c>
      <c r="J467" s="7">
        <v>0.66666666666666663</v>
      </c>
      <c r="K467" s="5">
        <v>4100</v>
      </c>
      <c r="L467" s="5">
        <v>4100</v>
      </c>
      <c r="M467" s="5">
        <v>3901</v>
      </c>
      <c r="N467" s="5">
        <v>4088.99</v>
      </c>
      <c r="O467" s="5">
        <v>8</v>
      </c>
      <c r="Q467" s="6">
        <v>38835</v>
      </c>
      <c r="R467" s="7">
        <v>0.66666666666666663</v>
      </c>
      <c r="S467" s="5">
        <v>146.94999999999999</v>
      </c>
      <c r="T467" s="5">
        <v>149.05000000000001</v>
      </c>
      <c r="U467" s="5">
        <v>142.19999999999999</v>
      </c>
      <c r="V467" s="5">
        <v>144.65</v>
      </c>
      <c r="W467" s="5">
        <v>67900</v>
      </c>
      <c r="Y467" s="6">
        <f t="shared" si="14"/>
        <v>40490</v>
      </c>
      <c r="Z467" s="5">
        <f t="shared" si="15"/>
        <v>4088.99</v>
      </c>
      <c r="AA467" s="5">
        <v>125.58</v>
      </c>
      <c r="AB467" s="5">
        <v>98.14</v>
      </c>
    </row>
    <row r="468" spans="1:28" x14ac:dyDescent="0.3">
      <c r="A468" s="6">
        <v>38854</v>
      </c>
      <c r="B468" s="7">
        <v>0.66666666666666663</v>
      </c>
      <c r="C468" s="5">
        <v>163.5</v>
      </c>
      <c r="D468" s="5">
        <v>163.95</v>
      </c>
      <c r="E468" s="5">
        <v>161</v>
      </c>
      <c r="F468" s="5">
        <v>163.85</v>
      </c>
      <c r="G468" s="5">
        <v>800</v>
      </c>
      <c r="I468" s="6">
        <v>40492</v>
      </c>
      <c r="J468" s="7">
        <v>0.66666666666666663</v>
      </c>
      <c r="K468" s="5">
        <v>4088.99</v>
      </c>
      <c r="L468" s="5">
        <v>4099.8701000000001</v>
      </c>
      <c r="M468" s="5">
        <v>4040</v>
      </c>
      <c r="N468" s="5">
        <v>4060.01</v>
      </c>
      <c r="O468" s="5">
        <v>50</v>
      </c>
      <c r="Q468" s="6">
        <v>38839</v>
      </c>
      <c r="R468" s="7">
        <v>0.66666666666666663</v>
      </c>
      <c r="S468" s="5">
        <v>145.05000000000001</v>
      </c>
      <c r="T468" s="5">
        <v>148.94999999999999</v>
      </c>
      <c r="U468" s="5">
        <v>145.05000000000001</v>
      </c>
      <c r="V468" s="5">
        <v>147</v>
      </c>
      <c r="W468" s="5">
        <v>44600</v>
      </c>
      <c r="Y468" s="6">
        <f t="shared" si="14"/>
        <v>40492</v>
      </c>
      <c r="Z468" s="5">
        <f t="shared" si="15"/>
        <v>4060.01</v>
      </c>
      <c r="AA468" s="5">
        <v>125.39</v>
      </c>
      <c r="AB468" s="5">
        <v>98.3</v>
      </c>
    </row>
    <row r="469" spans="1:28" x14ac:dyDescent="0.3">
      <c r="A469" s="6">
        <v>38855</v>
      </c>
      <c r="B469" s="7">
        <v>0.66666666666666663</v>
      </c>
      <c r="C469" s="5">
        <v>162</v>
      </c>
      <c r="D469" s="5">
        <v>162.25</v>
      </c>
      <c r="E469" s="5">
        <v>162</v>
      </c>
      <c r="F469" s="5">
        <v>162.25</v>
      </c>
      <c r="G469" s="5">
        <v>800</v>
      </c>
      <c r="I469" s="6">
        <v>40493</v>
      </c>
      <c r="J469" s="7">
        <v>0.66666666666666663</v>
      </c>
      <c r="K469" s="5">
        <v>4060.01</v>
      </c>
      <c r="L469" s="5">
        <v>4089</v>
      </c>
      <c r="M469" s="5">
        <v>4025</v>
      </c>
      <c r="N469" s="5">
        <v>4088.99</v>
      </c>
      <c r="O469" s="5">
        <v>21</v>
      </c>
      <c r="Q469" s="6">
        <v>38840</v>
      </c>
      <c r="R469" s="7">
        <v>0.66666666666666663</v>
      </c>
      <c r="S469" s="5">
        <v>148</v>
      </c>
      <c r="T469" s="5">
        <v>151</v>
      </c>
      <c r="U469" s="5">
        <v>148</v>
      </c>
      <c r="V469" s="5">
        <v>148.19999999999999</v>
      </c>
      <c r="W469" s="5">
        <v>36000</v>
      </c>
      <c r="Y469" s="6">
        <f t="shared" si="14"/>
        <v>40493</v>
      </c>
      <c r="Z469" s="5">
        <f t="shared" si="15"/>
        <v>4088.99</v>
      </c>
      <c r="AA469" s="5">
        <v>123.96</v>
      </c>
      <c r="AB469" s="5">
        <v>98.9</v>
      </c>
    </row>
    <row r="470" spans="1:28" x14ac:dyDescent="0.3">
      <c r="A470" s="6">
        <v>38856</v>
      </c>
      <c r="B470" s="7">
        <v>0.66666666666666663</v>
      </c>
      <c r="C470" s="5">
        <v>164</v>
      </c>
      <c r="D470" s="5">
        <v>164</v>
      </c>
      <c r="E470" s="5">
        <v>162.6</v>
      </c>
      <c r="F470" s="5">
        <v>162.6</v>
      </c>
      <c r="G470" s="5">
        <v>25000</v>
      </c>
      <c r="I470" s="6">
        <v>40494</v>
      </c>
      <c r="J470" s="7">
        <v>0.66666666666666663</v>
      </c>
      <c r="K470" s="5">
        <v>4088.99</v>
      </c>
      <c r="L470" s="5">
        <v>4100</v>
      </c>
      <c r="M470" s="5">
        <v>3901</v>
      </c>
      <c r="N470" s="5">
        <v>4050</v>
      </c>
      <c r="O470" s="5">
        <v>66</v>
      </c>
      <c r="Q470" s="6">
        <v>38841</v>
      </c>
      <c r="R470" s="7">
        <v>0.66666666666666663</v>
      </c>
      <c r="S470" s="5">
        <v>148.19999999999999</v>
      </c>
      <c r="T470" s="5">
        <v>148.4</v>
      </c>
      <c r="U470" s="5">
        <v>144.5</v>
      </c>
      <c r="V470" s="5">
        <v>145</v>
      </c>
      <c r="W470" s="5">
        <v>60400</v>
      </c>
      <c r="Y470" s="6">
        <f t="shared" si="14"/>
        <v>40494</v>
      </c>
      <c r="Z470" s="5">
        <f t="shared" si="15"/>
        <v>4050</v>
      </c>
      <c r="AA470" s="5">
        <v>122.94</v>
      </c>
      <c r="AB470" s="5">
        <v>98.05</v>
      </c>
    </row>
    <row r="471" spans="1:28" x14ac:dyDescent="0.3">
      <c r="A471" s="6">
        <v>38859</v>
      </c>
      <c r="B471" s="7">
        <v>0.66666666666666663</v>
      </c>
      <c r="C471" s="5">
        <v>163</v>
      </c>
      <c r="D471" s="5">
        <v>165</v>
      </c>
      <c r="E471" s="5">
        <v>162</v>
      </c>
      <c r="F471" s="5">
        <v>165</v>
      </c>
      <c r="G471" s="5">
        <v>3800</v>
      </c>
      <c r="I471" s="6">
        <v>40497</v>
      </c>
      <c r="J471" s="7">
        <v>0.66666666666666663</v>
      </c>
      <c r="K471" s="5">
        <v>4050</v>
      </c>
      <c r="L471" s="5">
        <v>4099.9902000000002</v>
      </c>
      <c r="M471" s="5">
        <v>4050</v>
      </c>
      <c r="N471" s="5">
        <v>4053.5</v>
      </c>
      <c r="O471" s="5">
        <v>62</v>
      </c>
      <c r="Q471" s="6">
        <v>38842</v>
      </c>
      <c r="R471" s="7">
        <v>0.66666666666666663</v>
      </c>
      <c r="S471" s="5">
        <v>145</v>
      </c>
      <c r="T471" s="5">
        <v>146.5</v>
      </c>
      <c r="U471" s="5">
        <v>143</v>
      </c>
      <c r="V471" s="5">
        <v>144.5</v>
      </c>
      <c r="W471" s="5">
        <v>37200</v>
      </c>
      <c r="Y471" s="6">
        <f t="shared" si="14"/>
        <v>40497</v>
      </c>
      <c r="Z471" s="5">
        <f t="shared" si="15"/>
        <v>4053.5</v>
      </c>
      <c r="AA471" s="5">
        <v>121.52</v>
      </c>
      <c r="AB471" s="5">
        <v>98.9</v>
      </c>
    </row>
    <row r="472" spans="1:28" x14ac:dyDescent="0.3">
      <c r="A472" s="6">
        <v>38860</v>
      </c>
      <c r="B472" s="7">
        <v>0.66666666666666663</v>
      </c>
      <c r="C472" s="5">
        <v>163</v>
      </c>
      <c r="D472" s="5">
        <v>163</v>
      </c>
      <c r="E472" s="5">
        <v>161</v>
      </c>
      <c r="F472" s="5">
        <v>163</v>
      </c>
      <c r="G472" s="5">
        <v>4900</v>
      </c>
      <c r="I472" s="6">
        <v>40498</v>
      </c>
      <c r="J472" s="7">
        <v>0.66666666666666663</v>
      </c>
      <c r="K472" s="5">
        <v>4053.5</v>
      </c>
      <c r="L472" s="5">
        <v>4080</v>
      </c>
      <c r="M472" s="5">
        <v>4050.01</v>
      </c>
      <c r="N472" s="5">
        <v>4076.3301000000001</v>
      </c>
      <c r="O472" s="5">
        <v>65</v>
      </c>
      <c r="Q472" s="6">
        <v>38845</v>
      </c>
      <c r="R472" s="7">
        <v>0.66666666666666663</v>
      </c>
      <c r="S472" s="5">
        <v>145</v>
      </c>
      <c r="T472" s="5">
        <v>148.9</v>
      </c>
      <c r="U472" s="5">
        <v>145</v>
      </c>
      <c r="V472" s="5">
        <v>148.9</v>
      </c>
      <c r="W472" s="5">
        <v>34800</v>
      </c>
      <c r="Y472" s="6">
        <f t="shared" si="14"/>
        <v>40498</v>
      </c>
      <c r="Z472" s="5">
        <f t="shared" si="15"/>
        <v>4076.3301000000001</v>
      </c>
      <c r="AA472" s="5">
        <v>127.23</v>
      </c>
      <c r="AB472" s="5">
        <v>98.2</v>
      </c>
    </row>
    <row r="473" spans="1:28" x14ac:dyDescent="0.3">
      <c r="A473" s="6">
        <v>38861</v>
      </c>
      <c r="B473" s="7">
        <v>0.66666666666666663</v>
      </c>
      <c r="C473" s="5">
        <v>163</v>
      </c>
      <c r="D473" s="5">
        <v>163.5</v>
      </c>
      <c r="E473" s="5">
        <v>162</v>
      </c>
      <c r="F473" s="5">
        <v>163.5</v>
      </c>
      <c r="G473" s="5">
        <v>3200</v>
      </c>
      <c r="I473" s="6">
        <v>40504</v>
      </c>
      <c r="J473" s="7">
        <v>0.66666666666666663</v>
      </c>
      <c r="K473" s="5">
        <v>4076.3301000000001</v>
      </c>
      <c r="L473" s="5">
        <v>4189.8900999999996</v>
      </c>
      <c r="M473" s="5">
        <v>4010.01</v>
      </c>
      <c r="N473" s="5">
        <v>4050.01</v>
      </c>
      <c r="O473" s="5">
        <v>73</v>
      </c>
      <c r="Q473" s="6">
        <v>38846</v>
      </c>
      <c r="R473" s="7">
        <v>0.66666666666666663</v>
      </c>
      <c r="S473" s="5">
        <v>149.5</v>
      </c>
      <c r="T473" s="5">
        <v>156.30000000000001</v>
      </c>
      <c r="U473" s="5">
        <v>149.5</v>
      </c>
      <c r="V473" s="5">
        <v>151.94999999999999</v>
      </c>
      <c r="W473" s="5">
        <v>109300</v>
      </c>
      <c r="Y473" s="6">
        <f t="shared" si="14"/>
        <v>40504</v>
      </c>
      <c r="Z473" s="5">
        <f t="shared" si="15"/>
        <v>4050.01</v>
      </c>
      <c r="AA473" s="5">
        <v>127.75</v>
      </c>
      <c r="AB473" s="5">
        <v>99.02</v>
      </c>
    </row>
    <row r="474" spans="1:28" x14ac:dyDescent="0.3">
      <c r="A474" s="6">
        <v>38862</v>
      </c>
      <c r="B474" s="7">
        <v>0.66666666666666663</v>
      </c>
      <c r="C474" s="5">
        <v>162</v>
      </c>
      <c r="D474" s="5">
        <v>164</v>
      </c>
      <c r="E474" s="5">
        <v>162</v>
      </c>
      <c r="F474" s="5">
        <v>164</v>
      </c>
      <c r="G474" s="5">
        <v>6800</v>
      </c>
      <c r="I474" s="6">
        <v>40505</v>
      </c>
      <c r="J474" s="7">
        <v>0.66666666666666663</v>
      </c>
      <c r="K474" s="5">
        <v>4050.01</v>
      </c>
      <c r="L474" s="5">
        <v>4180</v>
      </c>
      <c r="M474" s="5">
        <v>3950</v>
      </c>
      <c r="N474" s="5">
        <v>4125</v>
      </c>
      <c r="O474" s="5">
        <v>430</v>
      </c>
      <c r="Q474" s="6">
        <v>38847</v>
      </c>
      <c r="R474" s="7">
        <v>0.66666666666666663</v>
      </c>
      <c r="S474" s="5">
        <v>151.94999999999999</v>
      </c>
      <c r="T474" s="5">
        <v>153.85</v>
      </c>
      <c r="U474" s="5">
        <v>149.5</v>
      </c>
      <c r="V474" s="5">
        <v>150</v>
      </c>
      <c r="W474" s="5">
        <v>60100</v>
      </c>
      <c r="Y474" s="6">
        <f t="shared" si="14"/>
        <v>40505</v>
      </c>
      <c r="Z474" s="5">
        <f t="shared" si="15"/>
        <v>4125</v>
      </c>
      <c r="AA474" s="5">
        <v>126.91</v>
      </c>
      <c r="AB474" s="5">
        <v>99.84</v>
      </c>
    </row>
    <row r="475" spans="1:28" x14ac:dyDescent="0.3">
      <c r="A475" s="6">
        <v>38863</v>
      </c>
      <c r="B475" s="7">
        <v>0.66666666666666663</v>
      </c>
      <c r="C475" s="5">
        <v>162.5</v>
      </c>
      <c r="D475" s="5">
        <v>162.5</v>
      </c>
      <c r="E475" s="5">
        <v>162.5</v>
      </c>
      <c r="F475" s="5">
        <v>162.5</v>
      </c>
      <c r="G475" s="5">
        <v>200</v>
      </c>
      <c r="I475" s="6">
        <v>40506</v>
      </c>
      <c r="J475" s="7">
        <v>0.66666666666666663</v>
      </c>
      <c r="K475" s="5">
        <v>4125</v>
      </c>
      <c r="L475" s="5">
        <v>4280</v>
      </c>
      <c r="M475" s="5">
        <v>4051</v>
      </c>
      <c r="N475" s="5">
        <v>4179.6298999999999</v>
      </c>
      <c r="O475" s="5">
        <v>368</v>
      </c>
      <c r="Q475" s="6">
        <v>38848</v>
      </c>
      <c r="R475" s="7">
        <v>0.66666666666666663</v>
      </c>
      <c r="S475" s="5">
        <v>150</v>
      </c>
      <c r="T475" s="5">
        <v>152.44999999999999</v>
      </c>
      <c r="U475" s="5">
        <v>147.5</v>
      </c>
      <c r="V475" s="5">
        <v>152</v>
      </c>
      <c r="W475" s="5">
        <v>42500</v>
      </c>
      <c r="Y475" s="6">
        <f t="shared" si="14"/>
        <v>40506</v>
      </c>
      <c r="Z475" s="5">
        <f t="shared" si="15"/>
        <v>4179.6298999999999</v>
      </c>
      <c r="AA475" s="5">
        <v>124.3</v>
      </c>
      <c r="AB475" s="5">
        <v>100.97</v>
      </c>
    </row>
    <row r="476" spans="1:28" x14ac:dyDescent="0.3">
      <c r="A476" s="6">
        <v>38866</v>
      </c>
      <c r="B476" s="7">
        <v>0.66666666666666663</v>
      </c>
      <c r="C476" s="5">
        <v>159</v>
      </c>
      <c r="D476" s="5">
        <v>159</v>
      </c>
      <c r="E476" s="5">
        <v>155</v>
      </c>
      <c r="F476" s="5">
        <v>155</v>
      </c>
      <c r="G476" s="5">
        <v>2600</v>
      </c>
      <c r="I476" s="6">
        <v>40507</v>
      </c>
      <c r="J476" s="7">
        <v>0.66666666666666663</v>
      </c>
      <c r="K476" s="5">
        <v>4179.6298999999999</v>
      </c>
      <c r="L476" s="5">
        <v>4300</v>
      </c>
      <c r="M476" s="5">
        <v>4110</v>
      </c>
      <c r="N476" s="5">
        <v>4138.9902000000002</v>
      </c>
      <c r="O476" s="5">
        <v>15</v>
      </c>
      <c r="Q476" s="6">
        <v>38849</v>
      </c>
      <c r="R476" s="7">
        <v>0.66666666666666663</v>
      </c>
      <c r="S476" s="5">
        <v>152</v>
      </c>
      <c r="T476" s="5">
        <v>152.85</v>
      </c>
      <c r="U476" s="5">
        <v>148.5</v>
      </c>
      <c r="V476" s="5">
        <v>149.5</v>
      </c>
      <c r="W476" s="5">
        <v>23000</v>
      </c>
      <c r="Y476" s="6">
        <f t="shared" si="14"/>
        <v>40507</v>
      </c>
      <c r="Z476" s="5">
        <f t="shared" si="15"/>
        <v>4138.9902000000002</v>
      </c>
      <c r="AA476" s="5">
        <v>125.92</v>
      </c>
      <c r="AB476" s="5">
        <v>100.5</v>
      </c>
    </row>
    <row r="477" spans="1:28" x14ac:dyDescent="0.3">
      <c r="A477" s="6">
        <v>38867</v>
      </c>
      <c r="B477" s="7">
        <v>0.66666666666666663</v>
      </c>
      <c r="C477" s="5">
        <v>152.5</v>
      </c>
      <c r="D477" s="5">
        <v>152.5</v>
      </c>
      <c r="E477" s="5">
        <v>152.5</v>
      </c>
      <c r="F477" s="5">
        <v>152.5</v>
      </c>
      <c r="G477" s="5">
        <v>100</v>
      </c>
      <c r="I477" s="6">
        <v>40508</v>
      </c>
      <c r="J477" s="7">
        <v>0.66666666666666663</v>
      </c>
      <c r="K477" s="5">
        <v>4138.9902000000002</v>
      </c>
      <c r="L477" s="5">
        <v>4345</v>
      </c>
      <c r="M477" s="5">
        <v>4130</v>
      </c>
      <c r="N477" s="5">
        <v>4133</v>
      </c>
      <c r="O477" s="5">
        <v>140</v>
      </c>
      <c r="Q477" s="6">
        <v>38852</v>
      </c>
      <c r="R477" s="7">
        <v>0.66666666666666663</v>
      </c>
      <c r="S477" s="5">
        <v>148.05000000000001</v>
      </c>
      <c r="T477" s="5">
        <v>148.05000000000001</v>
      </c>
      <c r="U477" s="5">
        <v>142.05000000000001</v>
      </c>
      <c r="V477" s="5">
        <v>144.6</v>
      </c>
      <c r="W477" s="5">
        <v>54700</v>
      </c>
      <c r="Y477" s="6">
        <f t="shared" si="14"/>
        <v>40508</v>
      </c>
      <c r="Z477" s="5">
        <f t="shared" si="15"/>
        <v>4133</v>
      </c>
      <c r="AA477" s="5">
        <v>127.1</v>
      </c>
      <c r="AB477" s="5">
        <v>98.87</v>
      </c>
    </row>
    <row r="478" spans="1:28" x14ac:dyDescent="0.3">
      <c r="A478" s="6">
        <v>38868</v>
      </c>
      <c r="B478" s="7">
        <v>0.66666666666666663</v>
      </c>
      <c r="C478" s="5">
        <v>157</v>
      </c>
      <c r="D478" s="5">
        <v>158</v>
      </c>
      <c r="E478" s="5">
        <v>157</v>
      </c>
      <c r="F478" s="5">
        <v>157.5</v>
      </c>
      <c r="G478" s="5">
        <v>1600</v>
      </c>
      <c r="I478" s="6">
        <v>40511</v>
      </c>
      <c r="J478" s="7">
        <v>0.66666666666666663</v>
      </c>
      <c r="K478" s="5">
        <v>4133</v>
      </c>
      <c r="L478" s="5">
        <v>4268.8397999999997</v>
      </c>
      <c r="M478" s="5">
        <v>4045.01</v>
      </c>
      <c r="N478" s="5">
        <v>4131.1201000000001</v>
      </c>
      <c r="O478" s="5">
        <v>41</v>
      </c>
      <c r="Q478" s="6">
        <v>38853</v>
      </c>
      <c r="R478" s="7">
        <v>0.66666666666666663</v>
      </c>
      <c r="S478" s="5">
        <v>144.6</v>
      </c>
      <c r="T478" s="5">
        <v>144.9</v>
      </c>
      <c r="U478" s="5">
        <v>138.1</v>
      </c>
      <c r="V478" s="5">
        <v>139.9</v>
      </c>
      <c r="W478" s="5">
        <v>21600</v>
      </c>
      <c r="Y478" s="6">
        <f t="shared" si="14"/>
        <v>40511</v>
      </c>
      <c r="Z478" s="5">
        <f t="shared" si="15"/>
        <v>4131.1201000000001</v>
      </c>
      <c r="AA478" s="5">
        <v>128.34</v>
      </c>
      <c r="AB478" s="5">
        <v>99.5</v>
      </c>
    </row>
    <row r="479" spans="1:28" x14ac:dyDescent="0.3">
      <c r="A479" s="6">
        <v>38869</v>
      </c>
      <c r="B479" s="7">
        <v>0.66666666666666663</v>
      </c>
      <c r="C479" s="5">
        <v>158.9</v>
      </c>
      <c r="D479" s="5">
        <v>163</v>
      </c>
      <c r="E479" s="5">
        <v>158.9</v>
      </c>
      <c r="F479" s="5">
        <v>161.5</v>
      </c>
      <c r="G479" s="5">
        <v>5000</v>
      </c>
      <c r="I479" s="6">
        <v>40512</v>
      </c>
      <c r="J479" s="7">
        <v>0.66666666666666663</v>
      </c>
      <c r="K479" s="5">
        <v>4131.1201000000001</v>
      </c>
      <c r="L479" s="5">
        <v>4204.79</v>
      </c>
      <c r="M479" s="5">
        <v>4100.1000999999997</v>
      </c>
      <c r="N479" s="5">
        <v>4124</v>
      </c>
      <c r="O479" s="5">
        <v>35</v>
      </c>
      <c r="Q479" s="6">
        <v>38854</v>
      </c>
      <c r="R479" s="7">
        <v>0.66666666666666663</v>
      </c>
      <c r="S479" s="5">
        <v>139.9</v>
      </c>
      <c r="T479" s="5">
        <v>142.30000000000001</v>
      </c>
      <c r="U479" s="5">
        <v>139</v>
      </c>
      <c r="V479" s="5">
        <v>141.5</v>
      </c>
      <c r="W479" s="5">
        <v>44600</v>
      </c>
      <c r="Y479" s="6">
        <f t="shared" si="14"/>
        <v>40512</v>
      </c>
      <c r="Z479" s="5">
        <f t="shared" si="15"/>
        <v>4124</v>
      </c>
      <c r="AA479" s="5">
        <v>134.75</v>
      </c>
      <c r="AB479" s="5">
        <v>100.06</v>
      </c>
    </row>
    <row r="480" spans="1:28" x14ac:dyDescent="0.3">
      <c r="A480" s="6">
        <v>38870</v>
      </c>
      <c r="B480" s="7">
        <v>0.66666666666666663</v>
      </c>
      <c r="C480" s="5">
        <v>164.5</v>
      </c>
      <c r="D480" s="5">
        <v>165</v>
      </c>
      <c r="E480" s="5">
        <v>159</v>
      </c>
      <c r="F480" s="5">
        <v>165</v>
      </c>
      <c r="G480" s="5">
        <v>3200</v>
      </c>
      <c r="I480" s="6">
        <v>40513</v>
      </c>
      <c r="J480" s="7">
        <v>0.66666666666666663</v>
      </c>
      <c r="K480" s="5">
        <v>4124</v>
      </c>
      <c r="L480" s="5">
        <v>4158</v>
      </c>
      <c r="M480" s="5">
        <v>4081</v>
      </c>
      <c r="N480" s="5">
        <v>4137.0097999999998</v>
      </c>
      <c r="O480" s="5">
        <v>51</v>
      </c>
      <c r="Q480" s="6">
        <v>38855</v>
      </c>
      <c r="R480" s="7">
        <v>0.66666666666666663</v>
      </c>
      <c r="S480" s="5">
        <v>141.5</v>
      </c>
      <c r="T480" s="5">
        <v>141.9</v>
      </c>
      <c r="U480" s="5">
        <v>136</v>
      </c>
      <c r="V480" s="5">
        <v>137.9</v>
      </c>
      <c r="W480" s="5">
        <v>33400</v>
      </c>
      <c r="Y480" s="6">
        <f t="shared" si="14"/>
        <v>40513</v>
      </c>
      <c r="Z480" s="5">
        <f t="shared" si="15"/>
        <v>4137.0097999999998</v>
      </c>
      <c r="AA480" s="5">
        <v>128.02000000000001</v>
      </c>
      <c r="AB480" s="5">
        <v>100</v>
      </c>
    </row>
    <row r="481" spans="1:28" x14ac:dyDescent="0.3">
      <c r="A481" s="6">
        <v>38873</v>
      </c>
      <c r="B481" s="7">
        <v>0.66666666666666663</v>
      </c>
      <c r="C481" s="5">
        <v>167</v>
      </c>
      <c r="D481" s="5">
        <v>168</v>
      </c>
      <c r="E481" s="5">
        <v>164</v>
      </c>
      <c r="F481" s="5">
        <v>164</v>
      </c>
      <c r="G481" s="5">
        <v>4100</v>
      </c>
      <c r="I481" s="6">
        <v>40514</v>
      </c>
      <c r="J481" s="7">
        <v>0.66666666666666663</v>
      </c>
      <c r="K481" s="5">
        <v>4137.0097999999998</v>
      </c>
      <c r="L481" s="5">
        <v>4164</v>
      </c>
      <c r="M481" s="5">
        <v>4011</v>
      </c>
      <c r="N481" s="5">
        <v>4109.6000999999997</v>
      </c>
      <c r="O481" s="5">
        <v>269</v>
      </c>
      <c r="Q481" s="6">
        <v>38856</v>
      </c>
      <c r="R481" s="7">
        <v>0.66666666666666663</v>
      </c>
      <c r="S481" s="5">
        <v>137.9</v>
      </c>
      <c r="T481" s="5">
        <v>144.75</v>
      </c>
      <c r="U481" s="5">
        <v>131.55000000000001</v>
      </c>
      <c r="V481" s="5">
        <v>144.75</v>
      </c>
      <c r="W481" s="5">
        <v>37300</v>
      </c>
      <c r="Y481" s="6">
        <f t="shared" si="14"/>
        <v>40514</v>
      </c>
      <c r="Z481" s="5">
        <f t="shared" si="15"/>
        <v>4109.6000999999997</v>
      </c>
      <c r="AA481" s="5">
        <v>129.61000000000001</v>
      </c>
      <c r="AB481" s="5">
        <v>100.96</v>
      </c>
    </row>
    <row r="482" spans="1:28" x14ac:dyDescent="0.3">
      <c r="A482" s="6">
        <v>38874</v>
      </c>
      <c r="B482" s="7">
        <v>0.66666666666666663</v>
      </c>
      <c r="C482" s="5">
        <v>160.05000000000001</v>
      </c>
      <c r="D482" s="5">
        <v>168</v>
      </c>
      <c r="E482" s="5">
        <v>160.05000000000001</v>
      </c>
      <c r="F482" s="5">
        <v>168</v>
      </c>
      <c r="G482" s="5">
        <v>6200</v>
      </c>
      <c r="I482" s="6">
        <v>40515</v>
      </c>
      <c r="J482" s="7">
        <v>0.66666666666666663</v>
      </c>
      <c r="K482" s="5">
        <v>4109.6000999999997</v>
      </c>
      <c r="L482" s="5">
        <v>4124.9902000000002</v>
      </c>
      <c r="M482" s="5">
        <v>4005</v>
      </c>
      <c r="N482" s="5">
        <v>4105</v>
      </c>
      <c r="O482" s="5">
        <v>48</v>
      </c>
      <c r="Q482" s="6">
        <v>38859</v>
      </c>
      <c r="R482" s="7">
        <v>0.66666666666666663</v>
      </c>
      <c r="S482" s="5">
        <v>144</v>
      </c>
      <c r="T482" s="5">
        <v>144</v>
      </c>
      <c r="U482" s="5">
        <v>138</v>
      </c>
      <c r="V482" s="5">
        <v>139</v>
      </c>
      <c r="W482" s="5">
        <v>36900</v>
      </c>
      <c r="Y482" s="6">
        <f t="shared" si="14"/>
        <v>40515</v>
      </c>
      <c r="Z482" s="5">
        <f t="shared" si="15"/>
        <v>4105</v>
      </c>
      <c r="AA482" s="5">
        <v>123.5</v>
      </c>
      <c r="AB482" s="5">
        <v>100.04</v>
      </c>
    </row>
    <row r="483" spans="1:28" x14ac:dyDescent="0.3">
      <c r="A483" s="6">
        <v>38875</v>
      </c>
      <c r="B483" s="7">
        <v>0.66666666666666663</v>
      </c>
      <c r="C483" s="5">
        <v>164</v>
      </c>
      <c r="D483" s="5">
        <v>166</v>
      </c>
      <c r="E483" s="5">
        <v>162</v>
      </c>
      <c r="F483" s="5">
        <v>162</v>
      </c>
      <c r="G483" s="5">
        <v>1100</v>
      </c>
      <c r="I483" s="6">
        <v>40518</v>
      </c>
      <c r="J483" s="7">
        <v>0.66666666666666663</v>
      </c>
      <c r="K483" s="5">
        <v>4105</v>
      </c>
      <c r="L483" s="5">
        <v>4128</v>
      </c>
      <c r="M483" s="5">
        <v>4050</v>
      </c>
      <c r="N483" s="5">
        <v>4085.5</v>
      </c>
      <c r="O483" s="5">
        <v>10</v>
      </c>
      <c r="Q483" s="6">
        <v>38860</v>
      </c>
      <c r="R483" s="7">
        <v>0.66666666666666663</v>
      </c>
      <c r="S483" s="5">
        <v>139</v>
      </c>
      <c r="T483" s="5">
        <v>140</v>
      </c>
      <c r="U483" s="5">
        <v>137.5</v>
      </c>
      <c r="V483" s="5">
        <v>138</v>
      </c>
      <c r="W483" s="5">
        <v>13500</v>
      </c>
      <c r="Y483" s="6">
        <f t="shared" si="14"/>
        <v>40518</v>
      </c>
      <c r="Z483" s="5">
        <f t="shared" si="15"/>
        <v>4085.5</v>
      </c>
      <c r="AA483" s="5">
        <v>118.1</v>
      </c>
      <c r="AB483" s="5">
        <v>100.11</v>
      </c>
    </row>
    <row r="484" spans="1:28" x14ac:dyDescent="0.3">
      <c r="A484" s="6">
        <v>38876</v>
      </c>
      <c r="B484" s="7">
        <v>0.66666666666666663</v>
      </c>
      <c r="C484" s="5">
        <v>162</v>
      </c>
      <c r="D484" s="5">
        <v>163.4</v>
      </c>
      <c r="E484" s="5">
        <v>161</v>
      </c>
      <c r="F484" s="5">
        <v>163.4</v>
      </c>
      <c r="G484" s="5">
        <v>3300</v>
      </c>
      <c r="I484" s="6">
        <v>40519</v>
      </c>
      <c r="J484" s="7">
        <v>0.66666666666666663</v>
      </c>
      <c r="K484" s="5">
        <v>4085.5</v>
      </c>
      <c r="L484" s="5">
        <v>4124</v>
      </c>
      <c r="M484" s="5">
        <v>4011.01</v>
      </c>
      <c r="N484" s="5">
        <v>4099.6801999999998</v>
      </c>
      <c r="O484" s="5">
        <v>12</v>
      </c>
      <c r="Q484" s="6">
        <v>38861</v>
      </c>
      <c r="R484" s="7">
        <v>0.66666666666666663</v>
      </c>
      <c r="S484" s="5">
        <v>138.05000000000001</v>
      </c>
      <c r="T484" s="5">
        <v>140.75</v>
      </c>
      <c r="U484" s="5">
        <v>138.05000000000001</v>
      </c>
      <c r="V484" s="5">
        <v>139.44999999999999</v>
      </c>
      <c r="W484" s="5">
        <v>34200</v>
      </c>
      <c r="Y484" s="6">
        <f t="shared" si="14"/>
        <v>40519</v>
      </c>
      <c r="Z484" s="5">
        <f t="shared" si="15"/>
        <v>4099.6801999999998</v>
      </c>
      <c r="AA484" s="5">
        <v>117.96</v>
      </c>
      <c r="AB484" s="5">
        <v>99.29</v>
      </c>
    </row>
    <row r="485" spans="1:28" x14ac:dyDescent="0.3">
      <c r="A485" s="6">
        <v>38877</v>
      </c>
      <c r="B485" s="7">
        <v>0.66666666666666663</v>
      </c>
      <c r="C485" s="5">
        <v>163.4</v>
      </c>
      <c r="D485" s="5">
        <v>163.4</v>
      </c>
      <c r="E485" s="5">
        <v>160</v>
      </c>
      <c r="F485" s="5">
        <v>161.9</v>
      </c>
      <c r="G485" s="5">
        <v>1700</v>
      </c>
      <c r="I485" s="6">
        <v>40520</v>
      </c>
      <c r="J485" s="7">
        <v>0.66666666666666663</v>
      </c>
      <c r="K485" s="5">
        <v>4099.6801999999998</v>
      </c>
      <c r="L485" s="5">
        <v>4127.9902000000002</v>
      </c>
      <c r="M485" s="5">
        <v>4050</v>
      </c>
      <c r="N485" s="5">
        <v>4070.8701000000001</v>
      </c>
      <c r="O485" s="5">
        <v>45</v>
      </c>
      <c r="Q485" s="6">
        <v>38862</v>
      </c>
      <c r="R485" s="7">
        <v>0.66666666666666663</v>
      </c>
      <c r="S485" s="5">
        <v>139.44999999999999</v>
      </c>
      <c r="T485" s="5">
        <v>140.4</v>
      </c>
      <c r="U485" s="5">
        <v>138.05000000000001</v>
      </c>
      <c r="V485" s="5">
        <v>139</v>
      </c>
      <c r="W485" s="5">
        <v>14700</v>
      </c>
      <c r="Y485" s="6">
        <f t="shared" si="14"/>
        <v>40520</v>
      </c>
      <c r="Z485" s="5">
        <f t="shared" si="15"/>
        <v>4070.8701000000001</v>
      </c>
      <c r="AA485" s="5">
        <v>117.59</v>
      </c>
      <c r="AB485" s="5">
        <v>99.87</v>
      </c>
    </row>
    <row r="486" spans="1:28" x14ac:dyDescent="0.3">
      <c r="A486" s="6">
        <v>38880</v>
      </c>
      <c r="B486" s="7">
        <v>0.66666666666666663</v>
      </c>
      <c r="C486" s="5">
        <v>160</v>
      </c>
      <c r="D486" s="5">
        <v>161</v>
      </c>
      <c r="E486" s="5">
        <v>159</v>
      </c>
      <c r="F486" s="5">
        <v>159</v>
      </c>
      <c r="G486" s="5">
        <v>900</v>
      </c>
      <c r="I486" s="6">
        <v>40521</v>
      </c>
      <c r="J486" s="7">
        <v>0.66666666666666663</v>
      </c>
      <c r="K486" s="5">
        <v>4070.8701000000001</v>
      </c>
      <c r="L486" s="5">
        <v>4099.9502000000002</v>
      </c>
      <c r="M486" s="5">
        <v>4010.01</v>
      </c>
      <c r="N486" s="5">
        <v>4049.6001000000001</v>
      </c>
      <c r="O486" s="5">
        <v>109</v>
      </c>
      <c r="Q486" s="6">
        <v>38863</v>
      </c>
      <c r="R486" s="7">
        <v>0.66666666666666663</v>
      </c>
      <c r="S486" s="5">
        <v>138.94999999999999</v>
      </c>
      <c r="T486" s="5">
        <v>138.94999999999999</v>
      </c>
      <c r="U486" s="5">
        <v>133.65</v>
      </c>
      <c r="V486" s="5">
        <v>137.5</v>
      </c>
      <c r="W486" s="5">
        <v>14900</v>
      </c>
      <c r="Y486" s="6">
        <f t="shared" si="14"/>
        <v>40521</v>
      </c>
      <c r="Z486" s="5">
        <f t="shared" si="15"/>
        <v>4049.6001000000001</v>
      </c>
      <c r="AA486" s="5">
        <v>117.28</v>
      </c>
      <c r="AB486" s="5">
        <v>100</v>
      </c>
    </row>
    <row r="487" spans="1:28" x14ac:dyDescent="0.3">
      <c r="A487" s="6">
        <v>38881</v>
      </c>
      <c r="B487" s="7">
        <v>0.66666666666666663</v>
      </c>
      <c r="C487" s="5">
        <v>154</v>
      </c>
      <c r="D487" s="5">
        <v>156</v>
      </c>
      <c r="E487" s="5">
        <v>154</v>
      </c>
      <c r="F487" s="5">
        <v>155</v>
      </c>
      <c r="G487" s="5">
        <v>1000</v>
      </c>
      <c r="I487" s="6">
        <v>40522</v>
      </c>
      <c r="J487" s="7">
        <v>0.66666666666666663</v>
      </c>
      <c r="K487" s="5">
        <v>4049.6001000000001</v>
      </c>
      <c r="L487" s="5">
        <v>4089.99</v>
      </c>
      <c r="M487" s="5">
        <v>4002.99</v>
      </c>
      <c r="N487" s="5">
        <v>4045.1100999999999</v>
      </c>
      <c r="O487" s="5">
        <v>38</v>
      </c>
      <c r="Q487" s="6">
        <v>38866</v>
      </c>
      <c r="R487" s="7">
        <v>0.66666666666666663</v>
      </c>
      <c r="S487" s="5">
        <v>135.1</v>
      </c>
      <c r="T487" s="5">
        <v>135.1</v>
      </c>
      <c r="U487" s="5">
        <v>130.65</v>
      </c>
      <c r="V487" s="5">
        <v>130.65</v>
      </c>
      <c r="W487" s="5">
        <v>26800</v>
      </c>
      <c r="Y487" s="6">
        <f t="shared" si="14"/>
        <v>40522</v>
      </c>
      <c r="Z487" s="5">
        <f t="shared" si="15"/>
        <v>4045.1100999999999</v>
      </c>
      <c r="AA487" s="5">
        <v>119.61</v>
      </c>
      <c r="AB487" s="5">
        <v>100</v>
      </c>
    </row>
    <row r="488" spans="1:28" x14ac:dyDescent="0.3">
      <c r="A488" s="6">
        <v>38882</v>
      </c>
      <c r="B488" s="7">
        <v>0.66666666666666663</v>
      </c>
      <c r="C488" s="5">
        <v>154</v>
      </c>
      <c r="D488" s="5">
        <v>154.55000000000001</v>
      </c>
      <c r="E488" s="5">
        <v>154</v>
      </c>
      <c r="F488" s="5">
        <v>154</v>
      </c>
      <c r="G488" s="5">
        <v>8700</v>
      </c>
      <c r="I488" s="6">
        <v>40525</v>
      </c>
      <c r="J488" s="7">
        <v>0.66666666666666663</v>
      </c>
      <c r="K488" s="5">
        <v>4045.1100999999999</v>
      </c>
      <c r="L488" s="5">
        <v>4117.9902000000002</v>
      </c>
      <c r="M488" s="5">
        <v>3916.04</v>
      </c>
      <c r="N488" s="5">
        <v>4069.99</v>
      </c>
      <c r="O488" s="5">
        <v>25</v>
      </c>
      <c r="Q488" s="6">
        <v>38867</v>
      </c>
      <c r="R488" s="7">
        <v>0.66666666666666663</v>
      </c>
      <c r="S488" s="5">
        <v>130.65</v>
      </c>
      <c r="T488" s="5">
        <v>130.65</v>
      </c>
      <c r="U488" s="5">
        <v>124.15</v>
      </c>
      <c r="V488" s="5">
        <v>124.5</v>
      </c>
      <c r="W488" s="5">
        <v>34000</v>
      </c>
      <c r="Y488" s="6">
        <f t="shared" si="14"/>
        <v>40525</v>
      </c>
      <c r="Z488" s="5">
        <f t="shared" si="15"/>
        <v>4069.99</v>
      </c>
      <c r="AA488" s="5">
        <v>121.61</v>
      </c>
      <c r="AB488" s="5">
        <v>99.9</v>
      </c>
    </row>
    <row r="489" spans="1:28" x14ac:dyDescent="0.3">
      <c r="A489" s="6">
        <v>38883</v>
      </c>
      <c r="B489" s="7">
        <v>0.66666666666666663</v>
      </c>
      <c r="C489" s="5">
        <v>155</v>
      </c>
      <c r="D489" s="5">
        <v>161.69999999999999</v>
      </c>
      <c r="E489" s="5">
        <v>155</v>
      </c>
      <c r="F489" s="5">
        <v>161.69999999999999</v>
      </c>
      <c r="G489" s="5">
        <v>5100</v>
      </c>
      <c r="I489" s="6">
        <v>40526</v>
      </c>
      <c r="J489" s="7">
        <v>0.66666666666666663</v>
      </c>
      <c r="K489" s="5">
        <v>4069.99</v>
      </c>
      <c r="L489" s="5">
        <v>4273.4799999999996</v>
      </c>
      <c r="M489" s="5">
        <v>3990</v>
      </c>
      <c r="N489" s="5">
        <v>4262.54</v>
      </c>
      <c r="O489" s="5">
        <v>11619</v>
      </c>
      <c r="Q489" s="6">
        <v>38868</v>
      </c>
      <c r="R489" s="7">
        <v>0.66666666666666663</v>
      </c>
      <c r="S489" s="5">
        <v>124.5</v>
      </c>
      <c r="T489" s="5">
        <v>128.69999999999999</v>
      </c>
      <c r="U489" s="5">
        <v>120</v>
      </c>
      <c r="V489" s="5">
        <v>122.1</v>
      </c>
      <c r="W489" s="5">
        <v>36900</v>
      </c>
      <c r="Y489" s="6">
        <f t="shared" si="14"/>
        <v>40526</v>
      </c>
      <c r="Z489" s="5">
        <f t="shared" si="15"/>
        <v>4262.54</v>
      </c>
      <c r="AA489" s="5">
        <v>120.16</v>
      </c>
      <c r="AB489" s="5">
        <v>101.86</v>
      </c>
    </row>
    <row r="490" spans="1:28" x14ac:dyDescent="0.3">
      <c r="A490" s="6">
        <v>38884</v>
      </c>
      <c r="B490" s="7">
        <v>0.66666666666666663</v>
      </c>
      <c r="C490" s="5">
        <v>163.9</v>
      </c>
      <c r="D490" s="5">
        <v>167</v>
      </c>
      <c r="E490" s="5">
        <v>163.9</v>
      </c>
      <c r="F490" s="5">
        <v>165.5</v>
      </c>
      <c r="G490" s="5">
        <v>7300</v>
      </c>
      <c r="I490" s="6">
        <v>40527</v>
      </c>
      <c r="J490" s="7">
        <v>0.66666666666666663</v>
      </c>
      <c r="K490" s="5">
        <v>4262.54</v>
      </c>
      <c r="L490" s="5">
        <v>4475.6602000000003</v>
      </c>
      <c r="M490" s="5">
        <v>4151</v>
      </c>
      <c r="N490" s="5">
        <v>4455.1000999999997</v>
      </c>
      <c r="O490" s="5">
        <v>4064</v>
      </c>
      <c r="Q490" s="6">
        <v>38869</v>
      </c>
      <c r="R490" s="7">
        <v>0.66666666666666663</v>
      </c>
      <c r="S490" s="5">
        <v>122.1</v>
      </c>
      <c r="T490" s="5">
        <v>128.19999999999999</v>
      </c>
      <c r="U490" s="5">
        <v>122.1</v>
      </c>
      <c r="V490" s="5">
        <v>127.5</v>
      </c>
      <c r="W490" s="5">
        <v>35900</v>
      </c>
      <c r="Y490" s="6">
        <f t="shared" si="14"/>
        <v>40527</v>
      </c>
      <c r="Z490" s="5">
        <f t="shared" si="15"/>
        <v>4455.1000999999997</v>
      </c>
      <c r="AA490" s="5">
        <v>120</v>
      </c>
      <c r="AB490" s="5">
        <v>102.26</v>
      </c>
    </row>
    <row r="491" spans="1:28" x14ac:dyDescent="0.3">
      <c r="A491" s="6">
        <v>38887</v>
      </c>
      <c r="B491" s="7">
        <v>0.66666666666666663</v>
      </c>
      <c r="C491" s="5">
        <v>159</v>
      </c>
      <c r="D491" s="5">
        <v>165</v>
      </c>
      <c r="E491" s="5">
        <v>159</v>
      </c>
      <c r="F491" s="5">
        <v>164.6</v>
      </c>
      <c r="G491" s="5">
        <v>2300</v>
      </c>
      <c r="I491" s="6">
        <v>40532</v>
      </c>
      <c r="J491" s="7">
        <v>0.66666666666666663</v>
      </c>
      <c r="K491" s="5">
        <v>4455.1000999999997</v>
      </c>
      <c r="L491" s="5">
        <v>4600</v>
      </c>
      <c r="M491" s="5">
        <v>4411.5</v>
      </c>
      <c r="N491" s="5">
        <v>4548.5097999999998</v>
      </c>
      <c r="O491" s="5">
        <v>6543</v>
      </c>
      <c r="Q491" s="6">
        <v>38870</v>
      </c>
      <c r="R491" s="7">
        <v>0.66666666666666663</v>
      </c>
      <c r="S491" s="5">
        <v>127.5</v>
      </c>
      <c r="T491" s="5">
        <v>129.9</v>
      </c>
      <c r="U491" s="5">
        <v>125</v>
      </c>
      <c r="V491" s="5">
        <v>127</v>
      </c>
      <c r="W491" s="5">
        <v>29100</v>
      </c>
      <c r="Y491" s="6">
        <f t="shared" si="14"/>
        <v>40532</v>
      </c>
      <c r="Z491" s="5">
        <f t="shared" si="15"/>
        <v>4548.5097999999998</v>
      </c>
      <c r="AA491" s="5">
        <v>121.41</v>
      </c>
      <c r="AB491" s="5">
        <v>102.5</v>
      </c>
    </row>
    <row r="492" spans="1:28" x14ac:dyDescent="0.3">
      <c r="A492" s="6">
        <v>38888</v>
      </c>
      <c r="B492" s="7">
        <v>0.66666666666666663</v>
      </c>
      <c r="C492" s="5">
        <v>166.7</v>
      </c>
      <c r="D492" s="5">
        <v>166.7</v>
      </c>
      <c r="E492" s="5">
        <v>162</v>
      </c>
      <c r="F492" s="5">
        <v>162</v>
      </c>
      <c r="G492" s="5">
        <v>6300</v>
      </c>
      <c r="I492" s="6">
        <v>40533</v>
      </c>
      <c r="J492" s="7">
        <v>0.66666666666666663</v>
      </c>
      <c r="K492" s="5">
        <v>4548.5097999999998</v>
      </c>
      <c r="L492" s="5">
        <v>4610</v>
      </c>
      <c r="M492" s="5">
        <v>4350.0097999999998</v>
      </c>
      <c r="N492" s="5">
        <v>4469</v>
      </c>
      <c r="O492" s="5">
        <v>29</v>
      </c>
      <c r="Q492" s="6">
        <v>38873</v>
      </c>
      <c r="R492" s="7">
        <v>0.66666666666666663</v>
      </c>
      <c r="S492" s="5">
        <v>127</v>
      </c>
      <c r="T492" s="5">
        <v>127.85</v>
      </c>
      <c r="U492" s="5">
        <v>125.2</v>
      </c>
      <c r="V492" s="5">
        <v>126.9</v>
      </c>
      <c r="W492" s="5">
        <v>15700</v>
      </c>
      <c r="Y492" s="6">
        <f t="shared" si="14"/>
        <v>40533</v>
      </c>
      <c r="Z492" s="5">
        <f t="shared" si="15"/>
        <v>4469</v>
      </c>
      <c r="AA492" s="5">
        <v>121.71</v>
      </c>
      <c r="AB492" s="5">
        <v>107.07</v>
      </c>
    </row>
    <row r="493" spans="1:28" x14ac:dyDescent="0.3">
      <c r="A493" s="6">
        <v>38889</v>
      </c>
      <c r="B493" s="7">
        <v>0.66666666666666663</v>
      </c>
      <c r="C493" s="5">
        <v>156.5</v>
      </c>
      <c r="D493" s="5">
        <v>160.5</v>
      </c>
      <c r="E493" s="5">
        <v>156.5</v>
      </c>
      <c r="F493" s="5">
        <v>159</v>
      </c>
      <c r="G493" s="5">
        <v>1500</v>
      </c>
      <c r="I493" s="6">
        <v>40534</v>
      </c>
      <c r="J493" s="7">
        <v>0.66666666666666663</v>
      </c>
      <c r="K493" s="5">
        <v>4469</v>
      </c>
      <c r="L493" s="5">
        <v>4499.5</v>
      </c>
      <c r="M493" s="5">
        <v>4402.5</v>
      </c>
      <c r="N493" s="5">
        <v>4433.0600999999997</v>
      </c>
      <c r="O493" s="5">
        <v>87</v>
      </c>
      <c r="Q493" s="6">
        <v>38874</v>
      </c>
      <c r="R493" s="7">
        <v>0.66666666666666663</v>
      </c>
      <c r="S493" s="5">
        <v>126.9</v>
      </c>
      <c r="T493" s="5">
        <v>131.65</v>
      </c>
      <c r="U493" s="5">
        <v>122.55</v>
      </c>
      <c r="V493" s="5">
        <v>130</v>
      </c>
      <c r="W493" s="5">
        <v>35800</v>
      </c>
      <c r="Y493" s="6">
        <f t="shared" si="14"/>
        <v>40534</v>
      </c>
      <c r="Z493" s="5">
        <f t="shared" si="15"/>
        <v>4433.0600999999997</v>
      </c>
      <c r="AA493" s="5">
        <v>121.1</v>
      </c>
      <c r="AB493" s="5">
        <v>110.13</v>
      </c>
    </row>
    <row r="494" spans="1:28" x14ac:dyDescent="0.3">
      <c r="A494" s="6">
        <v>38890</v>
      </c>
      <c r="B494" s="7">
        <v>0.66666666666666663</v>
      </c>
      <c r="C494" s="5">
        <v>158.1</v>
      </c>
      <c r="D494" s="5">
        <v>162.5</v>
      </c>
      <c r="E494" s="5">
        <v>157</v>
      </c>
      <c r="F494" s="5">
        <v>157</v>
      </c>
      <c r="G494" s="5">
        <v>8900</v>
      </c>
      <c r="I494" s="6">
        <v>40535</v>
      </c>
      <c r="J494" s="7">
        <v>0.66666666666666663</v>
      </c>
      <c r="K494" s="5">
        <v>4433.0600999999997</v>
      </c>
      <c r="L494" s="5">
        <v>4500</v>
      </c>
      <c r="M494" s="5">
        <v>4410.5</v>
      </c>
      <c r="N494" s="5">
        <v>4453.2201999999997</v>
      </c>
      <c r="O494" s="5">
        <v>39</v>
      </c>
      <c r="Q494" s="6">
        <v>38875</v>
      </c>
      <c r="R494" s="7">
        <v>0.66666666666666663</v>
      </c>
      <c r="S494" s="5">
        <v>130</v>
      </c>
      <c r="T494" s="5">
        <v>132</v>
      </c>
      <c r="U494" s="5">
        <v>125.1</v>
      </c>
      <c r="V494" s="5">
        <v>125.1</v>
      </c>
      <c r="W494" s="5">
        <v>35600</v>
      </c>
      <c r="Y494" s="6">
        <f t="shared" si="14"/>
        <v>40535</v>
      </c>
      <c r="Z494" s="5">
        <f t="shared" si="15"/>
        <v>4453.2201999999997</v>
      </c>
      <c r="AA494" s="5">
        <v>120.28</v>
      </c>
      <c r="AB494" s="5">
        <v>107.73</v>
      </c>
    </row>
    <row r="495" spans="1:28" x14ac:dyDescent="0.3">
      <c r="A495" s="6">
        <v>38891</v>
      </c>
      <c r="B495" s="7">
        <v>0.66666666666666663</v>
      </c>
      <c r="C495" s="5">
        <v>160.5</v>
      </c>
      <c r="D495" s="5">
        <v>160.5</v>
      </c>
      <c r="E495" s="5">
        <v>154</v>
      </c>
      <c r="F495" s="5">
        <v>155</v>
      </c>
      <c r="G495" s="5">
        <v>1300</v>
      </c>
      <c r="I495" s="6">
        <v>40536</v>
      </c>
      <c r="J495" s="7">
        <v>0.66666666666666663</v>
      </c>
      <c r="K495" s="5">
        <v>4453.2201999999997</v>
      </c>
      <c r="L495" s="5">
        <v>4499</v>
      </c>
      <c r="M495" s="5">
        <v>4235</v>
      </c>
      <c r="N495" s="5">
        <v>4362.2402000000002</v>
      </c>
      <c r="O495" s="5">
        <v>34</v>
      </c>
      <c r="Q495" s="6">
        <v>38876</v>
      </c>
      <c r="R495" s="7">
        <v>0.66666666666666663</v>
      </c>
      <c r="S495" s="5">
        <v>123</v>
      </c>
      <c r="T495" s="5">
        <v>123</v>
      </c>
      <c r="U495" s="5">
        <v>118.85</v>
      </c>
      <c r="V495" s="5">
        <v>118.85</v>
      </c>
      <c r="W495" s="5">
        <v>47200</v>
      </c>
      <c r="Y495" s="6">
        <f t="shared" si="14"/>
        <v>40536</v>
      </c>
      <c r="Z495" s="5">
        <f t="shared" si="15"/>
        <v>4362.2402000000002</v>
      </c>
      <c r="AA495" s="5">
        <v>119.56</v>
      </c>
      <c r="AB495" s="5">
        <v>107.9</v>
      </c>
    </row>
    <row r="496" spans="1:28" x14ac:dyDescent="0.3">
      <c r="A496" s="6">
        <v>38894</v>
      </c>
      <c r="B496" s="7">
        <v>0.66666666666666663</v>
      </c>
      <c r="C496" s="5">
        <v>156.1</v>
      </c>
      <c r="D496" s="5">
        <v>157.5</v>
      </c>
      <c r="E496" s="5">
        <v>152</v>
      </c>
      <c r="F496" s="5">
        <v>152</v>
      </c>
      <c r="G496" s="5">
        <v>7000</v>
      </c>
      <c r="I496" s="6">
        <v>40539</v>
      </c>
      <c r="J496" s="7">
        <v>0.66666666666666663</v>
      </c>
      <c r="K496" s="5">
        <v>4362.2402000000002</v>
      </c>
      <c r="L496" s="5">
        <v>4493</v>
      </c>
      <c r="M496" s="5">
        <v>4220.0097999999998</v>
      </c>
      <c r="N496" s="5">
        <v>4390.0097999999998</v>
      </c>
      <c r="O496" s="5">
        <v>5019</v>
      </c>
      <c r="Q496" s="6">
        <v>38877</v>
      </c>
      <c r="R496" s="7">
        <v>0.66666666666666663</v>
      </c>
      <c r="S496" s="5">
        <v>118.85</v>
      </c>
      <c r="T496" s="5">
        <v>122</v>
      </c>
      <c r="U496" s="5">
        <v>113</v>
      </c>
      <c r="V496" s="5">
        <v>114</v>
      </c>
      <c r="W496" s="5">
        <v>69900</v>
      </c>
      <c r="Y496" s="6">
        <f t="shared" si="14"/>
        <v>40539</v>
      </c>
      <c r="Z496" s="5">
        <f t="shared" si="15"/>
        <v>4390.0097999999998</v>
      </c>
      <c r="AA496" s="5">
        <v>121.73</v>
      </c>
      <c r="AB496" s="5">
        <v>110</v>
      </c>
    </row>
    <row r="497" spans="1:28" x14ac:dyDescent="0.3">
      <c r="A497" s="6">
        <v>38895</v>
      </c>
      <c r="B497" s="7">
        <v>0.66666666666666663</v>
      </c>
      <c r="C497" s="5">
        <v>152</v>
      </c>
      <c r="D497" s="5">
        <v>152</v>
      </c>
      <c r="E497" s="5">
        <v>150</v>
      </c>
      <c r="F497" s="5">
        <v>150</v>
      </c>
      <c r="G497" s="5">
        <v>1200</v>
      </c>
      <c r="I497" s="6">
        <v>40540</v>
      </c>
      <c r="J497" s="7">
        <v>0.66666666666666663</v>
      </c>
      <c r="K497" s="5">
        <v>4390.0097999999998</v>
      </c>
      <c r="L497" s="5">
        <v>4499.8198000000002</v>
      </c>
      <c r="M497" s="5">
        <v>4300.0097999999998</v>
      </c>
      <c r="N497" s="5">
        <v>4393.4301999999998</v>
      </c>
      <c r="O497" s="5">
        <v>5763</v>
      </c>
      <c r="Q497" s="6">
        <v>38880</v>
      </c>
      <c r="R497" s="7">
        <v>0.66666666666666663</v>
      </c>
      <c r="S497" s="5">
        <v>114</v>
      </c>
      <c r="T497" s="5">
        <v>118.1</v>
      </c>
      <c r="U497" s="5">
        <v>114</v>
      </c>
      <c r="V497" s="5">
        <v>115.85</v>
      </c>
      <c r="W497" s="5">
        <v>20500</v>
      </c>
      <c r="Y497" s="6">
        <f t="shared" si="14"/>
        <v>40540</v>
      </c>
      <c r="Z497" s="5">
        <f t="shared" si="15"/>
        <v>4393.4301999999998</v>
      </c>
      <c r="AA497" s="5">
        <v>122.35</v>
      </c>
      <c r="AB497" s="5">
        <v>109.35</v>
      </c>
    </row>
    <row r="498" spans="1:28" x14ac:dyDescent="0.3">
      <c r="A498" s="6">
        <v>38896</v>
      </c>
      <c r="B498" s="7">
        <v>0.66666666666666663</v>
      </c>
      <c r="C498" s="5">
        <v>153</v>
      </c>
      <c r="D498" s="5">
        <v>157</v>
      </c>
      <c r="E498" s="5">
        <v>153</v>
      </c>
      <c r="F498" s="5">
        <v>157</v>
      </c>
      <c r="G498" s="5">
        <v>1100</v>
      </c>
      <c r="I498" s="6">
        <v>40541</v>
      </c>
      <c r="J498" s="7">
        <v>0.66666666666666663</v>
      </c>
      <c r="K498" s="5">
        <v>4393.4301999999998</v>
      </c>
      <c r="L498" s="5">
        <v>4445.9799999999996</v>
      </c>
      <c r="M498" s="5">
        <v>4270.0097999999998</v>
      </c>
      <c r="N498" s="5">
        <v>4355.96</v>
      </c>
      <c r="O498" s="5">
        <v>126</v>
      </c>
      <c r="Q498" s="6">
        <v>38881</v>
      </c>
      <c r="R498" s="7">
        <v>0.66666666666666663</v>
      </c>
      <c r="S498" s="5">
        <v>115.85</v>
      </c>
      <c r="T498" s="5">
        <v>117</v>
      </c>
      <c r="U498" s="5">
        <v>110.1</v>
      </c>
      <c r="V498" s="5">
        <v>110.1</v>
      </c>
      <c r="W498" s="5">
        <v>37300</v>
      </c>
      <c r="Y498" s="6">
        <f t="shared" si="14"/>
        <v>40541</v>
      </c>
      <c r="Z498" s="5">
        <f t="shared" si="15"/>
        <v>4355.96</v>
      </c>
      <c r="AA498" s="5">
        <v>122</v>
      </c>
      <c r="AB498" s="5">
        <v>108.98</v>
      </c>
    </row>
    <row r="499" spans="1:28" x14ac:dyDescent="0.3">
      <c r="A499" s="6">
        <v>38897</v>
      </c>
      <c r="B499" s="7">
        <v>0.66666666666666663</v>
      </c>
      <c r="C499" s="5">
        <v>159</v>
      </c>
      <c r="D499" s="5">
        <v>162</v>
      </c>
      <c r="E499" s="5">
        <v>159</v>
      </c>
      <c r="F499" s="5">
        <v>162</v>
      </c>
      <c r="G499" s="5">
        <v>2200</v>
      </c>
      <c r="I499" s="6">
        <v>40542</v>
      </c>
      <c r="J499" s="7">
        <v>0.66666666666666663</v>
      </c>
      <c r="K499" s="5">
        <v>4355.96</v>
      </c>
      <c r="L499" s="5">
        <v>4409.4902000000002</v>
      </c>
      <c r="M499" s="5">
        <v>4226.5097999999998</v>
      </c>
      <c r="N499" s="5">
        <v>4343.5</v>
      </c>
      <c r="O499" s="5">
        <v>20</v>
      </c>
      <c r="Q499" s="6">
        <v>38882</v>
      </c>
      <c r="R499" s="7">
        <v>0.66666666666666663</v>
      </c>
      <c r="S499" s="5">
        <v>110.1</v>
      </c>
      <c r="T499" s="5">
        <v>114</v>
      </c>
      <c r="U499" s="5">
        <v>104.6</v>
      </c>
      <c r="V499" s="5">
        <v>104.6</v>
      </c>
      <c r="W499" s="5">
        <v>36900</v>
      </c>
      <c r="Y499" s="6">
        <f t="shared" si="14"/>
        <v>40542</v>
      </c>
      <c r="Z499" s="5">
        <f t="shared" si="15"/>
        <v>4343.5</v>
      </c>
      <c r="AA499" s="5">
        <v>125.66</v>
      </c>
      <c r="AB499" s="5">
        <v>109.84</v>
      </c>
    </row>
    <row r="500" spans="1:28" x14ac:dyDescent="0.3">
      <c r="A500" s="6">
        <v>38898</v>
      </c>
      <c r="B500" s="7">
        <v>0.66666666666666663</v>
      </c>
      <c r="C500" s="5">
        <v>154</v>
      </c>
      <c r="D500" s="5">
        <v>162</v>
      </c>
      <c r="E500" s="5">
        <v>154</v>
      </c>
      <c r="F500" s="5">
        <v>162</v>
      </c>
      <c r="G500" s="5">
        <v>1500</v>
      </c>
      <c r="I500" s="6">
        <v>40543</v>
      </c>
      <c r="J500" s="7">
        <v>0.66666666666666663</v>
      </c>
      <c r="K500" s="5">
        <v>4343.5</v>
      </c>
      <c r="L500" s="5">
        <v>4449.9902000000002</v>
      </c>
      <c r="M500" s="5">
        <v>4320</v>
      </c>
      <c r="N500" s="5">
        <v>4360.1698999999999</v>
      </c>
      <c r="O500" s="5">
        <v>30</v>
      </c>
      <c r="Q500" s="6">
        <v>38883</v>
      </c>
      <c r="R500" s="7">
        <v>0.66666666666666663</v>
      </c>
      <c r="S500" s="5">
        <v>104.6</v>
      </c>
      <c r="T500" s="5">
        <v>109.2</v>
      </c>
      <c r="U500" s="5">
        <v>99.5</v>
      </c>
      <c r="V500" s="5">
        <v>109.2</v>
      </c>
      <c r="W500" s="5">
        <v>208000</v>
      </c>
      <c r="Y500" s="6">
        <f t="shared" si="14"/>
        <v>40543</v>
      </c>
      <c r="Z500" s="5">
        <f t="shared" si="15"/>
        <v>4360.1698999999999</v>
      </c>
      <c r="AA500" s="5">
        <v>124.68</v>
      </c>
      <c r="AB500" s="5">
        <v>109.74</v>
      </c>
    </row>
    <row r="501" spans="1:28" x14ac:dyDescent="0.3">
      <c r="A501" s="6">
        <v>38901</v>
      </c>
      <c r="B501" s="7">
        <v>0.66666666666666663</v>
      </c>
      <c r="C501" s="5">
        <v>154.6</v>
      </c>
      <c r="D501" s="5">
        <v>154.6</v>
      </c>
      <c r="E501" s="5">
        <v>154.1</v>
      </c>
      <c r="F501" s="5">
        <v>154.1</v>
      </c>
      <c r="G501" s="5">
        <v>600</v>
      </c>
      <c r="I501" s="6">
        <v>40546</v>
      </c>
      <c r="J501" s="7">
        <v>0.66666666666666663</v>
      </c>
      <c r="K501" s="5">
        <v>4360.1698999999999</v>
      </c>
      <c r="L501" s="5">
        <v>4449.8900999999996</v>
      </c>
      <c r="M501" s="5">
        <v>4251.1201000000001</v>
      </c>
      <c r="N501" s="5">
        <v>4315.21</v>
      </c>
      <c r="O501" s="5">
        <v>629</v>
      </c>
      <c r="Q501" s="6">
        <v>38884</v>
      </c>
      <c r="R501" s="7">
        <v>0.66666666666666663</v>
      </c>
      <c r="S501" s="5">
        <v>109.2</v>
      </c>
      <c r="T501" s="5">
        <v>113.5</v>
      </c>
      <c r="U501" s="5">
        <v>106.5</v>
      </c>
      <c r="V501" s="5">
        <v>107.9</v>
      </c>
      <c r="W501" s="5">
        <v>2287600</v>
      </c>
      <c r="Y501" s="6">
        <f t="shared" si="14"/>
        <v>40546</v>
      </c>
      <c r="Z501" s="5">
        <f t="shared" si="15"/>
        <v>4315.21</v>
      </c>
      <c r="AA501" s="5">
        <v>119.82</v>
      </c>
      <c r="AB501" s="5">
        <v>107.04</v>
      </c>
    </row>
    <row r="502" spans="1:28" x14ac:dyDescent="0.3">
      <c r="A502" s="6">
        <v>38902</v>
      </c>
      <c r="B502" s="7">
        <v>0.66666666666666663</v>
      </c>
      <c r="C502" s="5">
        <v>155</v>
      </c>
      <c r="D502" s="5">
        <v>160</v>
      </c>
      <c r="E502" s="5">
        <v>155</v>
      </c>
      <c r="F502" s="5">
        <v>155</v>
      </c>
      <c r="G502" s="5">
        <v>10200</v>
      </c>
      <c r="I502" s="6">
        <v>40547</v>
      </c>
      <c r="J502" s="7">
        <v>0.66666666666666663</v>
      </c>
      <c r="K502" s="5">
        <v>4315.21</v>
      </c>
      <c r="L502" s="5">
        <v>4378</v>
      </c>
      <c r="M502" s="5">
        <v>4252.5600999999997</v>
      </c>
      <c r="N502" s="5">
        <v>4378</v>
      </c>
      <c r="O502" s="5">
        <v>520</v>
      </c>
      <c r="Q502" s="6">
        <v>38887</v>
      </c>
      <c r="R502" s="7">
        <v>0.66666666666666663</v>
      </c>
      <c r="S502" s="5">
        <v>107.9</v>
      </c>
      <c r="T502" s="5">
        <v>109.15</v>
      </c>
      <c r="U502" s="5">
        <v>102.55</v>
      </c>
      <c r="V502" s="5">
        <v>102.55</v>
      </c>
      <c r="W502" s="5">
        <v>1150500</v>
      </c>
      <c r="Y502" s="6">
        <f t="shared" si="14"/>
        <v>40547</v>
      </c>
      <c r="Z502" s="5">
        <f t="shared" si="15"/>
        <v>4378</v>
      </c>
      <c r="AA502" s="5">
        <v>125.44</v>
      </c>
      <c r="AB502" s="5">
        <v>109</v>
      </c>
    </row>
    <row r="503" spans="1:28" x14ac:dyDescent="0.3">
      <c r="A503" s="6">
        <v>38904</v>
      </c>
      <c r="B503" s="7">
        <v>0.66666666666666663</v>
      </c>
      <c r="C503" s="5">
        <v>159.5</v>
      </c>
      <c r="D503" s="5">
        <v>159.5</v>
      </c>
      <c r="E503" s="5">
        <v>158</v>
      </c>
      <c r="F503" s="5">
        <v>158.5</v>
      </c>
      <c r="G503" s="5">
        <v>1100</v>
      </c>
      <c r="I503" s="6">
        <v>40548</v>
      </c>
      <c r="J503" s="7">
        <v>0.66666666666666663</v>
      </c>
      <c r="K503" s="5">
        <v>4378</v>
      </c>
      <c r="L503" s="5">
        <v>4399.9902000000002</v>
      </c>
      <c r="M503" s="5">
        <v>4165.6602000000003</v>
      </c>
      <c r="N503" s="5">
        <v>4342.5</v>
      </c>
      <c r="O503" s="5">
        <v>50</v>
      </c>
      <c r="Q503" s="6">
        <v>38888</v>
      </c>
      <c r="R503" s="7">
        <v>0.66666666666666663</v>
      </c>
      <c r="S503" s="5">
        <v>102.55</v>
      </c>
      <c r="T503" s="5">
        <v>107.1</v>
      </c>
      <c r="U503" s="5">
        <v>98.8</v>
      </c>
      <c r="V503" s="5">
        <v>103.5</v>
      </c>
      <c r="W503" s="5">
        <v>1280800</v>
      </c>
      <c r="Y503" s="6">
        <f t="shared" si="14"/>
        <v>40548</v>
      </c>
      <c r="Z503" s="5">
        <f t="shared" si="15"/>
        <v>4342.5</v>
      </c>
      <c r="AA503" s="5">
        <v>128.83000000000001</v>
      </c>
      <c r="AB503" s="5">
        <v>108.69</v>
      </c>
    </row>
    <row r="504" spans="1:28" x14ac:dyDescent="0.3">
      <c r="A504" s="6">
        <v>38908</v>
      </c>
      <c r="B504" s="7">
        <v>0.66666666666666663</v>
      </c>
      <c r="C504" s="5">
        <v>152</v>
      </c>
      <c r="D504" s="5">
        <v>159.5</v>
      </c>
      <c r="E504" s="5">
        <v>152</v>
      </c>
      <c r="F504" s="5">
        <v>155</v>
      </c>
      <c r="G504" s="5">
        <v>25500</v>
      </c>
      <c r="I504" s="6">
        <v>40549</v>
      </c>
      <c r="J504" s="7">
        <v>0.66666666666666663</v>
      </c>
      <c r="K504" s="5">
        <v>4342.5</v>
      </c>
      <c r="L504" s="5">
        <v>4359.9902000000002</v>
      </c>
      <c r="M504" s="5">
        <v>4256.2299999999996</v>
      </c>
      <c r="N504" s="5">
        <v>4342</v>
      </c>
      <c r="O504" s="5">
        <v>436</v>
      </c>
      <c r="Q504" s="6">
        <v>38889</v>
      </c>
      <c r="R504" s="7">
        <v>0.66666666666666663</v>
      </c>
      <c r="S504" s="5">
        <v>103.5</v>
      </c>
      <c r="T504" s="5">
        <v>104</v>
      </c>
      <c r="U504" s="5">
        <v>98.35</v>
      </c>
      <c r="V504" s="5">
        <v>100.8</v>
      </c>
      <c r="W504" s="5">
        <v>402000</v>
      </c>
      <c r="Y504" s="6">
        <f t="shared" si="14"/>
        <v>40549</v>
      </c>
      <c r="Z504" s="5">
        <f t="shared" si="15"/>
        <v>4342</v>
      </c>
      <c r="AA504" s="5">
        <v>130.36000000000001</v>
      </c>
      <c r="AB504" s="5">
        <v>109</v>
      </c>
    </row>
    <row r="505" spans="1:28" x14ac:dyDescent="0.3">
      <c r="A505" s="6">
        <v>38909</v>
      </c>
      <c r="B505" s="7">
        <v>0.66666666666666663</v>
      </c>
      <c r="C505" s="5">
        <v>155.5</v>
      </c>
      <c r="D505" s="5">
        <v>155.5</v>
      </c>
      <c r="E505" s="5">
        <v>155.25</v>
      </c>
      <c r="F505" s="5">
        <v>155.25</v>
      </c>
      <c r="G505" s="5">
        <v>800</v>
      </c>
      <c r="I505" s="6">
        <v>40550</v>
      </c>
      <c r="J505" s="7">
        <v>0.66666666666666663</v>
      </c>
      <c r="K505" s="5">
        <v>4342</v>
      </c>
      <c r="L505" s="5">
        <v>4375</v>
      </c>
      <c r="M505" s="5">
        <v>4202</v>
      </c>
      <c r="N505" s="5">
        <v>4353.7997999999998</v>
      </c>
      <c r="O505" s="5">
        <v>44</v>
      </c>
      <c r="Q505" s="6">
        <v>38890</v>
      </c>
      <c r="R505" s="7">
        <v>0.66666666666666663</v>
      </c>
      <c r="S505" s="5">
        <v>100.8</v>
      </c>
      <c r="T505" s="5">
        <v>101.4</v>
      </c>
      <c r="U505" s="5">
        <v>98</v>
      </c>
      <c r="V505" s="5">
        <v>98</v>
      </c>
      <c r="W505" s="5">
        <v>253400</v>
      </c>
      <c r="Y505" s="6">
        <f t="shared" si="14"/>
        <v>40550</v>
      </c>
      <c r="Z505" s="5">
        <f t="shared" si="15"/>
        <v>4353.7997999999998</v>
      </c>
      <c r="AA505" s="5">
        <v>130.63</v>
      </c>
      <c r="AB505" s="5">
        <v>108.5</v>
      </c>
    </row>
    <row r="506" spans="1:28" x14ac:dyDescent="0.3">
      <c r="A506" s="6">
        <v>38910</v>
      </c>
      <c r="B506" s="7">
        <v>0.66666666666666663</v>
      </c>
      <c r="C506" s="5">
        <v>159</v>
      </c>
      <c r="D506" s="5">
        <v>159</v>
      </c>
      <c r="E506" s="5">
        <v>157</v>
      </c>
      <c r="F506" s="5">
        <v>157.5</v>
      </c>
      <c r="G506" s="5">
        <v>1900</v>
      </c>
      <c r="I506" s="6">
        <v>40553</v>
      </c>
      <c r="J506" s="7">
        <v>0.66666666666666663</v>
      </c>
      <c r="K506" s="5">
        <v>4348.4902000000002</v>
      </c>
      <c r="L506" s="5">
        <v>4348.4902000000002</v>
      </c>
      <c r="M506" s="5">
        <v>4243.0097999999998</v>
      </c>
      <c r="N506" s="5">
        <v>4308.7201999999997</v>
      </c>
      <c r="O506" s="5">
        <v>62</v>
      </c>
      <c r="Q506" s="6">
        <v>38891</v>
      </c>
      <c r="R506" s="7">
        <v>0.66666666666666663</v>
      </c>
      <c r="S506" s="5">
        <v>98</v>
      </c>
      <c r="T506" s="5">
        <v>99.45</v>
      </c>
      <c r="U506" s="5">
        <v>93.1</v>
      </c>
      <c r="V506" s="5">
        <v>93.1</v>
      </c>
      <c r="W506" s="5">
        <v>321500</v>
      </c>
      <c r="Y506" s="6">
        <f t="shared" si="14"/>
        <v>40553</v>
      </c>
      <c r="Z506" s="5">
        <f t="shared" si="15"/>
        <v>4308.7201999999997</v>
      </c>
      <c r="AA506" s="5">
        <v>130.58000000000001</v>
      </c>
      <c r="AB506" s="5">
        <v>108.16</v>
      </c>
    </row>
    <row r="507" spans="1:28" x14ac:dyDescent="0.3">
      <c r="A507" s="6">
        <v>38911</v>
      </c>
      <c r="B507" s="7">
        <v>0.66666666666666663</v>
      </c>
      <c r="C507" s="5">
        <v>156.25</v>
      </c>
      <c r="D507" s="5">
        <v>157</v>
      </c>
      <c r="E507" s="5">
        <v>155</v>
      </c>
      <c r="F507" s="5">
        <v>156</v>
      </c>
      <c r="G507" s="5">
        <v>2700</v>
      </c>
      <c r="I507" s="6">
        <v>40554</v>
      </c>
      <c r="J507" s="7">
        <v>0.66666666666666663</v>
      </c>
      <c r="K507" s="5">
        <v>4308.7201999999997</v>
      </c>
      <c r="L507" s="5">
        <v>4329.9902000000002</v>
      </c>
      <c r="M507" s="5">
        <v>4225</v>
      </c>
      <c r="N507" s="5">
        <v>4260.25</v>
      </c>
      <c r="O507" s="5">
        <v>46</v>
      </c>
      <c r="Q507" s="6">
        <v>38894</v>
      </c>
      <c r="R507" s="7">
        <v>0.66666666666666663</v>
      </c>
      <c r="S507" s="5">
        <v>93.1</v>
      </c>
      <c r="T507" s="5">
        <v>93.9</v>
      </c>
      <c r="U507" s="5">
        <v>88.45</v>
      </c>
      <c r="V507" s="5">
        <v>88.45</v>
      </c>
      <c r="W507" s="5">
        <v>163200</v>
      </c>
      <c r="Y507" s="6">
        <f t="shared" si="14"/>
        <v>40554</v>
      </c>
      <c r="Z507" s="5">
        <f t="shared" si="15"/>
        <v>4260.25</v>
      </c>
      <c r="AA507" s="5">
        <v>135.77000000000001</v>
      </c>
      <c r="AB507" s="5">
        <v>108.02</v>
      </c>
    </row>
    <row r="508" spans="1:28" x14ac:dyDescent="0.3">
      <c r="A508" s="6">
        <v>38912</v>
      </c>
      <c r="B508" s="7">
        <v>0.66666666666666663</v>
      </c>
      <c r="C508" s="5">
        <v>157.05000000000001</v>
      </c>
      <c r="D508" s="5">
        <v>157.05000000000001</v>
      </c>
      <c r="E508" s="5">
        <v>157</v>
      </c>
      <c r="F508" s="5">
        <v>157</v>
      </c>
      <c r="G508" s="5">
        <v>1500</v>
      </c>
      <c r="I508" s="6">
        <v>40555</v>
      </c>
      <c r="J508" s="7">
        <v>0.66666666666666663</v>
      </c>
      <c r="K508" s="5">
        <v>4260.25</v>
      </c>
      <c r="L508" s="5">
        <v>4473.2597999999998</v>
      </c>
      <c r="M508" s="5">
        <v>4251.0200000000004</v>
      </c>
      <c r="N508" s="5">
        <v>4416.1698999999999</v>
      </c>
      <c r="O508" s="5">
        <v>455</v>
      </c>
      <c r="Q508" s="6">
        <v>38895</v>
      </c>
      <c r="R508" s="7">
        <v>0.66666666666666663</v>
      </c>
      <c r="S508" s="5">
        <v>86.5</v>
      </c>
      <c r="T508" s="5">
        <v>86.5</v>
      </c>
      <c r="U508" s="5">
        <v>84.05</v>
      </c>
      <c r="V508" s="5">
        <v>84.05</v>
      </c>
      <c r="W508" s="5">
        <v>125000</v>
      </c>
      <c r="Y508" s="6">
        <f t="shared" si="14"/>
        <v>40555</v>
      </c>
      <c r="Z508" s="5">
        <f t="shared" si="15"/>
        <v>4416.1698999999999</v>
      </c>
      <c r="AA508" s="5">
        <v>138.87</v>
      </c>
      <c r="AB508" s="5">
        <v>107.04</v>
      </c>
    </row>
    <row r="509" spans="1:28" x14ac:dyDescent="0.3">
      <c r="A509" s="6">
        <v>38915</v>
      </c>
      <c r="B509" s="7">
        <v>0.66666666666666663</v>
      </c>
      <c r="C509" s="5">
        <v>157</v>
      </c>
      <c r="D509" s="5">
        <v>157.9</v>
      </c>
      <c r="E509" s="5">
        <v>155</v>
      </c>
      <c r="F509" s="5">
        <v>157.4</v>
      </c>
      <c r="G509" s="5">
        <v>2300</v>
      </c>
      <c r="I509" s="6">
        <v>40556</v>
      </c>
      <c r="J509" s="7">
        <v>0.66666666666666663</v>
      </c>
      <c r="K509" s="5">
        <v>4416.1698999999999</v>
      </c>
      <c r="L509" s="5">
        <v>4439.5</v>
      </c>
      <c r="M509" s="5">
        <v>4325.0298000000003</v>
      </c>
      <c r="N509" s="5">
        <v>4439.5</v>
      </c>
      <c r="O509" s="5">
        <v>17</v>
      </c>
      <c r="Q509" s="6">
        <v>38896</v>
      </c>
      <c r="R509" s="7">
        <v>0.66666666666666663</v>
      </c>
      <c r="S509" s="5">
        <v>84.05</v>
      </c>
      <c r="T509" s="5">
        <v>88</v>
      </c>
      <c r="U509" s="5">
        <v>79.849999999999994</v>
      </c>
      <c r="V509" s="5">
        <v>86.95</v>
      </c>
      <c r="W509" s="5">
        <v>440400</v>
      </c>
      <c r="Y509" s="6">
        <f t="shared" si="14"/>
        <v>40556</v>
      </c>
      <c r="Z509" s="5">
        <f t="shared" si="15"/>
        <v>4439.5</v>
      </c>
      <c r="AA509" s="5">
        <v>137.61000000000001</v>
      </c>
      <c r="AB509" s="5">
        <v>107.9</v>
      </c>
    </row>
    <row r="510" spans="1:28" x14ac:dyDescent="0.3">
      <c r="A510" s="6">
        <v>38916</v>
      </c>
      <c r="B510" s="7">
        <v>0.66666666666666663</v>
      </c>
      <c r="C510" s="5">
        <v>159</v>
      </c>
      <c r="D510" s="5">
        <v>165.25</v>
      </c>
      <c r="E510" s="5">
        <v>159</v>
      </c>
      <c r="F510" s="5">
        <v>165.25</v>
      </c>
      <c r="G510" s="5">
        <v>13300</v>
      </c>
      <c r="I510" s="6">
        <v>40557</v>
      </c>
      <c r="J510" s="7">
        <v>0.66666666666666663</v>
      </c>
      <c r="K510" s="5">
        <v>4439.5</v>
      </c>
      <c r="L510" s="5">
        <v>4599.9902000000002</v>
      </c>
      <c r="M510" s="5">
        <v>4251.0097999999998</v>
      </c>
      <c r="N510" s="5">
        <v>4400.2201999999997</v>
      </c>
      <c r="O510" s="5">
        <v>43</v>
      </c>
      <c r="Q510" s="6">
        <v>38897</v>
      </c>
      <c r="R510" s="7">
        <v>0.66666666666666663</v>
      </c>
      <c r="S510" s="5">
        <v>86.95</v>
      </c>
      <c r="T510" s="5">
        <v>91.25</v>
      </c>
      <c r="U510" s="5">
        <v>86.95</v>
      </c>
      <c r="V510" s="5">
        <v>91.25</v>
      </c>
      <c r="W510" s="5">
        <v>442500</v>
      </c>
      <c r="Y510" s="6">
        <f t="shared" si="14"/>
        <v>40557</v>
      </c>
      <c r="Z510" s="5">
        <f t="shared" si="15"/>
        <v>4400.2201999999997</v>
      </c>
      <c r="AA510" s="5">
        <v>142.41</v>
      </c>
      <c r="AB510" s="5">
        <v>107.26</v>
      </c>
    </row>
    <row r="511" spans="1:28" x14ac:dyDescent="0.3">
      <c r="A511" s="6">
        <v>38917</v>
      </c>
      <c r="B511" s="7">
        <v>0.66666666666666663</v>
      </c>
      <c r="C511" s="5">
        <v>165.25</v>
      </c>
      <c r="D511" s="5">
        <v>173.5</v>
      </c>
      <c r="E511" s="5">
        <v>165.25</v>
      </c>
      <c r="F511" s="5">
        <v>173.5</v>
      </c>
      <c r="G511" s="5">
        <v>2300</v>
      </c>
      <c r="I511" s="6">
        <v>40560</v>
      </c>
      <c r="J511" s="7">
        <v>0.66666666666666663</v>
      </c>
      <c r="K511" s="5">
        <v>4425.0897999999997</v>
      </c>
      <c r="L511" s="5">
        <v>4549</v>
      </c>
      <c r="M511" s="5">
        <v>4425.0897999999997</v>
      </c>
      <c r="N511" s="5">
        <v>4491.9301999999998</v>
      </c>
      <c r="O511" s="5">
        <v>83</v>
      </c>
      <c r="Q511" s="6">
        <v>38898</v>
      </c>
      <c r="R511" s="7">
        <v>0.66666666666666663</v>
      </c>
      <c r="S511" s="5">
        <v>91.25</v>
      </c>
      <c r="T511" s="5">
        <v>94</v>
      </c>
      <c r="U511" s="5">
        <v>86.7</v>
      </c>
      <c r="V511" s="5">
        <v>86.7</v>
      </c>
      <c r="W511" s="5">
        <v>184100</v>
      </c>
      <c r="Y511" s="6">
        <f t="shared" si="14"/>
        <v>40560</v>
      </c>
      <c r="Z511" s="5">
        <f t="shared" si="15"/>
        <v>4491.9301999999998</v>
      </c>
      <c r="AA511" s="5">
        <v>144.71</v>
      </c>
      <c r="AB511" s="5">
        <v>107.45</v>
      </c>
    </row>
    <row r="512" spans="1:28" x14ac:dyDescent="0.3">
      <c r="A512" s="6">
        <v>38918</v>
      </c>
      <c r="B512" s="7">
        <v>0.66666666666666663</v>
      </c>
      <c r="C512" s="5">
        <v>182.15</v>
      </c>
      <c r="D512" s="5">
        <v>182.15</v>
      </c>
      <c r="E512" s="5">
        <v>182.15</v>
      </c>
      <c r="F512" s="5">
        <v>182.15</v>
      </c>
      <c r="G512" s="5">
        <v>2100</v>
      </c>
      <c r="I512" s="6">
        <v>40561</v>
      </c>
      <c r="J512" s="7">
        <v>0.66666666666666663</v>
      </c>
      <c r="K512" s="5">
        <v>4491.9301999999998</v>
      </c>
      <c r="L512" s="5">
        <v>4648</v>
      </c>
      <c r="M512" s="5">
        <v>4352</v>
      </c>
      <c r="N512" s="5">
        <v>4504.29</v>
      </c>
      <c r="O512" s="5">
        <v>78</v>
      </c>
      <c r="Q512" s="6">
        <v>38901</v>
      </c>
      <c r="R512" s="7">
        <v>0.66666666666666663</v>
      </c>
      <c r="S512" s="5">
        <v>84.85</v>
      </c>
      <c r="T512" s="5">
        <v>84.85</v>
      </c>
      <c r="U512" s="5">
        <v>82.4</v>
      </c>
      <c r="V512" s="5">
        <v>82.4</v>
      </c>
      <c r="W512" s="5">
        <v>58500</v>
      </c>
      <c r="Y512" s="6">
        <f t="shared" si="14"/>
        <v>40561</v>
      </c>
      <c r="Z512" s="5">
        <f t="shared" si="15"/>
        <v>4504.29</v>
      </c>
      <c r="AA512" s="5">
        <v>145.5</v>
      </c>
      <c r="AB512" s="5">
        <v>106.5</v>
      </c>
    </row>
    <row r="513" spans="1:28" x14ac:dyDescent="0.3">
      <c r="A513" s="6">
        <v>38919</v>
      </c>
      <c r="B513" s="7">
        <v>0.66666666666666663</v>
      </c>
      <c r="C513" s="5">
        <v>191.25</v>
      </c>
      <c r="D513" s="5">
        <v>191.25</v>
      </c>
      <c r="E513" s="5">
        <v>188</v>
      </c>
      <c r="F513" s="5">
        <v>191.25</v>
      </c>
      <c r="G513" s="5">
        <v>39400</v>
      </c>
      <c r="I513" s="6">
        <v>40562</v>
      </c>
      <c r="J513" s="7">
        <v>0.66666666666666663</v>
      </c>
      <c r="K513" s="5">
        <v>4504.29</v>
      </c>
      <c r="L513" s="5">
        <v>4698</v>
      </c>
      <c r="M513" s="5">
        <v>4425.25</v>
      </c>
      <c r="N513" s="5">
        <v>4577.1698999999999</v>
      </c>
      <c r="O513" s="5">
        <v>120</v>
      </c>
      <c r="Q513" s="6">
        <v>38902</v>
      </c>
      <c r="R513" s="7">
        <v>0.66666666666666663</v>
      </c>
      <c r="S513" s="5">
        <v>82.4</v>
      </c>
      <c r="T513" s="5">
        <v>83.7</v>
      </c>
      <c r="U513" s="5">
        <v>78.3</v>
      </c>
      <c r="V513" s="5">
        <v>82.8</v>
      </c>
      <c r="W513" s="5">
        <v>298200</v>
      </c>
      <c r="Y513" s="6">
        <f t="shared" si="14"/>
        <v>40562</v>
      </c>
      <c r="Z513" s="5">
        <f t="shared" si="15"/>
        <v>4577.1698999999999</v>
      </c>
      <c r="AA513" s="5">
        <v>142.82</v>
      </c>
      <c r="AB513" s="5">
        <v>106.17</v>
      </c>
    </row>
    <row r="514" spans="1:28" x14ac:dyDescent="0.3">
      <c r="A514" s="6">
        <v>38922</v>
      </c>
      <c r="B514" s="7">
        <v>0.66666666666666663</v>
      </c>
      <c r="C514" s="5">
        <v>200</v>
      </c>
      <c r="D514" s="5">
        <v>200.8</v>
      </c>
      <c r="E514" s="5">
        <v>195.75</v>
      </c>
      <c r="F514" s="5">
        <v>198</v>
      </c>
      <c r="G514" s="5">
        <v>42500</v>
      </c>
      <c r="I514" s="6">
        <v>40563</v>
      </c>
      <c r="J514" s="7">
        <v>0.66666666666666663</v>
      </c>
      <c r="K514" s="5">
        <v>4577.1698999999999</v>
      </c>
      <c r="L514" s="5">
        <v>4675</v>
      </c>
      <c r="M514" s="5">
        <v>4452</v>
      </c>
      <c r="N514" s="5">
        <v>4589</v>
      </c>
      <c r="O514" s="5">
        <v>86</v>
      </c>
      <c r="Q514" s="6">
        <v>38903</v>
      </c>
      <c r="R514" s="7">
        <v>0.66666666666666663</v>
      </c>
      <c r="S514" s="5">
        <v>82.8</v>
      </c>
      <c r="T514" s="5">
        <v>83.8</v>
      </c>
      <c r="U514" s="5">
        <v>80</v>
      </c>
      <c r="V514" s="5">
        <v>83</v>
      </c>
      <c r="W514" s="5">
        <v>101200</v>
      </c>
      <c r="Y514" s="6">
        <f t="shared" si="14"/>
        <v>40563</v>
      </c>
      <c r="Z514" s="5">
        <f t="shared" si="15"/>
        <v>4589</v>
      </c>
      <c r="AA514" s="5">
        <v>137.76</v>
      </c>
      <c r="AB514" s="5">
        <v>106.15</v>
      </c>
    </row>
    <row r="515" spans="1:28" x14ac:dyDescent="0.3">
      <c r="A515" s="6">
        <v>38923</v>
      </c>
      <c r="B515" s="7">
        <v>0.66666666666666663</v>
      </c>
      <c r="C515" s="5">
        <v>202</v>
      </c>
      <c r="D515" s="5">
        <v>202</v>
      </c>
      <c r="E515" s="5">
        <v>192</v>
      </c>
      <c r="F515" s="5">
        <v>195</v>
      </c>
      <c r="G515" s="5">
        <v>33800</v>
      </c>
      <c r="I515" s="6">
        <v>40564</v>
      </c>
      <c r="J515" s="7">
        <v>0.66666666666666663</v>
      </c>
      <c r="K515" s="5">
        <v>4589</v>
      </c>
      <c r="L515" s="5">
        <v>4818</v>
      </c>
      <c r="M515" s="5">
        <v>4515.0097999999998</v>
      </c>
      <c r="N515" s="5">
        <v>4602.6201000000001</v>
      </c>
      <c r="O515" s="5">
        <v>212</v>
      </c>
      <c r="Q515" s="6">
        <v>38904</v>
      </c>
      <c r="R515" s="7">
        <v>0.66666666666666663</v>
      </c>
      <c r="S515" s="5">
        <v>83</v>
      </c>
      <c r="T515" s="5">
        <v>83.7</v>
      </c>
      <c r="U515" s="5">
        <v>81</v>
      </c>
      <c r="V515" s="5">
        <v>81</v>
      </c>
      <c r="W515" s="5">
        <v>72800</v>
      </c>
      <c r="Y515" s="6">
        <f t="shared" si="14"/>
        <v>40564</v>
      </c>
      <c r="Z515" s="5">
        <f t="shared" si="15"/>
        <v>4602.6201000000001</v>
      </c>
      <c r="AA515" s="5">
        <v>141.31</v>
      </c>
      <c r="AB515" s="5">
        <v>104.31</v>
      </c>
    </row>
    <row r="516" spans="1:28" x14ac:dyDescent="0.3">
      <c r="A516" s="6">
        <v>38924</v>
      </c>
      <c r="B516" s="7">
        <v>0.66666666666666663</v>
      </c>
      <c r="C516" s="5">
        <v>195.1</v>
      </c>
      <c r="D516" s="5">
        <v>195.1</v>
      </c>
      <c r="E516" s="5">
        <v>190.25</v>
      </c>
      <c r="F516" s="5">
        <v>191</v>
      </c>
      <c r="G516" s="5">
        <v>12300</v>
      </c>
      <c r="I516" s="6">
        <v>40567</v>
      </c>
      <c r="J516" s="7">
        <v>0.66666666666666663</v>
      </c>
      <c r="K516" s="5">
        <v>4602.6201000000001</v>
      </c>
      <c r="L516" s="5">
        <v>4750</v>
      </c>
      <c r="M516" s="5">
        <v>4500</v>
      </c>
      <c r="N516" s="5">
        <v>4624.9902000000002</v>
      </c>
      <c r="O516" s="5">
        <v>757</v>
      </c>
      <c r="Q516" s="6">
        <v>38905</v>
      </c>
      <c r="R516" s="7">
        <v>0.66666666666666663</v>
      </c>
      <c r="S516" s="5">
        <v>81</v>
      </c>
      <c r="T516" s="5">
        <v>82</v>
      </c>
      <c r="U516" s="5">
        <v>80</v>
      </c>
      <c r="V516" s="5">
        <v>81.2</v>
      </c>
      <c r="W516" s="5">
        <v>51800</v>
      </c>
      <c r="Y516" s="6">
        <f t="shared" ref="Y516:Y579" si="16">I516</f>
        <v>40567</v>
      </c>
      <c r="Z516" s="5">
        <f t="shared" ref="Z516:Z579" si="17">N516</f>
        <v>4624.9902000000002</v>
      </c>
      <c r="AA516" s="5">
        <v>140</v>
      </c>
      <c r="AB516" s="5">
        <v>99.55</v>
      </c>
    </row>
    <row r="517" spans="1:28" x14ac:dyDescent="0.3">
      <c r="A517" s="6">
        <v>38925</v>
      </c>
      <c r="B517" s="7">
        <v>0.66666666666666663</v>
      </c>
      <c r="C517" s="5">
        <v>190</v>
      </c>
      <c r="D517" s="5">
        <v>192.5</v>
      </c>
      <c r="E517" s="5">
        <v>188.2</v>
      </c>
      <c r="F517" s="5">
        <v>188.2</v>
      </c>
      <c r="G517" s="5">
        <v>20700</v>
      </c>
      <c r="I517" s="6">
        <v>40568</v>
      </c>
      <c r="J517" s="7">
        <v>0.66666666666666663</v>
      </c>
      <c r="K517" s="5">
        <v>4624.9902000000002</v>
      </c>
      <c r="L517" s="5">
        <v>4650</v>
      </c>
      <c r="M517" s="5">
        <v>4511.0298000000003</v>
      </c>
      <c r="N517" s="5">
        <v>4640.4198999999999</v>
      </c>
      <c r="O517" s="5">
        <v>815</v>
      </c>
      <c r="Q517" s="6">
        <v>38908</v>
      </c>
      <c r="R517" s="7">
        <v>0.66666666666666663</v>
      </c>
      <c r="S517" s="5">
        <v>81</v>
      </c>
      <c r="T517" s="5">
        <v>81</v>
      </c>
      <c r="U517" s="5">
        <v>79</v>
      </c>
      <c r="V517" s="5">
        <v>79</v>
      </c>
      <c r="W517" s="5">
        <v>45400</v>
      </c>
      <c r="Y517" s="6">
        <f t="shared" si="16"/>
        <v>40568</v>
      </c>
      <c r="Z517" s="5">
        <f t="shared" si="17"/>
        <v>4640.4198999999999</v>
      </c>
      <c r="AA517" s="5">
        <v>137.66</v>
      </c>
      <c r="AB517" s="5">
        <v>100</v>
      </c>
    </row>
    <row r="518" spans="1:28" x14ac:dyDescent="0.3">
      <c r="A518" s="6">
        <v>38926</v>
      </c>
      <c r="B518" s="7">
        <v>0.66666666666666663</v>
      </c>
      <c r="C518" s="5">
        <v>190.9</v>
      </c>
      <c r="D518" s="5">
        <v>191</v>
      </c>
      <c r="E518" s="5">
        <v>183</v>
      </c>
      <c r="F518" s="5">
        <v>184</v>
      </c>
      <c r="G518" s="5">
        <v>8900</v>
      </c>
      <c r="I518" s="6">
        <v>40569</v>
      </c>
      <c r="J518" s="7">
        <v>0.66666666666666663</v>
      </c>
      <c r="K518" s="5">
        <v>4640.4198999999999</v>
      </c>
      <c r="L518" s="5">
        <v>4670</v>
      </c>
      <c r="M518" s="5">
        <v>4576.1099000000004</v>
      </c>
      <c r="N518" s="5">
        <v>4629.0698000000002</v>
      </c>
      <c r="O518" s="5">
        <v>480</v>
      </c>
      <c r="Q518" s="6">
        <v>38909</v>
      </c>
      <c r="R518" s="7">
        <v>0.66666666666666663</v>
      </c>
      <c r="S518" s="5">
        <v>79</v>
      </c>
      <c r="T518" s="5">
        <v>82.1</v>
      </c>
      <c r="U518" s="5">
        <v>78.400000000000006</v>
      </c>
      <c r="V518" s="5">
        <v>82</v>
      </c>
      <c r="W518" s="5">
        <v>246200</v>
      </c>
      <c r="Y518" s="6">
        <f t="shared" si="16"/>
        <v>40569</v>
      </c>
      <c r="Z518" s="5">
        <f t="shared" si="17"/>
        <v>4629.0698000000002</v>
      </c>
      <c r="AA518" s="5">
        <v>136.61000000000001</v>
      </c>
      <c r="AB518" s="5">
        <v>97.12</v>
      </c>
    </row>
    <row r="519" spans="1:28" x14ac:dyDescent="0.3">
      <c r="A519" s="6">
        <v>38929</v>
      </c>
      <c r="B519" s="7">
        <v>0.66666666666666663</v>
      </c>
      <c r="C519" s="5">
        <v>186</v>
      </c>
      <c r="D519" s="5">
        <v>188.75</v>
      </c>
      <c r="E519" s="5">
        <v>185.5</v>
      </c>
      <c r="F519" s="5">
        <v>185.5</v>
      </c>
      <c r="G519" s="5">
        <v>9400</v>
      </c>
      <c r="I519" s="6">
        <v>40570</v>
      </c>
      <c r="J519" s="7">
        <v>0.66666666666666663</v>
      </c>
      <c r="K519" s="5">
        <v>4629.0698000000002</v>
      </c>
      <c r="L519" s="5">
        <v>4675</v>
      </c>
      <c r="M519" s="5">
        <v>4601.0897999999997</v>
      </c>
      <c r="N519" s="5">
        <v>4633.5</v>
      </c>
      <c r="O519" s="5">
        <v>65</v>
      </c>
      <c r="Q519" s="6">
        <v>38910</v>
      </c>
      <c r="R519" s="7">
        <v>0.66666666666666663</v>
      </c>
      <c r="S519" s="5">
        <v>82</v>
      </c>
      <c r="T519" s="5">
        <v>86.1</v>
      </c>
      <c r="U519" s="5">
        <v>81.8</v>
      </c>
      <c r="V519" s="5">
        <v>86.1</v>
      </c>
      <c r="W519" s="5">
        <v>597500</v>
      </c>
      <c r="Y519" s="6">
        <f t="shared" si="16"/>
        <v>40570</v>
      </c>
      <c r="Z519" s="5">
        <f t="shared" si="17"/>
        <v>4633.5</v>
      </c>
      <c r="AA519" s="5">
        <v>134.11000000000001</v>
      </c>
      <c r="AB519" s="5">
        <v>96.58</v>
      </c>
    </row>
    <row r="520" spans="1:28" x14ac:dyDescent="0.3">
      <c r="A520" s="6">
        <v>38930</v>
      </c>
      <c r="B520" s="7">
        <v>0.66666666666666663</v>
      </c>
      <c r="C520" s="5">
        <v>186</v>
      </c>
      <c r="D520" s="5">
        <v>186</v>
      </c>
      <c r="E520" s="5">
        <v>180.5</v>
      </c>
      <c r="F520" s="5">
        <v>185</v>
      </c>
      <c r="G520" s="5">
        <v>5700</v>
      </c>
      <c r="I520" s="6">
        <v>40571</v>
      </c>
      <c r="J520" s="7">
        <v>0.66666666666666663</v>
      </c>
      <c r="K520" s="5">
        <v>4633</v>
      </c>
      <c r="L520" s="5">
        <v>4633</v>
      </c>
      <c r="M520" s="5">
        <v>4500</v>
      </c>
      <c r="N520" s="5">
        <v>4546.2798000000003</v>
      </c>
      <c r="O520" s="5">
        <v>234</v>
      </c>
      <c r="Q520" s="6">
        <v>38911</v>
      </c>
      <c r="R520" s="7">
        <v>0.66666666666666663</v>
      </c>
      <c r="S520" s="5">
        <v>88.5</v>
      </c>
      <c r="T520" s="5">
        <v>90.4</v>
      </c>
      <c r="U520" s="5">
        <v>88.5</v>
      </c>
      <c r="V520" s="5">
        <v>90.4</v>
      </c>
      <c r="W520" s="5">
        <v>814500</v>
      </c>
      <c r="Y520" s="6">
        <f t="shared" si="16"/>
        <v>40571</v>
      </c>
      <c r="Z520" s="5">
        <f t="shared" si="17"/>
        <v>4546.2798000000003</v>
      </c>
      <c r="AA520" s="5">
        <v>139.36000000000001</v>
      </c>
      <c r="AB520" s="5">
        <v>94.07</v>
      </c>
    </row>
    <row r="521" spans="1:28" x14ac:dyDescent="0.3">
      <c r="A521" s="6">
        <v>38931</v>
      </c>
      <c r="B521" s="7">
        <v>0.66666666666666663</v>
      </c>
      <c r="C521" s="5">
        <v>185</v>
      </c>
      <c r="D521" s="5">
        <v>185.9</v>
      </c>
      <c r="E521" s="5">
        <v>183</v>
      </c>
      <c r="F521" s="5">
        <v>185</v>
      </c>
      <c r="G521" s="5">
        <v>9500</v>
      </c>
      <c r="I521" s="6">
        <v>40574</v>
      </c>
      <c r="J521" s="7">
        <v>0.66666666666666663</v>
      </c>
      <c r="K521" s="5">
        <v>4546.2798000000003</v>
      </c>
      <c r="L521" s="5">
        <v>4699.9301999999998</v>
      </c>
      <c r="M521" s="5">
        <v>4516.0097999999998</v>
      </c>
      <c r="N521" s="5">
        <v>4530.2402000000002</v>
      </c>
      <c r="O521" s="5">
        <v>92</v>
      </c>
      <c r="Q521" s="6">
        <v>38912</v>
      </c>
      <c r="R521" s="7">
        <v>0.66666666666666663</v>
      </c>
      <c r="S521" s="5">
        <v>90.4</v>
      </c>
      <c r="T521" s="5">
        <v>92.5</v>
      </c>
      <c r="U521" s="5">
        <v>88</v>
      </c>
      <c r="V521" s="5">
        <v>90</v>
      </c>
      <c r="W521" s="5">
        <v>493800</v>
      </c>
      <c r="Y521" s="6">
        <f t="shared" si="16"/>
        <v>40574</v>
      </c>
      <c r="Z521" s="5">
        <f t="shared" si="17"/>
        <v>4530.2402000000002</v>
      </c>
      <c r="AA521" s="5">
        <v>132.4</v>
      </c>
      <c r="AB521" s="5">
        <v>96.28</v>
      </c>
    </row>
    <row r="522" spans="1:28" x14ac:dyDescent="0.3">
      <c r="A522" s="6">
        <v>38932</v>
      </c>
      <c r="B522" s="7">
        <v>0.66666666666666663</v>
      </c>
      <c r="C522" s="5">
        <v>186</v>
      </c>
      <c r="D522" s="5">
        <v>186</v>
      </c>
      <c r="E522" s="5">
        <v>183</v>
      </c>
      <c r="F522" s="5">
        <v>183.5</v>
      </c>
      <c r="G522" s="5">
        <v>7400</v>
      </c>
      <c r="I522" s="6">
        <v>40575</v>
      </c>
      <c r="J522" s="7">
        <v>0.66666666666666663</v>
      </c>
      <c r="K522" s="5">
        <v>4530.2402000000002</v>
      </c>
      <c r="L522" s="5">
        <v>4549.9902000000002</v>
      </c>
      <c r="M522" s="5">
        <v>4355.0097999999998</v>
      </c>
      <c r="N522" s="5">
        <v>4372.1298999999999</v>
      </c>
      <c r="O522" s="5">
        <v>352</v>
      </c>
      <c r="Q522" s="6">
        <v>38915</v>
      </c>
      <c r="R522" s="7">
        <v>0.66666666666666663</v>
      </c>
      <c r="S522" s="5">
        <v>90</v>
      </c>
      <c r="T522" s="5">
        <v>91.8</v>
      </c>
      <c r="U522" s="5">
        <v>87</v>
      </c>
      <c r="V522" s="5">
        <v>89.5</v>
      </c>
      <c r="W522" s="5">
        <v>340400</v>
      </c>
      <c r="Y522" s="6">
        <f t="shared" si="16"/>
        <v>40575</v>
      </c>
      <c r="Z522" s="5">
        <f t="shared" si="17"/>
        <v>4372.1298999999999</v>
      </c>
      <c r="AA522" s="5">
        <v>127.42</v>
      </c>
      <c r="AB522" s="5">
        <v>96.21</v>
      </c>
    </row>
    <row r="523" spans="1:28" x14ac:dyDescent="0.3">
      <c r="A523" s="6">
        <v>38933</v>
      </c>
      <c r="B523" s="7">
        <v>0.66666666666666663</v>
      </c>
      <c r="C523" s="5">
        <v>183</v>
      </c>
      <c r="D523" s="5">
        <v>185</v>
      </c>
      <c r="E523" s="5">
        <v>182.05</v>
      </c>
      <c r="F523" s="5">
        <v>183.9</v>
      </c>
      <c r="G523" s="5">
        <v>5000</v>
      </c>
      <c r="I523" s="6">
        <v>40576</v>
      </c>
      <c r="J523" s="7">
        <v>0.66666666666666663</v>
      </c>
      <c r="K523" s="5">
        <v>4372.1298999999999</v>
      </c>
      <c r="L523" s="5">
        <v>4549.9902000000002</v>
      </c>
      <c r="M523" s="5">
        <v>4320.0097999999998</v>
      </c>
      <c r="N523" s="5">
        <v>4345</v>
      </c>
      <c r="O523" s="5">
        <v>21</v>
      </c>
      <c r="Q523" s="6">
        <v>38916</v>
      </c>
      <c r="R523" s="7">
        <v>0.66666666666666663</v>
      </c>
      <c r="S523" s="5">
        <v>90.3</v>
      </c>
      <c r="T523" s="5">
        <v>93.8</v>
      </c>
      <c r="U523" s="5">
        <v>90.3</v>
      </c>
      <c r="V523" s="5">
        <v>92.7</v>
      </c>
      <c r="W523" s="5">
        <v>466100</v>
      </c>
      <c r="Y523" s="6">
        <f t="shared" si="16"/>
        <v>40576</v>
      </c>
      <c r="Z523" s="5">
        <f t="shared" si="17"/>
        <v>4345</v>
      </c>
      <c r="AA523" s="5">
        <v>121.05</v>
      </c>
      <c r="AB523" s="5">
        <v>95.89</v>
      </c>
    </row>
    <row r="524" spans="1:28" x14ac:dyDescent="0.3">
      <c r="A524" s="6">
        <v>38936</v>
      </c>
      <c r="B524" s="7">
        <v>0.66666666666666663</v>
      </c>
      <c r="C524" s="5">
        <v>183</v>
      </c>
      <c r="D524" s="5">
        <v>183.5</v>
      </c>
      <c r="E524" s="5">
        <v>180</v>
      </c>
      <c r="F524" s="5">
        <v>180</v>
      </c>
      <c r="G524" s="5">
        <v>15800</v>
      </c>
      <c r="I524" s="6">
        <v>40577</v>
      </c>
      <c r="J524" s="7">
        <v>0.66666666666666663</v>
      </c>
      <c r="K524" s="5">
        <v>4345</v>
      </c>
      <c r="L524" s="5">
        <v>4460</v>
      </c>
      <c r="M524" s="5">
        <v>4327.0298000000003</v>
      </c>
      <c r="N524" s="5">
        <v>4350.0497999999998</v>
      </c>
      <c r="O524" s="5">
        <v>8</v>
      </c>
      <c r="Q524" s="6">
        <v>38917</v>
      </c>
      <c r="R524" s="7">
        <v>0.66666666666666663</v>
      </c>
      <c r="S524" s="5">
        <v>92.7</v>
      </c>
      <c r="T524" s="5">
        <v>93.4</v>
      </c>
      <c r="U524" s="5">
        <v>90.05</v>
      </c>
      <c r="V524" s="5">
        <v>91.5</v>
      </c>
      <c r="W524" s="5">
        <v>433300</v>
      </c>
      <c r="Y524" s="6">
        <f t="shared" si="16"/>
        <v>40577</v>
      </c>
      <c r="Z524" s="5">
        <f t="shared" si="17"/>
        <v>4350.0497999999998</v>
      </c>
      <c r="AA524" s="5">
        <v>121.51</v>
      </c>
      <c r="AB524" s="5">
        <v>95.46</v>
      </c>
    </row>
    <row r="525" spans="1:28" x14ac:dyDescent="0.3">
      <c r="A525" s="6">
        <v>38937</v>
      </c>
      <c r="B525" s="7">
        <v>0.66666666666666663</v>
      </c>
      <c r="C525" s="5">
        <v>180</v>
      </c>
      <c r="D525" s="5">
        <v>182.5</v>
      </c>
      <c r="E525" s="5">
        <v>178</v>
      </c>
      <c r="F525" s="5">
        <v>180.95</v>
      </c>
      <c r="G525" s="5">
        <v>34600</v>
      </c>
      <c r="I525" s="6">
        <v>40578</v>
      </c>
      <c r="J525" s="7">
        <v>0.66666666666666663</v>
      </c>
      <c r="K525" s="5">
        <v>4350.0497999999998</v>
      </c>
      <c r="L525" s="5">
        <v>4500</v>
      </c>
      <c r="M525" s="5">
        <v>4250</v>
      </c>
      <c r="N525" s="5">
        <v>4385.6499000000003</v>
      </c>
      <c r="O525" s="5">
        <v>120</v>
      </c>
      <c r="Q525" s="6">
        <v>38918</v>
      </c>
      <c r="R525" s="7">
        <v>0.66666666666666663</v>
      </c>
      <c r="S525" s="5">
        <v>91.5</v>
      </c>
      <c r="T525" s="5">
        <v>93</v>
      </c>
      <c r="U525" s="5">
        <v>89.5</v>
      </c>
      <c r="V525" s="5">
        <v>90.95</v>
      </c>
      <c r="W525" s="5">
        <v>215800</v>
      </c>
      <c r="Y525" s="6">
        <f t="shared" si="16"/>
        <v>40578</v>
      </c>
      <c r="Z525" s="5">
        <f t="shared" si="17"/>
        <v>4385.6499000000003</v>
      </c>
      <c r="AA525" s="5">
        <v>121.05</v>
      </c>
      <c r="AB525" s="5">
        <v>95.31</v>
      </c>
    </row>
    <row r="526" spans="1:28" x14ac:dyDescent="0.3">
      <c r="A526" s="6">
        <v>38938</v>
      </c>
      <c r="B526" s="7">
        <v>0.66666666666666663</v>
      </c>
      <c r="C526" s="5">
        <v>150</v>
      </c>
      <c r="D526" s="5">
        <v>153</v>
      </c>
      <c r="E526" s="5">
        <v>148</v>
      </c>
      <c r="F526" s="5">
        <v>150</v>
      </c>
      <c r="G526" s="5">
        <v>15500</v>
      </c>
      <c r="I526" s="6">
        <v>40581</v>
      </c>
      <c r="J526" s="7">
        <v>0.66666666666666663</v>
      </c>
      <c r="K526" s="5">
        <v>4385.6499000000003</v>
      </c>
      <c r="L526" s="5">
        <v>4464.5897999999997</v>
      </c>
      <c r="M526" s="5">
        <v>4311.0097999999998</v>
      </c>
      <c r="N526" s="5">
        <v>4423.6000999999997</v>
      </c>
      <c r="O526" s="5">
        <v>14</v>
      </c>
      <c r="Q526" s="6">
        <v>38919</v>
      </c>
      <c r="R526" s="7">
        <v>0.66666666666666663</v>
      </c>
      <c r="S526" s="5">
        <v>90.95</v>
      </c>
      <c r="T526" s="5">
        <v>91</v>
      </c>
      <c r="U526" s="5">
        <v>89.3</v>
      </c>
      <c r="V526" s="5">
        <v>90.5</v>
      </c>
      <c r="W526" s="5">
        <v>141900</v>
      </c>
      <c r="Y526" s="6">
        <f t="shared" si="16"/>
        <v>40581</v>
      </c>
      <c r="Z526" s="5">
        <f t="shared" si="17"/>
        <v>4423.6000999999997</v>
      </c>
      <c r="AA526" s="5">
        <v>123.98</v>
      </c>
      <c r="AB526" s="5">
        <v>96.7</v>
      </c>
    </row>
    <row r="527" spans="1:28" x14ac:dyDescent="0.3">
      <c r="A527" s="6">
        <v>38939</v>
      </c>
      <c r="B527" s="7">
        <v>0.66666666666666663</v>
      </c>
      <c r="C527" s="5">
        <v>150.94999999999999</v>
      </c>
      <c r="D527" s="5">
        <v>150.94999999999999</v>
      </c>
      <c r="E527" s="5">
        <v>148</v>
      </c>
      <c r="F527" s="5">
        <v>149</v>
      </c>
      <c r="G527" s="5">
        <v>14500</v>
      </c>
      <c r="I527" s="6">
        <v>40582</v>
      </c>
      <c r="J527" s="7">
        <v>0.66666666666666663</v>
      </c>
      <c r="K527" s="5">
        <v>4423.6000999999997</v>
      </c>
      <c r="L527" s="5">
        <v>4474</v>
      </c>
      <c r="M527" s="5">
        <v>4311.0097999999998</v>
      </c>
      <c r="N527" s="5">
        <v>4405.9399000000003</v>
      </c>
      <c r="O527" s="5">
        <v>57</v>
      </c>
      <c r="Q527" s="6">
        <v>38922</v>
      </c>
      <c r="R527" s="7">
        <v>0.66666666666666663</v>
      </c>
      <c r="S527" s="5">
        <v>90.5</v>
      </c>
      <c r="T527" s="5">
        <v>91.5</v>
      </c>
      <c r="U527" s="5">
        <v>90.5</v>
      </c>
      <c r="V527" s="5">
        <v>90.65</v>
      </c>
      <c r="W527" s="5">
        <v>99800</v>
      </c>
      <c r="Y527" s="6">
        <f t="shared" si="16"/>
        <v>40582</v>
      </c>
      <c r="Z527" s="5">
        <f t="shared" si="17"/>
        <v>4405.9399000000003</v>
      </c>
      <c r="AA527" s="5">
        <v>123.17</v>
      </c>
      <c r="AB527" s="5">
        <v>95.99</v>
      </c>
    </row>
    <row r="528" spans="1:28" x14ac:dyDescent="0.3">
      <c r="A528" s="6">
        <v>38940</v>
      </c>
      <c r="B528" s="7">
        <v>0.66666666666666663</v>
      </c>
      <c r="C528" s="5">
        <v>150.1</v>
      </c>
      <c r="D528" s="5">
        <v>150.9</v>
      </c>
      <c r="E528" s="5">
        <v>147</v>
      </c>
      <c r="F528" s="5">
        <v>149</v>
      </c>
      <c r="G528" s="5">
        <v>7200</v>
      </c>
      <c r="I528" s="6">
        <v>40583</v>
      </c>
      <c r="J528" s="7">
        <v>0.66666666666666663</v>
      </c>
      <c r="K528" s="5">
        <v>4405.9399000000003</v>
      </c>
      <c r="L528" s="5">
        <v>4544.9902000000002</v>
      </c>
      <c r="M528" s="5">
        <v>4291.0097999999998</v>
      </c>
      <c r="N528" s="5">
        <v>4372</v>
      </c>
      <c r="O528" s="5">
        <v>82</v>
      </c>
      <c r="Q528" s="6">
        <v>38923</v>
      </c>
      <c r="R528" s="7">
        <v>0.66666666666666663</v>
      </c>
      <c r="S528" s="5">
        <v>90.65</v>
      </c>
      <c r="T528" s="5">
        <v>91.5</v>
      </c>
      <c r="U528" s="5">
        <v>89.05</v>
      </c>
      <c r="V528" s="5">
        <v>89.5</v>
      </c>
      <c r="W528" s="5">
        <v>92800</v>
      </c>
      <c r="Y528" s="6">
        <f t="shared" si="16"/>
        <v>40583</v>
      </c>
      <c r="Z528" s="5">
        <f t="shared" si="17"/>
        <v>4372</v>
      </c>
      <c r="AA528" s="5">
        <v>121.11</v>
      </c>
      <c r="AB528" s="5">
        <v>96.6</v>
      </c>
    </row>
    <row r="529" spans="1:28" x14ac:dyDescent="0.3">
      <c r="A529" s="6">
        <v>38944</v>
      </c>
      <c r="B529" s="7">
        <v>0.66666666666666663</v>
      </c>
      <c r="C529" s="5">
        <v>146</v>
      </c>
      <c r="D529" s="5">
        <v>149</v>
      </c>
      <c r="E529" s="5">
        <v>146</v>
      </c>
      <c r="F529" s="5">
        <v>148.94999999999999</v>
      </c>
      <c r="G529" s="5">
        <v>3100</v>
      </c>
      <c r="I529" s="6">
        <v>40584</v>
      </c>
      <c r="J529" s="7">
        <v>0.66666666666666663</v>
      </c>
      <c r="K529" s="5">
        <v>4372</v>
      </c>
      <c r="L529" s="5">
        <v>4440</v>
      </c>
      <c r="M529" s="5">
        <v>4153.3999000000003</v>
      </c>
      <c r="N529" s="5">
        <v>4340.5298000000003</v>
      </c>
      <c r="O529" s="5">
        <v>4688</v>
      </c>
      <c r="Q529" s="6">
        <v>38924</v>
      </c>
      <c r="R529" s="7">
        <v>0.66666666666666663</v>
      </c>
      <c r="S529" s="5">
        <v>89.5</v>
      </c>
      <c r="T529" s="5">
        <v>90.2</v>
      </c>
      <c r="U529" s="5">
        <v>87.5</v>
      </c>
      <c r="V529" s="5">
        <v>87.8</v>
      </c>
      <c r="W529" s="5">
        <v>113700</v>
      </c>
      <c r="Y529" s="6">
        <f t="shared" si="16"/>
        <v>40584</v>
      </c>
      <c r="Z529" s="5">
        <f t="shared" si="17"/>
        <v>4340.5298000000003</v>
      </c>
      <c r="AA529" s="5">
        <v>119.12</v>
      </c>
      <c r="AB529" s="5">
        <v>95.08</v>
      </c>
    </row>
    <row r="530" spans="1:28" x14ac:dyDescent="0.3">
      <c r="A530" s="6">
        <v>38945</v>
      </c>
      <c r="B530" s="7">
        <v>0.66666666666666663</v>
      </c>
      <c r="C530" s="5">
        <v>147</v>
      </c>
      <c r="D530" s="5">
        <v>148.44999999999999</v>
      </c>
      <c r="E530" s="5">
        <v>145</v>
      </c>
      <c r="F530" s="5">
        <v>148.44999999999999</v>
      </c>
      <c r="G530" s="5">
        <v>20100</v>
      </c>
      <c r="I530" s="6">
        <v>40585</v>
      </c>
      <c r="J530" s="7">
        <v>0.66666666666666663</v>
      </c>
      <c r="K530" s="5">
        <v>4340.5298000000003</v>
      </c>
      <c r="L530" s="5">
        <v>4384.46</v>
      </c>
      <c r="M530" s="5">
        <v>4125.0200000000004</v>
      </c>
      <c r="N530" s="5">
        <v>4145.5</v>
      </c>
      <c r="O530" s="5">
        <v>121</v>
      </c>
      <c r="Q530" s="6">
        <v>38925</v>
      </c>
      <c r="R530" s="7">
        <v>0.66666666666666663</v>
      </c>
      <c r="S530" s="5">
        <v>87.8</v>
      </c>
      <c r="T530" s="5">
        <v>90</v>
      </c>
      <c r="U530" s="5">
        <v>87.8</v>
      </c>
      <c r="V530" s="5">
        <v>87.9</v>
      </c>
      <c r="W530" s="5">
        <v>217200</v>
      </c>
      <c r="Y530" s="6">
        <f t="shared" si="16"/>
        <v>40585</v>
      </c>
      <c r="Z530" s="5">
        <f t="shared" si="17"/>
        <v>4145.5</v>
      </c>
      <c r="AA530" s="5">
        <v>114.06</v>
      </c>
      <c r="AB530" s="5">
        <v>94.08</v>
      </c>
    </row>
    <row r="531" spans="1:28" x14ac:dyDescent="0.3">
      <c r="A531" s="6">
        <v>38946</v>
      </c>
      <c r="B531" s="7">
        <v>0.66666666666666663</v>
      </c>
      <c r="C531" s="5">
        <v>147</v>
      </c>
      <c r="D531" s="5">
        <v>148.94999999999999</v>
      </c>
      <c r="E531" s="5">
        <v>146.5</v>
      </c>
      <c r="F531" s="5">
        <v>146.5</v>
      </c>
      <c r="G531" s="5">
        <v>3000</v>
      </c>
      <c r="I531" s="6">
        <v>40588</v>
      </c>
      <c r="J531" s="7">
        <v>0.66666666666666663</v>
      </c>
      <c r="K531" s="5">
        <v>4145.5</v>
      </c>
      <c r="L531" s="5">
        <v>4298.9902000000002</v>
      </c>
      <c r="M531" s="5">
        <v>4005.01</v>
      </c>
      <c r="N531" s="5">
        <v>4229.5497999999998</v>
      </c>
      <c r="O531" s="5">
        <v>153</v>
      </c>
      <c r="Q531" s="6">
        <v>38926</v>
      </c>
      <c r="R531" s="7">
        <v>0.66666666666666663</v>
      </c>
      <c r="S531" s="5">
        <v>87.9</v>
      </c>
      <c r="T531" s="5">
        <v>88.9</v>
      </c>
      <c r="U531" s="5">
        <v>87</v>
      </c>
      <c r="V531" s="5">
        <v>87.35</v>
      </c>
      <c r="W531" s="5">
        <v>275100</v>
      </c>
      <c r="Y531" s="6">
        <f t="shared" si="16"/>
        <v>40588</v>
      </c>
      <c r="Z531" s="5">
        <f t="shared" si="17"/>
        <v>4229.5497999999998</v>
      </c>
      <c r="AA531" s="5">
        <v>115.15</v>
      </c>
      <c r="AB531" s="5">
        <v>92.9</v>
      </c>
    </row>
    <row r="532" spans="1:28" x14ac:dyDescent="0.3">
      <c r="A532" s="6">
        <v>38947</v>
      </c>
      <c r="B532" s="7">
        <v>0.66666666666666663</v>
      </c>
      <c r="C532" s="5">
        <v>148</v>
      </c>
      <c r="D532" s="5">
        <v>148</v>
      </c>
      <c r="E532" s="5">
        <v>146.4</v>
      </c>
      <c r="F532" s="5">
        <v>147</v>
      </c>
      <c r="G532" s="5">
        <v>3700</v>
      </c>
      <c r="I532" s="6">
        <v>40589</v>
      </c>
      <c r="J532" s="7">
        <v>0.66666666666666663</v>
      </c>
      <c r="K532" s="5">
        <v>4229.5497999999998</v>
      </c>
      <c r="L532" s="5">
        <v>4436.9502000000002</v>
      </c>
      <c r="M532" s="5">
        <v>4225</v>
      </c>
      <c r="N532" s="5">
        <v>4244.0698000000002</v>
      </c>
      <c r="O532" s="5">
        <v>120</v>
      </c>
      <c r="Q532" s="6">
        <v>38929</v>
      </c>
      <c r="R532" s="7">
        <v>0.66666666666666663</v>
      </c>
      <c r="S532" s="5">
        <v>88.25</v>
      </c>
      <c r="T532" s="5">
        <v>91.7</v>
      </c>
      <c r="U532" s="5">
        <v>88.25</v>
      </c>
      <c r="V532" s="5">
        <v>91.7</v>
      </c>
      <c r="W532" s="5">
        <v>521300</v>
      </c>
      <c r="Y532" s="6">
        <f t="shared" si="16"/>
        <v>40589</v>
      </c>
      <c r="Z532" s="5">
        <f t="shared" si="17"/>
        <v>4244.0698000000002</v>
      </c>
      <c r="AA532" s="5">
        <v>116.91</v>
      </c>
      <c r="AB532" s="5">
        <v>94.25</v>
      </c>
    </row>
    <row r="533" spans="1:28" x14ac:dyDescent="0.3">
      <c r="A533" s="6">
        <v>38950</v>
      </c>
      <c r="B533" s="7">
        <v>0.66666666666666663</v>
      </c>
      <c r="C533" s="5">
        <v>147</v>
      </c>
      <c r="D533" s="5">
        <v>147</v>
      </c>
      <c r="E533" s="5">
        <v>145</v>
      </c>
      <c r="F533" s="5">
        <v>145.15</v>
      </c>
      <c r="G533" s="5">
        <v>4600</v>
      </c>
      <c r="I533" s="6">
        <v>40591</v>
      </c>
      <c r="J533" s="7">
        <v>0.66666666666666663</v>
      </c>
      <c r="K533" s="5">
        <v>4244.0698000000002</v>
      </c>
      <c r="L533" s="5">
        <v>4456.2700000000004</v>
      </c>
      <c r="M533" s="5">
        <v>4210.0097999999998</v>
      </c>
      <c r="N533" s="5">
        <v>4456.2700000000004</v>
      </c>
      <c r="O533" s="5">
        <v>4851</v>
      </c>
      <c r="Q533" s="6">
        <v>38930</v>
      </c>
      <c r="R533" s="7">
        <v>0.66666666666666663</v>
      </c>
      <c r="S533" s="5">
        <v>92.2</v>
      </c>
      <c r="T533" s="5">
        <v>95.85</v>
      </c>
      <c r="U533" s="5">
        <v>92.2</v>
      </c>
      <c r="V533" s="5">
        <v>93</v>
      </c>
      <c r="W533" s="5">
        <v>628500</v>
      </c>
      <c r="Y533" s="6">
        <f t="shared" si="16"/>
        <v>40591</v>
      </c>
      <c r="Z533" s="5">
        <f t="shared" si="17"/>
        <v>4456.2700000000004</v>
      </c>
      <c r="AA533" s="5">
        <v>115.74</v>
      </c>
      <c r="AB533" s="5">
        <v>95</v>
      </c>
    </row>
    <row r="534" spans="1:28" x14ac:dyDescent="0.3">
      <c r="A534" s="6">
        <v>38951</v>
      </c>
      <c r="B534" s="7">
        <v>0.66666666666666663</v>
      </c>
      <c r="C534" s="5">
        <v>148.94999999999999</v>
      </c>
      <c r="D534" s="5">
        <v>148.94999999999999</v>
      </c>
      <c r="E534" s="5">
        <v>144.5</v>
      </c>
      <c r="F534" s="5">
        <v>145</v>
      </c>
      <c r="G534" s="5">
        <v>1800</v>
      </c>
      <c r="I534" s="6">
        <v>40592</v>
      </c>
      <c r="J534" s="7">
        <v>0.66666666666666663</v>
      </c>
      <c r="K534" s="5">
        <v>4513</v>
      </c>
      <c r="L534" s="5">
        <v>4679.0801000000001</v>
      </c>
      <c r="M534" s="5">
        <v>4513</v>
      </c>
      <c r="N534" s="5">
        <v>4679.0801000000001</v>
      </c>
      <c r="O534" s="5">
        <v>406</v>
      </c>
      <c r="Q534" s="6">
        <v>38931</v>
      </c>
      <c r="R534" s="7">
        <v>0.66666666666666663</v>
      </c>
      <c r="S534" s="5">
        <v>93</v>
      </c>
      <c r="T534" s="5">
        <v>93.4</v>
      </c>
      <c r="U534" s="5">
        <v>90.1</v>
      </c>
      <c r="V534" s="5">
        <v>91.25</v>
      </c>
      <c r="W534" s="5">
        <v>251700</v>
      </c>
      <c r="Y534" s="6">
        <f t="shared" si="16"/>
        <v>40592</v>
      </c>
      <c r="Z534" s="5">
        <f t="shared" si="17"/>
        <v>4679.0801000000001</v>
      </c>
      <c r="AA534" s="5">
        <v>114.95</v>
      </c>
      <c r="AB534" s="5">
        <v>95.4</v>
      </c>
    </row>
    <row r="535" spans="1:28" x14ac:dyDescent="0.3">
      <c r="A535" s="6">
        <v>38952</v>
      </c>
      <c r="B535" s="7">
        <v>0.66666666666666663</v>
      </c>
      <c r="C535" s="5">
        <v>145</v>
      </c>
      <c r="D535" s="5">
        <v>146</v>
      </c>
      <c r="E535" s="5">
        <v>144</v>
      </c>
      <c r="F535" s="5">
        <v>145.5</v>
      </c>
      <c r="G535" s="5">
        <v>3600</v>
      </c>
      <c r="I535" s="6">
        <v>40595</v>
      </c>
      <c r="J535" s="7">
        <v>0.66666666666666663</v>
      </c>
      <c r="K535" s="5">
        <v>4913</v>
      </c>
      <c r="L535" s="5">
        <v>4913.0298000000003</v>
      </c>
      <c r="M535" s="5">
        <v>4913</v>
      </c>
      <c r="N535" s="5">
        <v>4913.0298000000003</v>
      </c>
      <c r="O535" s="5">
        <v>857</v>
      </c>
      <c r="Q535" s="6">
        <v>38932</v>
      </c>
      <c r="R535" s="7">
        <v>0.66666666666666663</v>
      </c>
      <c r="S535" s="5">
        <v>91.25</v>
      </c>
      <c r="T535" s="5">
        <v>92.9</v>
      </c>
      <c r="U535" s="5">
        <v>91</v>
      </c>
      <c r="V535" s="5">
        <v>91.45</v>
      </c>
      <c r="W535" s="5">
        <v>85400</v>
      </c>
      <c r="Y535" s="6">
        <f t="shared" si="16"/>
        <v>40595</v>
      </c>
      <c r="Z535" s="5">
        <f t="shared" si="17"/>
        <v>4913.0298000000003</v>
      </c>
      <c r="AA535" s="5">
        <v>114.54</v>
      </c>
      <c r="AB535" s="5">
        <v>96.47</v>
      </c>
    </row>
    <row r="536" spans="1:28" x14ac:dyDescent="0.3">
      <c r="A536" s="6">
        <v>38953</v>
      </c>
      <c r="B536" s="7">
        <v>0.66666666666666663</v>
      </c>
      <c r="C536" s="5">
        <v>145.9</v>
      </c>
      <c r="D536" s="5">
        <v>146</v>
      </c>
      <c r="E536" s="5">
        <v>143.1</v>
      </c>
      <c r="F536" s="5">
        <v>143.1</v>
      </c>
      <c r="G536" s="5">
        <v>4400</v>
      </c>
      <c r="I536" s="6">
        <v>40596</v>
      </c>
      <c r="J536" s="7">
        <v>0.66666666666666663</v>
      </c>
      <c r="K536" s="5">
        <v>4913.0298000000003</v>
      </c>
      <c r="L536" s="5">
        <v>5158.6801999999998</v>
      </c>
      <c r="M536" s="5">
        <v>4668</v>
      </c>
      <c r="N536" s="5">
        <v>4729.5497999999998</v>
      </c>
      <c r="O536" s="5">
        <v>374</v>
      </c>
      <c r="Q536" s="6">
        <v>38933</v>
      </c>
      <c r="R536" s="7">
        <v>0.66666666666666663</v>
      </c>
      <c r="S536" s="5">
        <v>91.45</v>
      </c>
      <c r="T536" s="5">
        <v>96</v>
      </c>
      <c r="U536" s="5">
        <v>91</v>
      </c>
      <c r="V536" s="5">
        <v>96</v>
      </c>
      <c r="W536" s="5">
        <v>592200</v>
      </c>
      <c r="Y536" s="6">
        <f t="shared" si="16"/>
        <v>40596</v>
      </c>
      <c r="Z536" s="5">
        <f t="shared" si="17"/>
        <v>4729.5497999999998</v>
      </c>
      <c r="AA536" s="5">
        <v>108.83</v>
      </c>
      <c r="AB536" s="5">
        <v>91.65</v>
      </c>
    </row>
    <row r="537" spans="1:28" x14ac:dyDescent="0.3">
      <c r="A537" s="6">
        <v>38954</v>
      </c>
      <c r="B537" s="7">
        <v>0.66666666666666663</v>
      </c>
      <c r="C537" s="5">
        <v>142.5</v>
      </c>
      <c r="D537" s="5">
        <v>144.80000000000001</v>
      </c>
      <c r="E537" s="5">
        <v>140</v>
      </c>
      <c r="F537" s="5">
        <v>140</v>
      </c>
      <c r="G537" s="5">
        <v>7500</v>
      </c>
      <c r="I537" s="6">
        <v>40597</v>
      </c>
      <c r="J537" s="7">
        <v>0.66666666666666663</v>
      </c>
      <c r="K537" s="5">
        <v>4729.5497999999998</v>
      </c>
      <c r="L537" s="5">
        <v>4799.9799999999996</v>
      </c>
      <c r="M537" s="5">
        <v>4700</v>
      </c>
      <c r="N537" s="5">
        <v>4703.3798999999999</v>
      </c>
      <c r="O537" s="5">
        <v>160</v>
      </c>
      <c r="Q537" s="6">
        <v>38936</v>
      </c>
      <c r="R537" s="7">
        <v>0.66666666666666663</v>
      </c>
      <c r="S537" s="5">
        <v>97.55</v>
      </c>
      <c r="T537" s="5">
        <v>100.8</v>
      </c>
      <c r="U537" s="5">
        <v>97.55</v>
      </c>
      <c r="V537" s="5">
        <v>100.8</v>
      </c>
      <c r="W537" s="5">
        <v>591500</v>
      </c>
      <c r="Y537" s="6">
        <f t="shared" si="16"/>
        <v>40597</v>
      </c>
      <c r="Z537" s="5">
        <f t="shared" si="17"/>
        <v>4703.3798999999999</v>
      </c>
      <c r="AA537" s="5">
        <v>103.75</v>
      </c>
      <c r="AB537" s="5">
        <v>87.07</v>
      </c>
    </row>
    <row r="538" spans="1:28" x14ac:dyDescent="0.3">
      <c r="A538" s="6">
        <v>38957</v>
      </c>
      <c r="B538" s="7">
        <v>0.66666666666666663</v>
      </c>
      <c r="C538" s="5">
        <v>138</v>
      </c>
      <c r="D538" s="5">
        <v>144.5</v>
      </c>
      <c r="E538" s="5">
        <v>138</v>
      </c>
      <c r="F538" s="5">
        <v>142.5</v>
      </c>
      <c r="G538" s="5">
        <v>1100</v>
      </c>
      <c r="I538" s="6">
        <v>40598</v>
      </c>
      <c r="J538" s="7">
        <v>0.66666666666666663</v>
      </c>
      <c r="K538" s="5">
        <v>4703.3798999999999</v>
      </c>
      <c r="L538" s="5">
        <v>4844.9902000000002</v>
      </c>
      <c r="M538" s="5">
        <v>4701</v>
      </c>
      <c r="N538" s="5">
        <v>4794.8500999999997</v>
      </c>
      <c r="O538" s="5">
        <v>244</v>
      </c>
      <c r="Q538" s="6">
        <v>38937</v>
      </c>
      <c r="R538" s="7">
        <v>0.66666666666666663</v>
      </c>
      <c r="S538" s="5">
        <v>104</v>
      </c>
      <c r="T538" s="5">
        <v>105.8</v>
      </c>
      <c r="U538" s="5">
        <v>104</v>
      </c>
      <c r="V538" s="5">
        <v>105.8</v>
      </c>
      <c r="W538" s="5">
        <v>301400</v>
      </c>
      <c r="Y538" s="6">
        <f t="shared" si="16"/>
        <v>40598</v>
      </c>
      <c r="Z538" s="5">
        <f t="shared" si="17"/>
        <v>4794.8500999999997</v>
      </c>
      <c r="AA538" s="5">
        <v>103.69</v>
      </c>
      <c r="AB538" s="5">
        <v>82.72</v>
      </c>
    </row>
    <row r="539" spans="1:28" x14ac:dyDescent="0.3">
      <c r="A539" s="6">
        <v>38958</v>
      </c>
      <c r="B539" s="7">
        <v>0.66666666666666663</v>
      </c>
      <c r="C539" s="5">
        <v>142.5</v>
      </c>
      <c r="D539" s="5">
        <v>142.75</v>
      </c>
      <c r="E539" s="5">
        <v>140.1</v>
      </c>
      <c r="F539" s="5">
        <v>142.75</v>
      </c>
      <c r="G539" s="5">
        <v>2400</v>
      </c>
      <c r="I539" s="6">
        <v>40599</v>
      </c>
      <c r="J539" s="7">
        <v>0.66666666666666663</v>
      </c>
      <c r="K539" s="5">
        <v>4794.8500999999997</v>
      </c>
      <c r="L539" s="5">
        <v>4840</v>
      </c>
      <c r="M539" s="5">
        <v>4555.1099000000004</v>
      </c>
      <c r="N539" s="5">
        <v>4555.4198999999999</v>
      </c>
      <c r="O539" s="5">
        <v>303</v>
      </c>
      <c r="Q539" s="6">
        <v>38938</v>
      </c>
      <c r="R539" s="7">
        <v>0.66666666666666663</v>
      </c>
      <c r="S539" s="5">
        <v>106</v>
      </c>
      <c r="T539" s="5">
        <v>111.05</v>
      </c>
      <c r="U539" s="5">
        <v>106</v>
      </c>
      <c r="V539" s="5">
        <v>109</v>
      </c>
      <c r="W539" s="5">
        <v>861700</v>
      </c>
      <c r="Y539" s="6">
        <f t="shared" si="16"/>
        <v>40599</v>
      </c>
      <c r="Z539" s="5">
        <f t="shared" si="17"/>
        <v>4555.4198999999999</v>
      </c>
      <c r="AA539" s="5">
        <v>98.54</v>
      </c>
      <c r="AB539" s="5">
        <v>78.63</v>
      </c>
    </row>
    <row r="540" spans="1:28" x14ac:dyDescent="0.3">
      <c r="A540" s="6">
        <v>38959</v>
      </c>
      <c r="B540" s="7">
        <v>0.66666666666666663</v>
      </c>
      <c r="C540" s="5">
        <v>142.75</v>
      </c>
      <c r="D540" s="5">
        <v>143.5</v>
      </c>
      <c r="E540" s="5">
        <v>142.05000000000001</v>
      </c>
      <c r="F540" s="5">
        <v>143.5</v>
      </c>
      <c r="G540" s="5">
        <v>1500</v>
      </c>
      <c r="I540" s="6">
        <v>40602</v>
      </c>
      <c r="J540" s="7">
        <v>0.66666666666666663</v>
      </c>
      <c r="K540" s="5">
        <v>4565</v>
      </c>
      <c r="L540" s="5">
        <v>4667.8999000000003</v>
      </c>
      <c r="M540" s="5">
        <v>4565</v>
      </c>
      <c r="N540" s="5">
        <v>4658.2002000000002</v>
      </c>
      <c r="O540" s="5">
        <v>20</v>
      </c>
      <c r="Q540" s="6">
        <v>38939</v>
      </c>
      <c r="R540" s="7">
        <v>0.66666666666666663</v>
      </c>
      <c r="S540" s="5">
        <v>109</v>
      </c>
      <c r="T540" s="5">
        <v>112.95</v>
      </c>
      <c r="U540" s="5">
        <v>104</v>
      </c>
      <c r="V540" s="5">
        <v>107.5</v>
      </c>
      <c r="W540" s="5">
        <v>1466300</v>
      </c>
      <c r="Y540" s="6">
        <f t="shared" si="16"/>
        <v>40602</v>
      </c>
      <c r="Z540" s="5">
        <f t="shared" si="17"/>
        <v>4658.2002000000002</v>
      </c>
      <c r="AA540" s="5">
        <v>103.46</v>
      </c>
      <c r="AB540" s="5">
        <v>80.05</v>
      </c>
    </row>
    <row r="541" spans="1:28" x14ac:dyDescent="0.3">
      <c r="A541" s="6">
        <v>38960</v>
      </c>
      <c r="B541" s="7">
        <v>0.66666666666666663</v>
      </c>
      <c r="C541" s="5">
        <v>140.1</v>
      </c>
      <c r="D541" s="5">
        <v>143</v>
      </c>
      <c r="E541" s="5">
        <v>140</v>
      </c>
      <c r="F541" s="5">
        <v>143</v>
      </c>
      <c r="G541" s="5">
        <v>1900</v>
      </c>
      <c r="I541" s="6">
        <v>40603</v>
      </c>
      <c r="J541" s="7">
        <v>0.66666666666666663</v>
      </c>
      <c r="K541" s="5">
        <v>4658.2002000000002</v>
      </c>
      <c r="L541" s="5">
        <v>4881.9902000000002</v>
      </c>
      <c r="M541" s="5">
        <v>4633.1000999999997</v>
      </c>
      <c r="N541" s="5">
        <v>4682.1201000000001</v>
      </c>
      <c r="O541" s="5">
        <v>72</v>
      </c>
      <c r="Q541" s="6">
        <v>38940</v>
      </c>
      <c r="R541" s="7">
        <v>0.66666666666666663</v>
      </c>
      <c r="S541" s="5">
        <v>107.5</v>
      </c>
      <c r="T541" s="5">
        <v>108.9</v>
      </c>
      <c r="U541" s="5">
        <v>102.5</v>
      </c>
      <c r="V541" s="5">
        <v>107.25</v>
      </c>
      <c r="W541" s="5">
        <v>579800</v>
      </c>
      <c r="Y541" s="6">
        <f t="shared" si="16"/>
        <v>40603</v>
      </c>
      <c r="Z541" s="5">
        <f t="shared" si="17"/>
        <v>4682.1201000000001</v>
      </c>
      <c r="AA541" s="5">
        <v>108.63</v>
      </c>
      <c r="AB541" s="5">
        <v>81.8</v>
      </c>
    </row>
    <row r="542" spans="1:28" x14ac:dyDescent="0.3">
      <c r="A542" s="6">
        <v>38961</v>
      </c>
      <c r="B542" s="7">
        <v>0.66666666666666663</v>
      </c>
      <c r="C542" s="5">
        <v>142.9</v>
      </c>
      <c r="D542" s="5">
        <v>142.94999999999999</v>
      </c>
      <c r="E542" s="5">
        <v>139</v>
      </c>
      <c r="F542" s="5">
        <v>141</v>
      </c>
      <c r="G542" s="5">
        <v>1100</v>
      </c>
      <c r="I542" s="6">
        <v>40604</v>
      </c>
      <c r="J542" s="7">
        <v>0.66666666666666663</v>
      </c>
      <c r="K542" s="5">
        <v>4682.1201000000001</v>
      </c>
      <c r="L542" s="5">
        <v>4779.8798999999999</v>
      </c>
      <c r="M542" s="5">
        <v>4500</v>
      </c>
      <c r="N542" s="5">
        <v>4521.96</v>
      </c>
      <c r="O542" s="5">
        <v>70</v>
      </c>
      <c r="Q542" s="6">
        <v>38944</v>
      </c>
      <c r="R542" s="7">
        <v>0.66666666666666663</v>
      </c>
      <c r="S542" s="5">
        <v>107.25</v>
      </c>
      <c r="T542" s="5">
        <v>109.5</v>
      </c>
      <c r="U542" s="5">
        <v>107</v>
      </c>
      <c r="V542" s="5">
        <v>107</v>
      </c>
      <c r="W542" s="5">
        <v>528300</v>
      </c>
      <c r="Y542" s="6">
        <f t="shared" si="16"/>
        <v>40604</v>
      </c>
      <c r="Z542" s="5">
        <f t="shared" si="17"/>
        <v>4521.96</v>
      </c>
      <c r="AA542" s="5">
        <v>111.69</v>
      </c>
      <c r="AB542" s="5">
        <v>81.53</v>
      </c>
    </row>
    <row r="543" spans="1:28" x14ac:dyDescent="0.3">
      <c r="A543" s="6">
        <v>38964</v>
      </c>
      <c r="B543" s="7">
        <v>0.66666666666666663</v>
      </c>
      <c r="C543" s="5">
        <v>141</v>
      </c>
      <c r="D543" s="5">
        <v>141</v>
      </c>
      <c r="E543" s="5">
        <v>140</v>
      </c>
      <c r="F543" s="5">
        <v>140</v>
      </c>
      <c r="G543" s="5">
        <v>1500</v>
      </c>
      <c r="I543" s="6">
        <v>40609</v>
      </c>
      <c r="J543" s="7">
        <v>0.66666666666666663</v>
      </c>
      <c r="K543" s="5">
        <v>4660</v>
      </c>
      <c r="L543" s="5">
        <v>4800</v>
      </c>
      <c r="M543" s="5">
        <v>4660</v>
      </c>
      <c r="N543" s="5">
        <v>4713.3701000000001</v>
      </c>
      <c r="O543" s="5">
        <v>61</v>
      </c>
      <c r="Q543" s="6">
        <v>38945</v>
      </c>
      <c r="R543" s="7">
        <v>0.66666666666666663</v>
      </c>
      <c r="S543" s="5">
        <v>107</v>
      </c>
      <c r="T543" s="5">
        <v>110.9</v>
      </c>
      <c r="U543" s="5">
        <v>105.3</v>
      </c>
      <c r="V543" s="5">
        <v>109</v>
      </c>
      <c r="W543" s="5">
        <v>934000</v>
      </c>
      <c r="Y543" s="6">
        <f t="shared" si="16"/>
        <v>40609</v>
      </c>
      <c r="Z543" s="5">
        <f t="shared" si="17"/>
        <v>4713.3701000000001</v>
      </c>
      <c r="AA543" s="5">
        <v>119.16</v>
      </c>
      <c r="AB543" s="5">
        <v>82.87</v>
      </c>
    </row>
    <row r="544" spans="1:28" x14ac:dyDescent="0.3">
      <c r="A544" s="6">
        <v>38965</v>
      </c>
      <c r="B544" s="7">
        <v>0.66666666666666663</v>
      </c>
      <c r="C544" s="5">
        <v>138.25</v>
      </c>
      <c r="D544" s="5">
        <v>139</v>
      </c>
      <c r="E544" s="5">
        <v>136.1</v>
      </c>
      <c r="F544" s="5">
        <v>138</v>
      </c>
      <c r="G544" s="5">
        <v>5100</v>
      </c>
      <c r="I544" s="6">
        <v>40610</v>
      </c>
      <c r="J544" s="7">
        <v>0.66666666666666663</v>
      </c>
      <c r="K544" s="5">
        <v>4713.3701000000001</v>
      </c>
      <c r="L544" s="5">
        <v>4788.0897999999997</v>
      </c>
      <c r="M544" s="5">
        <v>4625.1000999999997</v>
      </c>
      <c r="N544" s="5">
        <v>4679.1298999999999</v>
      </c>
      <c r="O544" s="5">
        <v>8</v>
      </c>
      <c r="Q544" s="6">
        <v>38946</v>
      </c>
      <c r="R544" s="7">
        <v>0.66666666666666663</v>
      </c>
      <c r="S544" s="5">
        <v>109</v>
      </c>
      <c r="T544" s="5">
        <v>112</v>
      </c>
      <c r="U544" s="5">
        <v>108.5</v>
      </c>
      <c r="V544" s="5">
        <v>110</v>
      </c>
      <c r="W544" s="5">
        <v>891900</v>
      </c>
      <c r="Y544" s="6">
        <f t="shared" si="16"/>
        <v>40610</v>
      </c>
      <c r="Z544" s="5">
        <f t="shared" si="17"/>
        <v>4679.1298999999999</v>
      </c>
      <c r="AA544" s="5">
        <v>120.89</v>
      </c>
      <c r="AB544" s="5">
        <v>83.41</v>
      </c>
    </row>
    <row r="545" spans="1:28" x14ac:dyDescent="0.3">
      <c r="A545" s="6">
        <v>38966</v>
      </c>
      <c r="B545" s="7">
        <v>0.66666666666666663</v>
      </c>
      <c r="C545" s="5">
        <v>136.6</v>
      </c>
      <c r="D545" s="5">
        <v>138</v>
      </c>
      <c r="E545" s="5">
        <v>136.6</v>
      </c>
      <c r="F545" s="5">
        <v>138</v>
      </c>
      <c r="G545" s="5">
        <v>3500</v>
      </c>
      <c r="I545" s="6">
        <v>40611</v>
      </c>
      <c r="J545" s="7">
        <v>0.66666666666666663</v>
      </c>
      <c r="K545" s="5">
        <v>4679.1298999999999</v>
      </c>
      <c r="L545" s="5">
        <v>4799</v>
      </c>
      <c r="M545" s="5">
        <v>4630.0097999999998</v>
      </c>
      <c r="N545" s="5">
        <v>4726.1698999999999</v>
      </c>
      <c r="O545" s="5">
        <v>7</v>
      </c>
      <c r="Q545" s="6">
        <v>38947</v>
      </c>
      <c r="R545" s="7">
        <v>0.66666666666666663</v>
      </c>
      <c r="S545" s="5">
        <v>110</v>
      </c>
      <c r="T545" s="5">
        <v>110.65</v>
      </c>
      <c r="U545" s="5">
        <v>106.1</v>
      </c>
      <c r="V545" s="5">
        <v>107</v>
      </c>
      <c r="W545" s="5">
        <v>285500</v>
      </c>
      <c r="Y545" s="6">
        <f t="shared" si="16"/>
        <v>40611</v>
      </c>
      <c r="Z545" s="5">
        <f t="shared" si="17"/>
        <v>4726.1698999999999</v>
      </c>
      <c r="AA545" s="5">
        <v>120.09</v>
      </c>
      <c r="AB545" s="5">
        <v>84.55</v>
      </c>
    </row>
    <row r="546" spans="1:28" x14ac:dyDescent="0.3">
      <c r="A546" s="6">
        <v>38967</v>
      </c>
      <c r="B546" s="7">
        <v>0.66666666666666663</v>
      </c>
      <c r="C546" s="5">
        <v>137.5</v>
      </c>
      <c r="D546" s="5">
        <v>138.5</v>
      </c>
      <c r="E546" s="5">
        <v>137.1</v>
      </c>
      <c r="F546" s="5">
        <v>137.30000000000001</v>
      </c>
      <c r="G546" s="5">
        <v>4600</v>
      </c>
      <c r="I546" s="6">
        <v>40612</v>
      </c>
      <c r="J546" s="7">
        <v>0.66666666666666663</v>
      </c>
      <c r="K546" s="5">
        <v>4726.1698999999999</v>
      </c>
      <c r="L546" s="5">
        <v>4800</v>
      </c>
      <c r="M546" s="5">
        <v>4657.1000999999997</v>
      </c>
      <c r="N546" s="5">
        <v>4793.1602000000003</v>
      </c>
      <c r="O546" s="5">
        <v>44</v>
      </c>
      <c r="Q546" s="6">
        <v>38950</v>
      </c>
      <c r="R546" s="7">
        <v>0.66666666666666663</v>
      </c>
      <c r="S546" s="5">
        <v>107</v>
      </c>
      <c r="T546" s="5">
        <v>108.5</v>
      </c>
      <c r="U546" s="5">
        <v>104.6</v>
      </c>
      <c r="V546" s="5">
        <v>105.95</v>
      </c>
      <c r="W546" s="5">
        <v>238700</v>
      </c>
      <c r="Y546" s="6">
        <f t="shared" si="16"/>
        <v>40612</v>
      </c>
      <c r="Z546" s="5">
        <f t="shared" si="17"/>
        <v>4793.1602000000003</v>
      </c>
      <c r="AA546" s="5">
        <v>120.09</v>
      </c>
      <c r="AB546" s="5">
        <v>86.42</v>
      </c>
    </row>
    <row r="547" spans="1:28" x14ac:dyDescent="0.3">
      <c r="A547" s="6">
        <v>38968</v>
      </c>
      <c r="B547" s="7">
        <v>0.66666666666666663</v>
      </c>
      <c r="C547" s="5">
        <v>137</v>
      </c>
      <c r="D547" s="5">
        <v>138</v>
      </c>
      <c r="E547" s="5">
        <v>137</v>
      </c>
      <c r="F547" s="5">
        <v>138</v>
      </c>
      <c r="G547" s="5">
        <v>2000</v>
      </c>
      <c r="I547" s="6">
        <v>40613</v>
      </c>
      <c r="J547" s="7">
        <v>0.66666666666666663</v>
      </c>
      <c r="K547" s="5">
        <v>4793.1602000000003</v>
      </c>
      <c r="L547" s="5">
        <v>4947</v>
      </c>
      <c r="M547" s="5">
        <v>4600.1099000000004</v>
      </c>
      <c r="N547" s="5">
        <v>4759.8397999999997</v>
      </c>
      <c r="O547" s="5">
        <v>27</v>
      </c>
      <c r="Q547" s="6">
        <v>38951</v>
      </c>
      <c r="R547" s="7">
        <v>0.66666666666666663</v>
      </c>
      <c r="S547" s="5">
        <v>105.95</v>
      </c>
      <c r="T547" s="5">
        <v>107</v>
      </c>
      <c r="U547" s="5">
        <v>100.7</v>
      </c>
      <c r="V547" s="5">
        <v>100.7</v>
      </c>
      <c r="W547" s="5">
        <v>292100</v>
      </c>
      <c r="Y547" s="6">
        <f t="shared" si="16"/>
        <v>40613</v>
      </c>
      <c r="Z547" s="5">
        <f t="shared" si="17"/>
        <v>4759.8397999999997</v>
      </c>
      <c r="AA547" s="5">
        <v>118.87</v>
      </c>
      <c r="AB547" s="5">
        <v>85.37</v>
      </c>
    </row>
    <row r="548" spans="1:28" x14ac:dyDescent="0.3">
      <c r="A548" s="6">
        <v>38971</v>
      </c>
      <c r="B548" s="7">
        <v>0.66666666666666663</v>
      </c>
      <c r="C548" s="5">
        <v>138</v>
      </c>
      <c r="D548" s="5">
        <v>140</v>
      </c>
      <c r="E548" s="5">
        <v>138</v>
      </c>
      <c r="F548" s="5">
        <v>139</v>
      </c>
      <c r="G548" s="5">
        <v>2800</v>
      </c>
      <c r="I548" s="6">
        <v>40616</v>
      </c>
      <c r="J548" s="7">
        <v>0.66666666666666663</v>
      </c>
      <c r="K548" s="5">
        <v>4759.8397999999997</v>
      </c>
      <c r="L548" s="5">
        <v>4869.9902000000002</v>
      </c>
      <c r="M548" s="5">
        <v>4650.5600999999997</v>
      </c>
      <c r="N548" s="5">
        <v>4850.75</v>
      </c>
      <c r="O548" s="5">
        <v>88</v>
      </c>
      <c r="Q548" s="6">
        <v>38952</v>
      </c>
      <c r="R548" s="7">
        <v>0.66666666666666663</v>
      </c>
      <c r="S548" s="5">
        <v>100.7</v>
      </c>
      <c r="T548" s="5">
        <v>101</v>
      </c>
      <c r="U548" s="5">
        <v>96</v>
      </c>
      <c r="V548" s="5">
        <v>99.8</v>
      </c>
      <c r="W548" s="5">
        <v>473500</v>
      </c>
      <c r="Y548" s="6">
        <f t="shared" si="16"/>
        <v>40616</v>
      </c>
      <c r="Z548" s="5">
        <f t="shared" si="17"/>
        <v>4850.75</v>
      </c>
      <c r="AA548" s="5">
        <v>118.47</v>
      </c>
      <c r="AB548" s="5">
        <v>88</v>
      </c>
    </row>
    <row r="549" spans="1:28" x14ac:dyDescent="0.3">
      <c r="A549" s="6">
        <v>38972</v>
      </c>
      <c r="B549" s="7">
        <v>0.66666666666666663</v>
      </c>
      <c r="C549" s="5">
        <v>140</v>
      </c>
      <c r="D549" s="5">
        <v>141</v>
      </c>
      <c r="E549" s="5">
        <v>139.30000000000001</v>
      </c>
      <c r="F549" s="5">
        <v>141</v>
      </c>
      <c r="G549" s="5">
        <v>8500</v>
      </c>
      <c r="I549" s="6">
        <v>40617</v>
      </c>
      <c r="J549" s="7">
        <v>0.66666666666666663</v>
      </c>
      <c r="K549" s="5">
        <v>4850.75</v>
      </c>
      <c r="L549" s="5">
        <v>5091.9902000000002</v>
      </c>
      <c r="M549" s="5">
        <v>4700.3999000000003</v>
      </c>
      <c r="N549" s="5">
        <v>4924.3100999999997</v>
      </c>
      <c r="O549" s="5">
        <v>195</v>
      </c>
      <c r="Q549" s="6">
        <v>38953</v>
      </c>
      <c r="R549" s="7">
        <v>0.66666666666666663</v>
      </c>
      <c r="S549" s="5">
        <v>99.8</v>
      </c>
      <c r="T549" s="5">
        <v>101</v>
      </c>
      <c r="U549" s="5">
        <v>95</v>
      </c>
      <c r="V549" s="5">
        <v>95.9</v>
      </c>
      <c r="W549" s="5">
        <v>217900</v>
      </c>
      <c r="Y549" s="6">
        <f t="shared" si="16"/>
        <v>40617</v>
      </c>
      <c r="Z549" s="5">
        <f t="shared" si="17"/>
        <v>4924.3100999999997</v>
      </c>
      <c r="AA549" s="5">
        <v>116.56</v>
      </c>
      <c r="AB549" s="5">
        <v>87.69</v>
      </c>
    </row>
    <row r="550" spans="1:28" x14ac:dyDescent="0.3">
      <c r="A550" s="6">
        <v>38973</v>
      </c>
      <c r="B550" s="7">
        <v>0.66666666666666663</v>
      </c>
      <c r="C550" s="5">
        <v>142.9</v>
      </c>
      <c r="D550" s="5">
        <v>142.9</v>
      </c>
      <c r="E550" s="5">
        <v>140</v>
      </c>
      <c r="F550" s="5">
        <v>141.44999999999999</v>
      </c>
      <c r="G550" s="5">
        <v>4300</v>
      </c>
      <c r="I550" s="6">
        <v>40618</v>
      </c>
      <c r="J550" s="7">
        <v>0.66666666666666663</v>
      </c>
      <c r="K550" s="5">
        <v>4924.3100999999997</v>
      </c>
      <c r="L550" s="5">
        <v>5100</v>
      </c>
      <c r="M550" s="5">
        <v>4850</v>
      </c>
      <c r="N550" s="5">
        <v>4956.75</v>
      </c>
      <c r="O550" s="5">
        <v>26</v>
      </c>
      <c r="Q550" s="6">
        <v>38954</v>
      </c>
      <c r="R550" s="7">
        <v>0.66666666666666663</v>
      </c>
      <c r="S550" s="5">
        <v>95.9</v>
      </c>
      <c r="T550" s="5">
        <v>95.9</v>
      </c>
      <c r="U550" s="5">
        <v>91.15</v>
      </c>
      <c r="V550" s="5">
        <v>91.15</v>
      </c>
      <c r="W550" s="5">
        <v>205400</v>
      </c>
      <c r="Y550" s="6">
        <f t="shared" si="16"/>
        <v>40618</v>
      </c>
      <c r="Z550" s="5">
        <f t="shared" si="17"/>
        <v>4956.75</v>
      </c>
      <c r="AA550" s="5">
        <v>122.33</v>
      </c>
      <c r="AB550" s="5">
        <v>87.49</v>
      </c>
    </row>
    <row r="551" spans="1:28" x14ac:dyDescent="0.3">
      <c r="A551" s="6">
        <v>38974</v>
      </c>
      <c r="B551" s="7">
        <v>0.66666666666666663</v>
      </c>
      <c r="C551" s="5">
        <v>141</v>
      </c>
      <c r="D551" s="5">
        <v>141</v>
      </c>
      <c r="E551" s="5">
        <v>139.5</v>
      </c>
      <c r="F551" s="5">
        <v>140</v>
      </c>
      <c r="G551" s="5">
        <v>1800</v>
      </c>
      <c r="I551" s="6">
        <v>40619</v>
      </c>
      <c r="J551" s="7">
        <v>0.66666666666666663</v>
      </c>
      <c r="K551" s="5">
        <v>4956.75</v>
      </c>
      <c r="L551" s="5">
        <v>5204.5801000000001</v>
      </c>
      <c r="M551" s="5">
        <v>4790</v>
      </c>
      <c r="N551" s="5">
        <v>5049.25</v>
      </c>
      <c r="O551" s="5">
        <v>1732</v>
      </c>
      <c r="Q551" s="6">
        <v>38957</v>
      </c>
      <c r="R551" s="7">
        <v>0.66666666666666663</v>
      </c>
      <c r="S551" s="5">
        <v>91.15</v>
      </c>
      <c r="T551" s="5">
        <v>95.7</v>
      </c>
      <c r="U551" s="5">
        <v>86.6</v>
      </c>
      <c r="V551" s="5">
        <v>95.7</v>
      </c>
      <c r="W551" s="5">
        <v>373100</v>
      </c>
      <c r="Y551" s="6">
        <f t="shared" si="16"/>
        <v>40619</v>
      </c>
      <c r="Z551" s="5">
        <f t="shared" si="17"/>
        <v>5049.25</v>
      </c>
      <c r="AA551" s="5">
        <v>123.88</v>
      </c>
      <c r="AB551" s="5">
        <v>86.67</v>
      </c>
    </row>
    <row r="552" spans="1:28" x14ac:dyDescent="0.3">
      <c r="A552" s="6">
        <v>38975</v>
      </c>
      <c r="B552" s="7">
        <v>0.66666666666666663</v>
      </c>
      <c r="C552" s="5">
        <v>138</v>
      </c>
      <c r="D552" s="5">
        <v>141</v>
      </c>
      <c r="E552" s="5">
        <v>138</v>
      </c>
      <c r="F552" s="5">
        <v>140</v>
      </c>
      <c r="G552" s="5">
        <v>2200</v>
      </c>
      <c r="I552" s="6">
        <v>40620</v>
      </c>
      <c r="J552" s="7">
        <v>0.66666666666666663</v>
      </c>
      <c r="K552" s="5">
        <v>5049.25</v>
      </c>
      <c r="L552" s="5">
        <v>5214.9902000000002</v>
      </c>
      <c r="M552" s="5">
        <v>4826.0097999999998</v>
      </c>
      <c r="N552" s="5">
        <v>4942.5200000000004</v>
      </c>
      <c r="O552" s="5">
        <v>216</v>
      </c>
      <c r="Q552" s="6">
        <v>38958</v>
      </c>
      <c r="R552" s="7">
        <v>0.66666666666666663</v>
      </c>
      <c r="S552" s="5">
        <v>97.6</v>
      </c>
      <c r="T552" s="5">
        <v>100.45</v>
      </c>
      <c r="U552" s="5">
        <v>97.6</v>
      </c>
      <c r="V552" s="5">
        <v>100.45</v>
      </c>
      <c r="W552" s="5">
        <v>1307600</v>
      </c>
      <c r="Y552" s="6">
        <f t="shared" si="16"/>
        <v>40620</v>
      </c>
      <c r="Z552" s="5">
        <f t="shared" si="17"/>
        <v>4942.5200000000004</v>
      </c>
      <c r="AA552" s="5">
        <v>120.08</v>
      </c>
      <c r="AB552" s="5">
        <v>83</v>
      </c>
    </row>
    <row r="553" spans="1:28" x14ac:dyDescent="0.3">
      <c r="A553" s="6">
        <v>38978</v>
      </c>
      <c r="B553" s="7">
        <v>0.66666666666666663</v>
      </c>
      <c r="C553" s="5">
        <v>139</v>
      </c>
      <c r="D553" s="5">
        <v>140</v>
      </c>
      <c r="E553" s="5">
        <v>136</v>
      </c>
      <c r="F553" s="5">
        <v>137.5</v>
      </c>
      <c r="G553" s="5">
        <v>6900</v>
      </c>
      <c r="I553" s="6">
        <v>40623</v>
      </c>
      <c r="J553" s="7">
        <v>0.66666666666666663</v>
      </c>
      <c r="K553" s="5">
        <v>4840</v>
      </c>
      <c r="L553" s="5">
        <v>4840</v>
      </c>
      <c r="M553" s="5">
        <v>4675.0097999999998</v>
      </c>
      <c r="N553" s="5">
        <v>4767.5</v>
      </c>
      <c r="O553" s="5">
        <v>24</v>
      </c>
      <c r="Q553" s="6">
        <v>38959</v>
      </c>
      <c r="R553" s="7">
        <v>0.66666666666666663</v>
      </c>
      <c r="S553" s="5">
        <v>101.5</v>
      </c>
      <c r="T553" s="5">
        <v>105.45</v>
      </c>
      <c r="U553" s="5">
        <v>101.5</v>
      </c>
      <c r="V553" s="5">
        <v>105.45</v>
      </c>
      <c r="W553" s="5">
        <v>1010100</v>
      </c>
      <c r="Y553" s="6">
        <f t="shared" si="16"/>
        <v>40623</v>
      </c>
      <c r="Z553" s="5">
        <f t="shared" si="17"/>
        <v>4767.5</v>
      </c>
      <c r="AA553" s="5">
        <v>117.98</v>
      </c>
      <c r="AB553" s="5">
        <v>81.97</v>
      </c>
    </row>
    <row r="554" spans="1:28" x14ac:dyDescent="0.3">
      <c r="A554" s="6">
        <v>38979</v>
      </c>
      <c r="B554" s="7">
        <v>0.66666666666666663</v>
      </c>
      <c r="C554" s="5">
        <v>137.25</v>
      </c>
      <c r="D554" s="5">
        <v>140.25</v>
      </c>
      <c r="E554" s="5">
        <v>137</v>
      </c>
      <c r="F554" s="5">
        <v>140.25</v>
      </c>
      <c r="G554" s="5">
        <v>6000</v>
      </c>
      <c r="I554" s="6">
        <v>40626</v>
      </c>
      <c r="J554" s="7">
        <v>0.66666666666666663</v>
      </c>
      <c r="K554" s="5">
        <v>4767.5</v>
      </c>
      <c r="L554" s="5">
        <v>4799</v>
      </c>
      <c r="M554" s="5">
        <v>4675</v>
      </c>
      <c r="N554" s="5">
        <v>4726.0298000000003</v>
      </c>
      <c r="O554" s="5">
        <v>8</v>
      </c>
      <c r="Q554" s="6">
        <v>38960</v>
      </c>
      <c r="R554" s="7">
        <v>0.66666666666666663</v>
      </c>
      <c r="S554" s="5">
        <v>105.45</v>
      </c>
      <c r="T554" s="5">
        <v>109</v>
      </c>
      <c r="U554" s="5">
        <v>105.1</v>
      </c>
      <c r="V554" s="5">
        <v>106.9</v>
      </c>
      <c r="W554" s="5">
        <v>754100</v>
      </c>
      <c r="Y554" s="6">
        <f t="shared" si="16"/>
        <v>40626</v>
      </c>
      <c r="Z554" s="5">
        <f t="shared" si="17"/>
        <v>4726.0298000000003</v>
      </c>
      <c r="AA554" s="5">
        <v>121.97</v>
      </c>
      <c r="AB554" s="5">
        <v>83.34</v>
      </c>
    </row>
    <row r="555" spans="1:28" x14ac:dyDescent="0.3">
      <c r="A555" s="6">
        <v>38980</v>
      </c>
      <c r="B555" s="7">
        <v>0.66666666666666663</v>
      </c>
      <c r="C555" s="5">
        <v>139</v>
      </c>
      <c r="D555" s="5">
        <v>139.5</v>
      </c>
      <c r="E555" s="5">
        <v>139</v>
      </c>
      <c r="F555" s="5">
        <v>139</v>
      </c>
      <c r="G555" s="5">
        <v>1300</v>
      </c>
      <c r="I555" s="6">
        <v>40627</v>
      </c>
      <c r="J555" s="7">
        <v>0.66666666666666663</v>
      </c>
      <c r="K555" s="5">
        <v>4726.0298000000003</v>
      </c>
      <c r="L555" s="5">
        <v>4860</v>
      </c>
      <c r="M555" s="5">
        <v>4613.0097999999998</v>
      </c>
      <c r="N555" s="5">
        <v>4727.6899000000003</v>
      </c>
      <c r="O555" s="5">
        <v>12</v>
      </c>
      <c r="Q555" s="6">
        <v>38961</v>
      </c>
      <c r="R555" s="7">
        <v>0.66666666666666663</v>
      </c>
      <c r="S555" s="5">
        <v>106.9</v>
      </c>
      <c r="T555" s="5">
        <v>107</v>
      </c>
      <c r="U555" s="5">
        <v>104.25</v>
      </c>
      <c r="V555" s="5">
        <v>106</v>
      </c>
      <c r="W555" s="5">
        <v>229100</v>
      </c>
      <c r="Y555" s="6">
        <f t="shared" si="16"/>
        <v>40627</v>
      </c>
      <c r="Z555" s="5">
        <f t="shared" si="17"/>
        <v>4727.6899000000003</v>
      </c>
      <c r="AA555" s="5">
        <v>120.67</v>
      </c>
      <c r="AB555" s="5">
        <v>83.81</v>
      </c>
    </row>
    <row r="556" spans="1:28" x14ac:dyDescent="0.3">
      <c r="A556" s="6">
        <v>38981</v>
      </c>
      <c r="B556" s="7">
        <v>0.66666666666666663</v>
      </c>
      <c r="C556" s="5">
        <v>140</v>
      </c>
      <c r="D556" s="5">
        <v>141.25</v>
      </c>
      <c r="E556" s="5">
        <v>139</v>
      </c>
      <c r="F556" s="5">
        <v>140.1</v>
      </c>
      <c r="G556" s="5">
        <v>2300</v>
      </c>
      <c r="I556" s="6">
        <v>40630</v>
      </c>
      <c r="J556" s="7">
        <v>0.66666666666666663</v>
      </c>
      <c r="K556" s="5">
        <v>4727.6899000000003</v>
      </c>
      <c r="L556" s="5">
        <v>4842.9799999999996</v>
      </c>
      <c r="M556" s="5">
        <v>4675.0097999999998</v>
      </c>
      <c r="N556" s="5">
        <v>4788.8301000000001</v>
      </c>
      <c r="O556" s="5">
        <v>17</v>
      </c>
      <c r="Q556" s="6">
        <v>38964</v>
      </c>
      <c r="R556" s="7">
        <v>0.66666666666666663</v>
      </c>
      <c r="S556" s="5">
        <v>106</v>
      </c>
      <c r="T556" s="5">
        <v>107.1</v>
      </c>
      <c r="U556" s="5">
        <v>103</v>
      </c>
      <c r="V556" s="5">
        <v>103.4</v>
      </c>
      <c r="W556" s="5">
        <v>331100</v>
      </c>
      <c r="Y556" s="6">
        <f t="shared" si="16"/>
        <v>40630</v>
      </c>
      <c r="Z556" s="5">
        <f t="shared" si="17"/>
        <v>4788.8301000000001</v>
      </c>
      <c r="AA556" s="5">
        <v>119.8</v>
      </c>
      <c r="AB556" s="5">
        <v>84.98</v>
      </c>
    </row>
    <row r="557" spans="1:28" x14ac:dyDescent="0.3">
      <c r="A557" s="6">
        <v>38982</v>
      </c>
      <c r="B557" s="7">
        <v>0.66666666666666663</v>
      </c>
      <c r="C557" s="5">
        <v>140.1</v>
      </c>
      <c r="D557" s="5">
        <v>140.5</v>
      </c>
      <c r="E557" s="5">
        <v>139.5</v>
      </c>
      <c r="F557" s="5">
        <v>140.25</v>
      </c>
      <c r="G557" s="5">
        <v>4100</v>
      </c>
      <c r="I557" s="6">
        <v>40631</v>
      </c>
      <c r="J557" s="7">
        <v>0.66666666666666663</v>
      </c>
      <c r="K557" s="5">
        <v>4850</v>
      </c>
      <c r="L557" s="5">
        <v>4949.9799999999996</v>
      </c>
      <c r="M557" s="5">
        <v>4850</v>
      </c>
      <c r="N557" s="5">
        <v>4904.8599000000004</v>
      </c>
      <c r="O557" s="5">
        <v>19</v>
      </c>
      <c r="Q557" s="6">
        <v>38965</v>
      </c>
      <c r="R557" s="7">
        <v>0.66666666666666663</v>
      </c>
      <c r="S557" s="5">
        <v>103.4</v>
      </c>
      <c r="T557" s="5">
        <v>103.95</v>
      </c>
      <c r="U557" s="5">
        <v>100</v>
      </c>
      <c r="V557" s="5">
        <v>100.35</v>
      </c>
      <c r="W557" s="5">
        <v>299600</v>
      </c>
      <c r="Y557" s="6">
        <f t="shared" si="16"/>
        <v>40631</v>
      </c>
      <c r="Z557" s="5">
        <f t="shared" si="17"/>
        <v>4904.8599000000004</v>
      </c>
      <c r="AA557" s="5">
        <v>125.07</v>
      </c>
      <c r="AB557" s="5">
        <v>85.9</v>
      </c>
    </row>
    <row r="558" spans="1:28" x14ac:dyDescent="0.3">
      <c r="A558" s="6">
        <v>38985</v>
      </c>
      <c r="B558" s="7">
        <v>0.66666666666666663</v>
      </c>
      <c r="C558" s="5">
        <v>140.5</v>
      </c>
      <c r="D558" s="5">
        <v>141.75</v>
      </c>
      <c r="E558" s="5">
        <v>138</v>
      </c>
      <c r="F558" s="5">
        <v>138</v>
      </c>
      <c r="G558" s="5">
        <v>4400</v>
      </c>
      <c r="I558" s="6">
        <v>40632</v>
      </c>
      <c r="J558" s="7">
        <v>0.66666666666666663</v>
      </c>
      <c r="K558" s="5">
        <v>4904.8599000000004</v>
      </c>
      <c r="L558" s="5">
        <v>4920</v>
      </c>
      <c r="M558" s="5">
        <v>4904.8599000000004</v>
      </c>
      <c r="N558" s="5">
        <v>4904.8599000000004</v>
      </c>
      <c r="O558" s="5">
        <v>2</v>
      </c>
      <c r="Q558" s="6">
        <v>38966</v>
      </c>
      <c r="R558" s="7">
        <v>0.66666666666666663</v>
      </c>
      <c r="S558" s="5">
        <v>100.35</v>
      </c>
      <c r="T558" s="5">
        <v>101.9</v>
      </c>
      <c r="U558" s="5">
        <v>99.55</v>
      </c>
      <c r="V558" s="5">
        <v>101.35</v>
      </c>
      <c r="W558" s="5">
        <v>198400</v>
      </c>
      <c r="Y558" s="6">
        <f t="shared" si="16"/>
        <v>40632</v>
      </c>
      <c r="Z558" s="5">
        <f t="shared" si="17"/>
        <v>4904.8599000000004</v>
      </c>
      <c r="AA558" s="5">
        <v>124.96</v>
      </c>
      <c r="AB558" s="5">
        <v>85.94</v>
      </c>
    </row>
    <row r="559" spans="1:28" x14ac:dyDescent="0.3">
      <c r="A559" s="6">
        <v>38986</v>
      </c>
      <c r="B559" s="7">
        <v>0.66666666666666663</v>
      </c>
      <c r="C559" s="5">
        <v>138</v>
      </c>
      <c r="D559" s="5">
        <v>138.5</v>
      </c>
      <c r="E559" s="5">
        <v>137.19999999999999</v>
      </c>
      <c r="F559" s="5">
        <v>138.5</v>
      </c>
      <c r="G559" s="5">
        <v>1100</v>
      </c>
      <c r="I559" s="6">
        <v>40633</v>
      </c>
      <c r="J559" s="7">
        <v>0.66666666666666663</v>
      </c>
      <c r="K559" s="5">
        <v>4904.8599000000004</v>
      </c>
      <c r="L559" s="5">
        <v>4998.9799999999996</v>
      </c>
      <c r="M559" s="5">
        <v>4879.0097999999998</v>
      </c>
      <c r="N559" s="5">
        <v>4940.6698999999999</v>
      </c>
      <c r="O559" s="5">
        <v>874</v>
      </c>
      <c r="Q559" s="6">
        <v>38967</v>
      </c>
      <c r="R559" s="7">
        <v>0.66666666666666663</v>
      </c>
      <c r="S559" s="5">
        <v>101.35</v>
      </c>
      <c r="T559" s="5">
        <v>102</v>
      </c>
      <c r="U559" s="5">
        <v>99.5</v>
      </c>
      <c r="V559" s="5">
        <v>99.55</v>
      </c>
      <c r="W559" s="5">
        <v>196300</v>
      </c>
      <c r="Y559" s="6">
        <f t="shared" si="16"/>
        <v>40633</v>
      </c>
      <c r="Z559" s="5">
        <f t="shared" si="17"/>
        <v>4940.6698999999999</v>
      </c>
      <c r="AA559" s="5">
        <v>123.72</v>
      </c>
      <c r="AB559" s="5">
        <v>85</v>
      </c>
    </row>
    <row r="560" spans="1:28" x14ac:dyDescent="0.3">
      <c r="A560" s="6">
        <v>38987</v>
      </c>
      <c r="B560" s="7">
        <v>0.66666666666666663</v>
      </c>
      <c r="C560" s="5">
        <v>139.9</v>
      </c>
      <c r="D560" s="5">
        <v>139.9</v>
      </c>
      <c r="E560" s="5">
        <v>139</v>
      </c>
      <c r="F560" s="5">
        <v>139.5</v>
      </c>
      <c r="G560" s="5">
        <v>800</v>
      </c>
      <c r="I560" s="6">
        <v>40634</v>
      </c>
      <c r="J560" s="7">
        <v>0.66666666666666663</v>
      </c>
      <c r="K560" s="5">
        <v>4940.6698999999999</v>
      </c>
      <c r="L560" s="5">
        <v>4969.6899000000003</v>
      </c>
      <c r="M560" s="5">
        <v>4904.04</v>
      </c>
      <c r="N560" s="5">
        <v>4926.5</v>
      </c>
      <c r="O560" s="5">
        <v>38</v>
      </c>
      <c r="Q560" s="6">
        <v>38968</v>
      </c>
      <c r="R560" s="7">
        <v>0.66666666666666663</v>
      </c>
      <c r="S560" s="5">
        <v>99.55</v>
      </c>
      <c r="T560" s="5">
        <v>101</v>
      </c>
      <c r="U560" s="5">
        <v>97</v>
      </c>
      <c r="V560" s="5">
        <v>100.2</v>
      </c>
      <c r="W560" s="5">
        <v>210100</v>
      </c>
      <c r="Y560" s="6">
        <f t="shared" si="16"/>
        <v>40634</v>
      </c>
      <c r="Z560" s="5">
        <f t="shared" si="17"/>
        <v>4926.5</v>
      </c>
      <c r="AA560" s="5">
        <v>122.93</v>
      </c>
      <c r="AB560" s="5">
        <v>85</v>
      </c>
    </row>
    <row r="561" spans="1:28" x14ac:dyDescent="0.3">
      <c r="A561" s="6">
        <v>38988</v>
      </c>
      <c r="B561" s="7">
        <v>0.66666666666666663</v>
      </c>
      <c r="C561" s="5">
        <v>141.25</v>
      </c>
      <c r="D561" s="5">
        <v>141.25</v>
      </c>
      <c r="E561" s="5">
        <v>139.55000000000001</v>
      </c>
      <c r="F561" s="5">
        <v>140</v>
      </c>
      <c r="G561" s="5">
        <v>7100</v>
      </c>
      <c r="I561" s="6">
        <v>40637</v>
      </c>
      <c r="J561" s="7">
        <v>0.66666666666666663</v>
      </c>
      <c r="K561" s="5">
        <v>4926.5</v>
      </c>
      <c r="L561" s="5">
        <v>5172.8198000000002</v>
      </c>
      <c r="M561" s="5">
        <v>4900</v>
      </c>
      <c r="N561" s="5">
        <v>5172.8198000000002</v>
      </c>
      <c r="O561" s="5">
        <v>519</v>
      </c>
      <c r="Q561" s="6">
        <v>38971</v>
      </c>
      <c r="R561" s="7">
        <v>0.66666666666666663</v>
      </c>
      <c r="S561" s="5">
        <v>100.2</v>
      </c>
      <c r="T561" s="5">
        <v>103.7</v>
      </c>
      <c r="U561" s="5">
        <v>99.05</v>
      </c>
      <c r="V561" s="5">
        <v>101.9</v>
      </c>
      <c r="W561" s="5">
        <v>338300</v>
      </c>
      <c r="Y561" s="6">
        <f t="shared" si="16"/>
        <v>40637</v>
      </c>
      <c r="Z561" s="5">
        <f t="shared" si="17"/>
        <v>5172.8198000000002</v>
      </c>
      <c r="AA561" s="5">
        <v>122.9</v>
      </c>
      <c r="AB561" s="5">
        <v>84.24</v>
      </c>
    </row>
    <row r="562" spans="1:28" x14ac:dyDescent="0.3">
      <c r="A562" s="6">
        <v>38989</v>
      </c>
      <c r="B562" s="7">
        <v>0.66666666666666663</v>
      </c>
      <c r="C562" s="5">
        <v>141</v>
      </c>
      <c r="D562" s="5">
        <v>141</v>
      </c>
      <c r="E562" s="5">
        <v>140</v>
      </c>
      <c r="F562" s="5">
        <v>140</v>
      </c>
      <c r="G562" s="5">
        <v>2800</v>
      </c>
      <c r="I562" s="6">
        <v>40638</v>
      </c>
      <c r="J562" s="7">
        <v>0.66666666666666663</v>
      </c>
      <c r="K562" s="5">
        <v>5415.2002000000002</v>
      </c>
      <c r="L562" s="5">
        <v>5431.46</v>
      </c>
      <c r="M562" s="5">
        <v>5415.2002000000002</v>
      </c>
      <c r="N562" s="5">
        <v>5431.46</v>
      </c>
      <c r="O562" s="5">
        <v>434</v>
      </c>
      <c r="Q562" s="6">
        <v>38972</v>
      </c>
      <c r="R562" s="7">
        <v>0.66666666666666663</v>
      </c>
      <c r="S562" s="5">
        <v>103.1</v>
      </c>
      <c r="T562" s="5">
        <v>106</v>
      </c>
      <c r="U562" s="5">
        <v>103.1</v>
      </c>
      <c r="V562" s="5">
        <v>104.5</v>
      </c>
      <c r="W562" s="5">
        <v>369500</v>
      </c>
      <c r="Y562" s="6">
        <f t="shared" si="16"/>
        <v>40638</v>
      </c>
      <c r="Z562" s="5">
        <f t="shared" si="17"/>
        <v>5431.46</v>
      </c>
      <c r="AA562" s="5">
        <v>124.02</v>
      </c>
      <c r="AB562" s="5">
        <v>84.28</v>
      </c>
    </row>
    <row r="563" spans="1:28" x14ac:dyDescent="0.3">
      <c r="A563" s="6">
        <v>38992</v>
      </c>
      <c r="B563" s="7">
        <v>0.66666666666666663</v>
      </c>
      <c r="C563" s="5">
        <v>140.25</v>
      </c>
      <c r="D563" s="5">
        <v>140.25</v>
      </c>
      <c r="E563" s="5">
        <v>139</v>
      </c>
      <c r="F563" s="5">
        <v>139.1</v>
      </c>
      <c r="G563" s="5">
        <v>1100</v>
      </c>
      <c r="I563" s="6">
        <v>40639</v>
      </c>
      <c r="J563" s="7">
        <v>0.66666666666666663</v>
      </c>
      <c r="K563" s="5">
        <v>5642</v>
      </c>
      <c r="L563" s="5">
        <v>5703.0298000000003</v>
      </c>
      <c r="M563" s="5">
        <v>5642</v>
      </c>
      <c r="N563" s="5">
        <v>5703.0298000000003</v>
      </c>
      <c r="O563" s="5">
        <v>171</v>
      </c>
      <c r="Q563" s="6">
        <v>38973</v>
      </c>
      <c r="R563" s="7">
        <v>0.66666666666666663</v>
      </c>
      <c r="S563" s="5">
        <v>104.5</v>
      </c>
      <c r="T563" s="5">
        <v>105.7</v>
      </c>
      <c r="U563" s="5">
        <v>103</v>
      </c>
      <c r="V563" s="5">
        <v>103.1</v>
      </c>
      <c r="W563" s="5">
        <v>183300</v>
      </c>
      <c r="Y563" s="6">
        <f t="shared" si="16"/>
        <v>40639</v>
      </c>
      <c r="Z563" s="5">
        <f t="shared" si="17"/>
        <v>5703.0298000000003</v>
      </c>
      <c r="AA563" s="5">
        <v>125.27</v>
      </c>
      <c r="AB563" s="5">
        <v>84.71</v>
      </c>
    </row>
    <row r="564" spans="1:28" x14ac:dyDescent="0.3">
      <c r="A564" s="6">
        <v>38993</v>
      </c>
      <c r="B564" s="7">
        <v>0.66666666666666663</v>
      </c>
      <c r="C564" s="5">
        <v>138.19999999999999</v>
      </c>
      <c r="D564" s="5">
        <v>140</v>
      </c>
      <c r="E564" s="5">
        <v>138</v>
      </c>
      <c r="F564" s="5">
        <v>139.6</v>
      </c>
      <c r="G564" s="5">
        <v>5800</v>
      </c>
      <c r="I564" s="6">
        <v>40640</v>
      </c>
      <c r="J564" s="7">
        <v>0.66666666666666663</v>
      </c>
      <c r="K564" s="5">
        <v>5703.0298000000003</v>
      </c>
      <c r="L564" s="5">
        <v>5988.1801999999998</v>
      </c>
      <c r="M564" s="5">
        <v>5417.8798999999999</v>
      </c>
      <c r="N564" s="5">
        <v>5427.0497999999998</v>
      </c>
      <c r="O564" s="5">
        <v>535</v>
      </c>
      <c r="Q564" s="6">
        <v>38974</v>
      </c>
      <c r="R564" s="7">
        <v>0.66666666666666663</v>
      </c>
      <c r="S564" s="5">
        <v>103.15</v>
      </c>
      <c r="T564" s="5">
        <v>105.5</v>
      </c>
      <c r="U564" s="5">
        <v>103.15</v>
      </c>
      <c r="V564" s="5">
        <v>104.75</v>
      </c>
      <c r="W564" s="5">
        <v>289800</v>
      </c>
      <c r="Y564" s="6">
        <f t="shared" si="16"/>
        <v>40640</v>
      </c>
      <c r="Z564" s="5">
        <f t="shared" si="17"/>
        <v>5427.0497999999998</v>
      </c>
      <c r="AA564" s="5">
        <v>126.9</v>
      </c>
      <c r="AB564" s="5">
        <v>84.57</v>
      </c>
    </row>
    <row r="565" spans="1:28" x14ac:dyDescent="0.3">
      <c r="A565" s="6">
        <v>38994</v>
      </c>
      <c r="B565" s="7">
        <v>0.66666666666666663</v>
      </c>
      <c r="C565" s="5">
        <v>140</v>
      </c>
      <c r="D565" s="5">
        <v>140</v>
      </c>
      <c r="E565" s="5">
        <v>138</v>
      </c>
      <c r="F565" s="5">
        <v>139</v>
      </c>
      <c r="G565" s="5">
        <v>3300</v>
      </c>
      <c r="I565" s="6">
        <v>40641</v>
      </c>
      <c r="J565" s="7">
        <v>0.66666666666666663</v>
      </c>
      <c r="K565" s="5">
        <v>5427.0497999999998</v>
      </c>
      <c r="L565" s="5">
        <v>5520.2002000000002</v>
      </c>
      <c r="M565" s="5">
        <v>5158</v>
      </c>
      <c r="N565" s="5">
        <v>5160.46</v>
      </c>
      <c r="O565" s="5">
        <v>246</v>
      </c>
      <c r="Q565" s="6">
        <v>38975</v>
      </c>
      <c r="R565" s="7">
        <v>0.66666666666666663</v>
      </c>
      <c r="S565" s="5">
        <v>104.75</v>
      </c>
      <c r="T565" s="5">
        <v>105.85</v>
      </c>
      <c r="U565" s="5">
        <v>104.05</v>
      </c>
      <c r="V565" s="5">
        <v>104.8</v>
      </c>
      <c r="W565" s="5">
        <v>131600</v>
      </c>
      <c r="Y565" s="6">
        <f t="shared" si="16"/>
        <v>40641</v>
      </c>
      <c r="Z565" s="5">
        <f t="shared" si="17"/>
        <v>5160.46</v>
      </c>
      <c r="AA565" s="5">
        <v>127.74</v>
      </c>
      <c r="AB565" s="5">
        <v>84.5</v>
      </c>
    </row>
    <row r="566" spans="1:28" x14ac:dyDescent="0.3">
      <c r="A566" s="6">
        <v>38995</v>
      </c>
      <c r="B566" s="7">
        <v>0.66666666666666663</v>
      </c>
      <c r="C566" s="5">
        <v>139.94999999999999</v>
      </c>
      <c r="D566" s="5">
        <v>141</v>
      </c>
      <c r="E566" s="5">
        <v>137.19999999999999</v>
      </c>
      <c r="F566" s="5">
        <v>138.65</v>
      </c>
      <c r="G566" s="5">
        <v>19000</v>
      </c>
      <c r="I566" s="6">
        <v>40644</v>
      </c>
      <c r="J566" s="7">
        <v>0.66666666666666663</v>
      </c>
      <c r="K566" s="5">
        <v>5160.46</v>
      </c>
      <c r="L566" s="5">
        <v>5177.6899000000003</v>
      </c>
      <c r="M566" s="5">
        <v>4995</v>
      </c>
      <c r="N566" s="5">
        <v>5039.29</v>
      </c>
      <c r="O566" s="5">
        <v>149</v>
      </c>
      <c r="Q566" s="6">
        <v>38978</v>
      </c>
      <c r="R566" s="7">
        <v>0.66666666666666663</v>
      </c>
      <c r="S566" s="5">
        <v>104.8</v>
      </c>
      <c r="T566" s="5">
        <v>106.2</v>
      </c>
      <c r="U566" s="5">
        <v>103.9</v>
      </c>
      <c r="V566" s="5">
        <v>104.1</v>
      </c>
      <c r="W566" s="5">
        <v>98200</v>
      </c>
      <c r="Y566" s="6">
        <f t="shared" si="16"/>
        <v>40644</v>
      </c>
      <c r="Z566" s="5">
        <f t="shared" si="17"/>
        <v>5039.29</v>
      </c>
      <c r="AA566" s="5">
        <v>126.89</v>
      </c>
      <c r="AB566" s="5">
        <v>84.63</v>
      </c>
    </row>
    <row r="567" spans="1:28" x14ac:dyDescent="0.3">
      <c r="A567" s="6">
        <v>38996</v>
      </c>
      <c r="B567" s="7">
        <v>0.66666666666666663</v>
      </c>
      <c r="C567" s="5">
        <v>139.5</v>
      </c>
      <c r="D567" s="5">
        <v>139.5</v>
      </c>
      <c r="E567" s="5">
        <v>138.55000000000001</v>
      </c>
      <c r="F567" s="5">
        <v>138.9</v>
      </c>
      <c r="G567" s="5">
        <v>2000</v>
      </c>
      <c r="I567" s="6">
        <v>40645</v>
      </c>
      <c r="J567" s="7">
        <v>0.66666666666666663</v>
      </c>
      <c r="K567" s="5">
        <v>5001</v>
      </c>
      <c r="L567" s="5">
        <v>5001</v>
      </c>
      <c r="M567" s="5">
        <v>4900</v>
      </c>
      <c r="N567" s="5">
        <v>4932.7402000000002</v>
      </c>
      <c r="O567" s="5">
        <v>59</v>
      </c>
      <c r="Q567" s="6">
        <v>38979</v>
      </c>
      <c r="R567" s="7">
        <v>0.66666666666666663</v>
      </c>
      <c r="S567" s="5">
        <v>104.1</v>
      </c>
      <c r="T567" s="5">
        <v>104.85</v>
      </c>
      <c r="U567" s="5">
        <v>103.1</v>
      </c>
      <c r="V567" s="5">
        <v>104.25</v>
      </c>
      <c r="W567" s="5">
        <v>73100</v>
      </c>
      <c r="Y567" s="6">
        <f t="shared" si="16"/>
        <v>40645</v>
      </c>
      <c r="Z567" s="5">
        <f t="shared" si="17"/>
        <v>4932.7402000000002</v>
      </c>
      <c r="AA567" s="5">
        <v>125.2</v>
      </c>
      <c r="AB567" s="5">
        <v>85</v>
      </c>
    </row>
    <row r="568" spans="1:28" x14ac:dyDescent="0.3">
      <c r="A568" s="6">
        <v>38999</v>
      </c>
      <c r="B568" s="7">
        <v>0.66666666666666663</v>
      </c>
      <c r="C568" s="5">
        <v>139.69999999999999</v>
      </c>
      <c r="D568" s="5">
        <v>141.5</v>
      </c>
      <c r="E568" s="5">
        <v>138</v>
      </c>
      <c r="F568" s="5">
        <v>141</v>
      </c>
      <c r="G568" s="5">
        <v>12000</v>
      </c>
      <c r="I568" s="6">
        <v>40646</v>
      </c>
      <c r="J568" s="7">
        <v>0.66666666666666663</v>
      </c>
      <c r="K568" s="5">
        <v>4932.7402000000002</v>
      </c>
      <c r="L568" s="5">
        <v>5001</v>
      </c>
      <c r="M568" s="5">
        <v>4860.0801000000001</v>
      </c>
      <c r="N568" s="5">
        <v>4997.1499000000003</v>
      </c>
      <c r="O568" s="5">
        <v>87</v>
      </c>
      <c r="Q568" s="6">
        <v>38980</v>
      </c>
      <c r="R568" s="7">
        <v>0.66666666666666663</v>
      </c>
      <c r="S568" s="5">
        <v>104.25</v>
      </c>
      <c r="T568" s="5">
        <v>105.85</v>
      </c>
      <c r="U568" s="5">
        <v>103.65</v>
      </c>
      <c r="V568" s="5">
        <v>105.5</v>
      </c>
      <c r="W568" s="5">
        <v>155100</v>
      </c>
      <c r="Y568" s="6">
        <f t="shared" si="16"/>
        <v>40646</v>
      </c>
      <c r="Z568" s="5">
        <f t="shared" si="17"/>
        <v>4997.1499000000003</v>
      </c>
      <c r="AA568" s="5">
        <v>124.33</v>
      </c>
      <c r="AB568" s="5">
        <v>86.27</v>
      </c>
    </row>
    <row r="569" spans="1:28" x14ac:dyDescent="0.3">
      <c r="A569" s="6">
        <v>39000</v>
      </c>
      <c r="B569" s="7">
        <v>0.66666666666666663</v>
      </c>
      <c r="C569" s="5">
        <v>141</v>
      </c>
      <c r="D569" s="5">
        <v>141</v>
      </c>
      <c r="E569" s="5">
        <v>140.1</v>
      </c>
      <c r="F569" s="5">
        <v>140.80000000000001</v>
      </c>
      <c r="G569" s="5">
        <v>4500</v>
      </c>
      <c r="I569" s="6">
        <v>40647</v>
      </c>
      <c r="J569" s="7">
        <v>0.66666666666666663</v>
      </c>
      <c r="K569" s="5">
        <v>4997.1499000000003</v>
      </c>
      <c r="L569" s="5">
        <v>5230</v>
      </c>
      <c r="M569" s="5">
        <v>4901</v>
      </c>
      <c r="N569" s="5">
        <v>5037.6000999999997</v>
      </c>
      <c r="O569" s="5">
        <v>65</v>
      </c>
      <c r="Q569" s="6">
        <v>38981</v>
      </c>
      <c r="R569" s="7">
        <v>0.66666666666666663</v>
      </c>
      <c r="S569" s="5">
        <v>105.5</v>
      </c>
      <c r="T569" s="5">
        <v>106.5</v>
      </c>
      <c r="U569" s="5">
        <v>105</v>
      </c>
      <c r="V569" s="5">
        <v>105</v>
      </c>
      <c r="W569" s="5">
        <v>329300</v>
      </c>
      <c r="Y569" s="6">
        <f t="shared" si="16"/>
        <v>40647</v>
      </c>
      <c r="Z569" s="5">
        <f t="shared" si="17"/>
        <v>5037.6000999999997</v>
      </c>
      <c r="AA569" s="5">
        <v>121.74</v>
      </c>
      <c r="AB569" s="5">
        <v>86.01</v>
      </c>
    </row>
    <row r="570" spans="1:28" x14ac:dyDescent="0.3">
      <c r="A570" s="6">
        <v>39001</v>
      </c>
      <c r="B570" s="7">
        <v>0.66666666666666663</v>
      </c>
      <c r="C570" s="5">
        <v>139.6</v>
      </c>
      <c r="D570" s="5">
        <v>140.69999999999999</v>
      </c>
      <c r="E570" s="5">
        <v>139.6</v>
      </c>
      <c r="F570" s="5">
        <v>140.4</v>
      </c>
      <c r="G570" s="5">
        <v>2300</v>
      </c>
      <c r="I570" s="6">
        <v>40648</v>
      </c>
      <c r="J570" s="7">
        <v>0.66666666666666663</v>
      </c>
      <c r="K570" s="5">
        <v>5000</v>
      </c>
      <c r="L570" s="5">
        <v>5000</v>
      </c>
      <c r="M570" s="5">
        <v>4920</v>
      </c>
      <c r="N570" s="5">
        <v>4976.25</v>
      </c>
      <c r="O570" s="5">
        <v>105</v>
      </c>
      <c r="Q570" s="6">
        <v>38982</v>
      </c>
      <c r="R570" s="7">
        <v>0.66666666666666663</v>
      </c>
      <c r="S570" s="5">
        <v>88.2</v>
      </c>
      <c r="T570" s="5">
        <v>88.2</v>
      </c>
      <c r="U570" s="5">
        <v>86</v>
      </c>
      <c r="V570" s="5">
        <v>88.2</v>
      </c>
      <c r="W570" s="5">
        <v>282700</v>
      </c>
      <c r="Y570" s="6">
        <f t="shared" si="16"/>
        <v>40648</v>
      </c>
      <c r="Z570" s="5">
        <f t="shared" si="17"/>
        <v>4976.25</v>
      </c>
      <c r="AA570" s="5">
        <v>122.05</v>
      </c>
      <c r="AB570" s="5">
        <v>86.06</v>
      </c>
    </row>
    <row r="571" spans="1:28" x14ac:dyDescent="0.3">
      <c r="A571" s="6">
        <v>39002</v>
      </c>
      <c r="B571" s="7">
        <v>0.66666666666666663</v>
      </c>
      <c r="C571" s="5">
        <v>140</v>
      </c>
      <c r="D571" s="5">
        <v>140.69999999999999</v>
      </c>
      <c r="E571" s="5">
        <v>140</v>
      </c>
      <c r="F571" s="5">
        <v>140</v>
      </c>
      <c r="G571" s="5">
        <v>1700</v>
      </c>
      <c r="I571" s="6">
        <v>40651</v>
      </c>
      <c r="J571" s="7">
        <v>0.66666666666666663</v>
      </c>
      <c r="K571" s="5">
        <v>4976.25</v>
      </c>
      <c r="L571" s="5">
        <v>5001</v>
      </c>
      <c r="M571" s="5">
        <v>4875</v>
      </c>
      <c r="N571" s="5">
        <v>4899.8100999999997</v>
      </c>
      <c r="O571" s="5">
        <v>29</v>
      </c>
      <c r="Q571" s="6">
        <v>38985</v>
      </c>
      <c r="R571" s="7">
        <v>0.66666666666666663</v>
      </c>
      <c r="S571" s="5">
        <v>90.05</v>
      </c>
      <c r="T571" s="5">
        <v>92.6</v>
      </c>
      <c r="U571" s="5">
        <v>90.05</v>
      </c>
      <c r="V571" s="5">
        <v>92.6</v>
      </c>
      <c r="W571" s="5">
        <v>401200</v>
      </c>
      <c r="Y571" s="6">
        <f t="shared" si="16"/>
        <v>40651</v>
      </c>
      <c r="Z571" s="5">
        <f t="shared" si="17"/>
        <v>4899.8100999999997</v>
      </c>
      <c r="AA571" s="5">
        <v>124.51</v>
      </c>
      <c r="AB571" s="5">
        <v>85.11</v>
      </c>
    </row>
    <row r="572" spans="1:28" x14ac:dyDescent="0.3">
      <c r="A572" s="6">
        <v>39003</v>
      </c>
      <c r="B572" s="7">
        <v>0.66666666666666663</v>
      </c>
      <c r="C572" s="5">
        <v>140.5</v>
      </c>
      <c r="D572" s="5">
        <v>140.9</v>
      </c>
      <c r="E572" s="5">
        <v>140.1</v>
      </c>
      <c r="F572" s="5">
        <v>140.4</v>
      </c>
      <c r="G572" s="5">
        <v>1800</v>
      </c>
      <c r="I572" s="6">
        <v>40652</v>
      </c>
      <c r="J572" s="7">
        <v>0.66666666666666663</v>
      </c>
      <c r="K572" s="5">
        <v>4900</v>
      </c>
      <c r="L572" s="5">
        <v>4979.9902000000002</v>
      </c>
      <c r="M572" s="5">
        <v>4900</v>
      </c>
      <c r="N572" s="5">
        <v>4944</v>
      </c>
      <c r="O572" s="5">
        <v>12</v>
      </c>
      <c r="Q572" s="6">
        <v>38986</v>
      </c>
      <c r="R572" s="7">
        <v>0.66666666666666663</v>
      </c>
      <c r="S572" s="5">
        <v>96</v>
      </c>
      <c r="T572" s="5">
        <v>97.2</v>
      </c>
      <c r="U572" s="5">
        <v>96</v>
      </c>
      <c r="V572" s="5">
        <v>97.2</v>
      </c>
      <c r="W572" s="5">
        <v>422300</v>
      </c>
      <c r="Y572" s="6">
        <f t="shared" si="16"/>
        <v>40652</v>
      </c>
      <c r="Z572" s="5">
        <f t="shared" si="17"/>
        <v>4944</v>
      </c>
      <c r="AA572" s="5">
        <v>125.56</v>
      </c>
      <c r="AB572" s="5">
        <v>86.05</v>
      </c>
    </row>
    <row r="573" spans="1:28" x14ac:dyDescent="0.3">
      <c r="A573" s="6">
        <v>39006</v>
      </c>
      <c r="B573" s="7">
        <v>0.66666666666666663</v>
      </c>
      <c r="C573" s="5">
        <v>140.19999999999999</v>
      </c>
      <c r="D573" s="5">
        <v>140.25</v>
      </c>
      <c r="E573" s="5">
        <v>140.1</v>
      </c>
      <c r="F573" s="5">
        <v>140.15</v>
      </c>
      <c r="G573" s="5">
        <v>3000</v>
      </c>
      <c r="I573" s="6">
        <v>40653</v>
      </c>
      <c r="J573" s="7">
        <v>0.66666666666666663</v>
      </c>
      <c r="K573" s="5">
        <v>4944</v>
      </c>
      <c r="L573" s="5">
        <v>4990.8999000000003</v>
      </c>
      <c r="M573" s="5">
        <v>4910.1000999999997</v>
      </c>
      <c r="N573" s="5">
        <v>4931.5097999999998</v>
      </c>
      <c r="O573" s="5">
        <v>31</v>
      </c>
      <c r="Q573" s="6">
        <v>38987</v>
      </c>
      <c r="R573" s="7">
        <v>0.66666666666666663</v>
      </c>
      <c r="S573" s="5">
        <v>97.2</v>
      </c>
      <c r="T573" s="5">
        <v>101</v>
      </c>
      <c r="U573" s="5">
        <v>94.2</v>
      </c>
      <c r="V573" s="5">
        <v>95.25</v>
      </c>
      <c r="W573" s="5">
        <v>571100</v>
      </c>
      <c r="Y573" s="6">
        <f t="shared" si="16"/>
        <v>40653</v>
      </c>
      <c r="Z573" s="5">
        <f t="shared" si="17"/>
        <v>4931.5097999999998</v>
      </c>
      <c r="AA573" s="5">
        <v>126.41</v>
      </c>
      <c r="AB573" s="5">
        <v>86.14</v>
      </c>
    </row>
    <row r="574" spans="1:28" x14ac:dyDescent="0.3">
      <c r="A574" s="6">
        <v>39007</v>
      </c>
      <c r="B574" s="7">
        <v>0.66666666666666663</v>
      </c>
      <c r="C574" s="5">
        <v>141.5</v>
      </c>
      <c r="D574" s="5">
        <v>141.5</v>
      </c>
      <c r="E574" s="5">
        <v>140</v>
      </c>
      <c r="F574" s="5">
        <v>141.19999999999999</v>
      </c>
      <c r="G574" s="5">
        <v>5800</v>
      </c>
      <c r="I574" s="6">
        <v>40654</v>
      </c>
      <c r="J574" s="7">
        <v>0.66666666666666663</v>
      </c>
      <c r="K574" s="5">
        <v>4931.5097999999998</v>
      </c>
      <c r="L574" s="5">
        <v>5000</v>
      </c>
      <c r="M574" s="5">
        <v>4930.3100999999997</v>
      </c>
      <c r="N574" s="5">
        <v>4997.8798999999999</v>
      </c>
      <c r="O574" s="5">
        <v>2939</v>
      </c>
      <c r="Q574" s="6">
        <v>38988</v>
      </c>
      <c r="R574" s="7">
        <v>0.66666666666666663</v>
      </c>
      <c r="S574" s="5">
        <v>95.3</v>
      </c>
      <c r="T574" s="5">
        <v>96.8</v>
      </c>
      <c r="U574" s="5">
        <v>95.3</v>
      </c>
      <c r="V574" s="5">
        <v>95.5</v>
      </c>
      <c r="W574" s="5">
        <v>233500</v>
      </c>
      <c r="Y574" s="6">
        <f t="shared" si="16"/>
        <v>40654</v>
      </c>
      <c r="Z574" s="5">
        <f t="shared" si="17"/>
        <v>4997.8798999999999</v>
      </c>
      <c r="AA574" s="5">
        <v>126.16</v>
      </c>
      <c r="AB574" s="5">
        <v>87.98</v>
      </c>
    </row>
    <row r="575" spans="1:28" x14ac:dyDescent="0.3">
      <c r="A575" s="6">
        <v>39008</v>
      </c>
      <c r="B575" s="7">
        <v>0.66666666666666663</v>
      </c>
      <c r="C575" s="5">
        <v>141.05000000000001</v>
      </c>
      <c r="D575" s="5">
        <v>142</v>
      </c>
      <c r="E575" s="5">
        <v>141.05000000000001</v>
      </c>
      <c r="F575" s="5">
        <v>141.5</v>
      </c>
      <c r="G575" s="5">
        <v>6800</v>
      </c>
      <c r="I575" s="6">
        <v>40655</v>
      </c>
      <c r="J575" s="7">
        <v>0.66666666666666663</v>
      </c>
      <c r="K575" s="5">
        <v>4997.8798999999999</v>
      </c>
      <c r="L575" s="5">
        <v>5247</v>
      </c>
      <c r="M575" s="5">
        <v>4975.7597999999998</v>
      </c>
      <c r="N575" s="5">
        <v>5087.7798000000003</v>
      </c>
      <c r="O575" s="5">
        <v>1118</v>
      </c>
      <c r="Q575" s="6">
        <v>38989</v>
      </c>
      <c r="R575" s="7">
        <v>0.66666666666666663</v>
      </c>
      <c r="S575" s="5">
        <v>95.5</v>
      </c>
      <c r="T575" s="5">
        <v>95.95</v>
      </c>
      <c r="U575" s="5">
        <v>92</v>
      </c>
      <c r="V575" s="5">
        <v>93</v>
      </c>
      <c r="W575" s="5">
        <v>159500</v>
      </c>
      <c r="Y575" s="6">
        <f t="shared" si="16"/>
        <v>40655</v>
      </c>
      <c r="Z575" s="5">
        <f t="shared" si="17"/>
        <v>5087.7798000000003</v>
      </c>
      <c r="AA575" s="5">
        <v>123.99</v>
      </c>
      <c r="AB575" s="5">
        <v>89.5</v>
      </c>
    </row>
    <row r="576" spans="1:28" x14ac:dyDescent="0.3">
      <c r="A576" s="6">
        <v>39009</v>
      </c>
      <c r="B576" s="7">
        <v>0.66666666666666663</v>
      </c>
      <c r="C576" s="5">
        <v>141.30000000000001</v>
      </c>
      <c r="D576" s="5">
        <v>143</v>
      </c>
      <c r="E576" s="5">
        <v>141.19999999999999</v>
      </c>
      <c r="F576" s="5">
        <v>142.94999999999999</v>
      </c>
      <c r="G576" s="5">
        <v>4700</v>
      </c>
      <c r="I576" s="6">
        <v>40658</v>
      </c>
      <c r="J576" s="7">
        <v>0.66666666666666663</v>
      </c>
      <c r="K576" s="5">
        <v>5087.7798000000003</v>
      </c>
      <c r="L576" s="5">
        <v>5200</v>
      </c>
      <c r="M576" s="5">
        <v>5004.0097999999998</v>
      </c>
      <c r="N576" s="5">
        <v>5057.1899000000003</v>
      </c>
      <c r="O576" s="5">
        <v>136</v>
      </c>
      <c r="Q576" s="6">
        <v>38992</v>
      </c>
      <c r="R576" s="7">
        <v>0.66666666666666663</v>
      </c>
      <c r="S576" s="5">
        <v>93</v>
      </c>
      <c r="T576" s="5">
        <v>94.4</v>
      </c>
      <c r="U576" s="5">
        <v>92</v>
      </c>
      <c r="V576" s="5">
        <v>93.2</v>
      </c>
      <c r="W576" s="5">
        <v>164900</v>
      </c>
      <c r="Y576" s="6">
        <f t="shared" si="16"/>
        <v>40658</v>
      </c>
      <c r="Z576" s="5">
        <f t="shared" si="17"/>
        <v>5057.1899000000003</v>
      </c>
      <c r="AA576" s="5">
        <v>121.58</v>
      </c>
      <c r="AB576" s="5">
        <v>91.63</v>
      </c>
    </row>
    <row r="577" spans="1:28" x14ac:dyDescent="0.3">
      <c r="A577" s="6">
        <v>39020</v>
      </c>
      <c r="B577" s="7">
        <v>0.66666666666666663</v>
      </c>
      <c r="C577" s="5">
        <v>146.30000000000001</v>
      </c>
      <c r="D577" s="5">
        <v>146.30000000000001</v>
      </c>
      <c r="E577" s="5">
        <v>141</v>
      </c>
      <c r="F577" s="5">
        <v>143</v>
      </c>
      <c r="G577" s="5">
        <v>25200</v>
      </c>
      <c r="I577" s="6">
        <v>40659</v>
      </c>
      <c r="J577" s="7">
        <v>0.66666666666666663</v>
      </c>
      <c r="K577" s="5">
        <v>5057.1899000000003</v>
      </c>
      <c r="L577" s="5">
        <v>5100</v>
      </c>
      <c r="M577" s="5">
        <v>5001.2402000000002</v>
      </c>
      <c r="N577" s="5">
        <v>5005.1298999999999</v>
      </c>
      <c r="O577" s="5">
        <v>18</v>
      </c>
      <c r="Q577" s="6">
        <v>38993</v>
      </c>
      <c r="R577" s="7">
        <v>0.66666666666666663</v>
      </c>
      <c r="S577" s="5">
        <v>93.2</v>
      </c>
      <c r="T577" s="5">
        <v>93.35</v>
      </c>
      <c r="U577" s="5">
        <v>91</v>
      </c>
      <c r="V577" s="5">
        <v>91.8</v>
      </c>
      <c r="W577" s="5">
        <v>107800</v>
      </c>
      <c r="Y577" s="6">
        <f t="shared" si="16"/>
        <v>40659</v>
      </c>
      <c r="Z577" s="5">
        <f t="shared" si="17"/>
        <v>5005.1298999999999</v>
      </c>
      <c r="AA577" s="5">
        <v>122.78</v>
      </c>
      <c r="AB577" s="5">
        <v>92.06</v>
      </c>
    </row>
    <row r="578" spans="1:28" x14ac:dyDescent="0.3">
      <c r="A578" s="6">
        <v>39021</v>
      </c>
      <c r="B578" s="7">
        <v>0.66666666666666663</v>
      </c>
      <c r="C578" s="5">
        <v>143.94999999999999</v>
      </c>
      <c r="D578" s="5">
        <v>144</v>
      </c>
      <c r="E578" s="5">
        <v>143</v>
      </c>
      <c r="F578" s="5">
        <v>144</v>
      </c>
      <c r="G578" s="5">
        <v>8900</v>
      </c>
      <c r="I578" s="6">
        <v>40660</v>
      </c>
      <c r="J578" s="7">
        <v>0.66666666666666663</v>
      </c>
      <c r="K578" s="5">
        <v>5005.1298999999999</v>
      </c>
      <c r="L578" s="5">
        <v>5087.9902000000002</v>
      </c>
      <c r="M578" s="5">
        <v>5000</v>
      </c>
      <c r="N578" s="5">
        <v>5013</v>
      </c>
      <c r="O578" s="5">
        <v>38</v>
      </c>
      <c r="Q578" s="6">
        <v>38994</v>
      </c>
      <c r="R578" s="7">
        <v>0.66666666666666663</v>
      </c>
      <c r="S578" s="5">
        <v>91.7</v>
      </c>
      <c r="T578" s="5">
        <v>91.7</v>
      </c>
      <c r="U578" s="5">
        <v>90</v>
      </c>
      <c r="V578" s="5">
        <v>91.45</v>
      </c>
      <c r="W578" s="5">
        <v>145700</v>
      </c>
      <c r="Y578" s="6">
        <f t="shared" si="16"/>
        <v>40660</v>
      </c>
      <c r="Z578" s="5">
        <f t="shared" si="17"/>
        <v>5013</v>
      </c>
      <c r="AA578" s="5">
        <v>123.5</v>
      </c>
      <c r="AB578" s="5">
        <v>93.01</v>
      </c>
    </row>
    <row r="579" spans="1:28" x14ac:dyDescent="0.3">
      <c r="A579" s="6">
        <v>39022</v>
      </c>
      <c r="B579" s="7">
        <v>0.66666666666666663</v>
      </c>
      <c r="C579" s="5">
        <v>143</v>
      </c>
      <c r="D579" s="5">
        <v>143.85</v>
      </c>
      <c r="E579" s="5">
        <v>141.1</v>
      </c>
      <c r="F579" s="5">
        <v>141.25</v>
      </c>
      <c r="G579" s="5">
        <v>6900</v>
      </c>
      <c r="I579" s="6">
        <v>40665</v>
      </c>
      <c r="J579" s="7">
        <v>0.66666666666666663</v>
      </c>
      <c r="K579" s="5">
        <v>5050</v>
      </c>
      <c r="L579" s="5">
        <v>5285</v>
      </c>
      <c r="M579" s="5">
        <v>5050</v>
      </c>
      <c r="N579" s="5">
        <v>5129.9799999999996</v>
      </c>
      <c r="O579" s="5">
        <v>228</v>
      </c>
      <c r="Q579" s="6">
        <v>38995</v>
      </c>
      <c r="R579" s="7">
        <v>0.66666666666666663</v>
      </c>
      <c r="S579" s="5">
        <v>91.45</v>
      </c>
      <c r="T579" s="5">
        <v>92.85</v>
      </c>
      <c r="U579" s="5">
        <v>90.25</v>
      </c>
      <c r="V579" s="5">
        <v>91.9</v>
      </c>
      <c r="W579" s="5">
        <v>183800</v>
      </c>
      <c r="Y579" s="6">
        <f t="shared" si="16"/>
        <v>40665</v>
      </c>
      <c r="Z579" s="5">
        <f t="shared" si="17"/>
        <v>5129.9799999999996</v>
      </c>
      <c r="AA579" s="5">
        <v>125.67</v>
      </c>
      <c r="AB579" s="5">
        <v>92.14</v>
      </c>
    </row>
    <row r="580" spans="1:28" x14ac:dyDescent="0.3">
      <c r="A580" s="6">
        <v>39023</v>
      </c>
      <c r="B580" s="7">
        <v>0.66666666666666663</v>
      </c>
      <c r="C580" s="5">
        <v>141</v>
      </c>
      <c r="D580" s="5">
        <v>142</v>
      </c>
      <c r="E580" s="5">
        <v>140</v>
      </c>
      <c r="F580" s="5">
        <v>141</v>
      </c>
      <c r="G580" s="5">
        <v>10600</v>
      </c>
      <c r="I580" s="6">
        <v>40666</v>
      </c>
      <c r="J580" s="7">
        <v>0.66666666666666663</v>
      </c>
      <c r="K580" s="5">
        <v>5129.9799999999996</v>
      </c>
      <c r="L580" s="5">
        <v>5185</v>
      </c>
      <c r="M580" s="5">
        <v>5055</v>
      </c>
      <c r="N580" s="5">
        <v>5128.6201000000001</v>
      </c>
      <c r="O580" s="5">
        <v>46</v>
      </c>
      <c r="Q580" s="6">
        <v>38996</v>
      </c>
      <c r="R580" s="7">
        <v>0.66666666666666663</v>
      </c>
      <c r="S580" s="5">
        <v>91.9</v>
      </c>
      <c r="T580" s="5">
        <v>92.5</v>
      </c>
      <c r="U580" s="5">
        <v>90.2</v>
      </c>
      <c r="V580" s="5">
        <v>90.4</v>
      </c>
      <c r="W580" s="5">
        <v>161400</v>
      </c>
      <c r="Y580" s="6">
        <f t="shared" ref="Y580:Y643" si="18">I580</f>
        <v>40666</v>
      </c>
      <c r="Z580" s="5">
        <f t="shared" ref="Z580:Z643" si="19">N580</f>
        <v>5128.6201000000001</v>
      </c>
      <c r="AA580" s="5">
        <v>123.94</v>
      </c>
      <c r="AB580" s="5">
        <v>91.1</v>
      </c>
    </row>
    <row r="581" spans="1:28" x14ac:dyDescent="0.3">
      <c r="A581" s="6">
        <v>39024</v>
      </c>
      <c r="B581" s="7">
        <v>0.66666666666666663</v>
      </c>
      <c r="C581" s="5">
        <v>140.4</v>
      </c>
      <c r="D581" s="5">
        <v>142.9</v>
      </c>
      <c r="E581" s="5">
        <v>140.4</v>
      </c>
      <c r="F581" s="5">
        <v>141.6</v>
      </c>
      <c r="G581" s="5">
        <v>6700</v>
      </c>
      <c r="I581" s="6">
        <v>40667</v>
      </c>
      <c r="J581" s="7">
        <v>0.66666666666666663</v>
      </c>
      <c r="K581" s="5">
        <v>5128.6201000000001</v>
      </c>
      <c r="L581" s="5">
        <v>5149</v>
      </c>
      <c r="M581" s="5">
        <v>4950.0097999999998</v>
      </c>
      <c r="N581" s="5">
        <v>5000.5897999999997</v>
      </c>
      <c r="O581" s="5">
        <v>342</v>
      </c>
      <c r="Q581" s="6">
        <v>38999</v>
      </c>
      <c r="R581" s="7">
        <v>0.66666666666666663</v>
      </c>
      <c r="S581" s="5">
        <v>90.4</v>
      </c>
      <c r="T581" s="5">
        <v>92.3</v>
      </c>
      <c r="U581" s="5">
        <v>89</v>
      </c>
      <c r="V581" s="5">
        <v>90.5</v>
      </c>
      <c r="W581" s="5">
        <v>174000</v>
      </c>
      <c r="Y581" s="6">
        <f t="shared" si="18"/>
        <v>40667</v>
      </c>
      <c r="Z581" s="5">
        <f t="shared" si="19"/>
        <v>5000.5897999999997</v>
      </c>
      <c r="AA581" s="5">
        <v>123.56</v>
      </c>
      <c r="AB581" s="5">
        <v>89.93</v>
      </c>
    </row>
    <row r="582" spans="1:28" x14ac:dyDescent="0.3">
      <c r="A582" s="6">
        <v>39027</v>
      </c>
      <c r="B582" s="7">
        <v>0.66666666666666663</v>
      </c>
      <c r="C582" s="5">
        <v>142.5</v>
      </c>
      <c r="D582" s="5">
        <v>143</v>
      </c>
      <c r="E582" s="5">
        <v>142.25</v>
      </c>
      <c r="F582" s="5">
        <v>142.5</v>
      </c>
      <c r="G582" s="5">
        <v>5900</v>
      </c>
      <c r="I582" s="6">
        <v>40668</v>
      </c>
      <c r="J582" s="7">
        <v>0.66666666666666663</v>
      </c>
      <c r="K582" s="5">
        <v>5016.1602000000003</v>
      </c>
      <c r="L582" s="5">
        <v>5119</v>
      </c>
      <c r="M582" s="5">
        <v>5016.1602000000003</v>
      </c>
      <c r="N582" s="5">
        <v>5100</v>
      </c>
      <c r="O582" s="5">
        <v>53</v>
      </c>
      <c r="Q582" s="6">
        <v>39000</v>
      </c>
      <c r="R582" s="7">
        <v>0.66666666666666663</v>
      </c>
      <c r="S582" s="5">
        <v>90.5</v>
      </c>
      <c r="T582" s="5">
        <v>91.45</v>
      </c>
      <c r="U582" s="5">
        <v>90</v>
      </c>
      <c r="V582" s="5">
        <v>90.1</v>
      </c>
      <c r="W582" s="5">
        <v>101100</v>
      </c>
      <c r="Y582" s="6">
        <f t="shared" si="18"/>
        <v>40668</v>
      </c>
      <c r="Z582" s="5">
        <f t="shared" si="19"/>
        <v>5100</v>
      </c>
      <c r="AA582" s="5">
        <v>125.66</v>
      </c>
      <c r="AB582" s="5">
        <v>91.74</v>
      </c>
    </row>
    <row r="583" spans="1:28" x14ac:dyDescent="0.3">
      <c r="A583" s="6">
        <v>39028</v>
      </c>
      <c r="B583" s="7">
        <v>0.66666666666666663</v>
      </c>
      <c r="C583" s="5">
        <v>141.15</v>
      </c>
      <c r="D583" s="5">
        <v>143</v>
      </c>
      <c r="E583" s="5">
        <v>141.1</v>
      </c>
      <c r="F583" s="5">
        <v>142.5</v>
      </c>
      <c r="G583" s="5">
        <v>3700</v>
      </c>
      <c r="I583" s="6">
        <v>40669</v>
      </c>
      <c r="J583" s="7">
        <v>0.66666666666666663</v>
      </c>
      <c r="K583" s="5">
        <v>5100</v>
      </c>
      <c r="L583" s="5">
        <v>5299</v>
      </c>
      <c r="M583" s="5">
        <v>4950</v>
      </c>
      <c r="N583" s="5">
        <v>5023.9399000000003</v>
      </c>
      <c r="O583" s="5">
        <v>625</v>
      </c>
      <c r="Q583" s="6">
        <v>39001</v>
      </c>
      <c r="R583" s="7">
        <v>0.66666666666666663</v>
      </c>
      <c r="S583" s="5">
        <v>90.1</v>
      </c>
      <c r="T583" s="5">
        <v>91</v>
      </c>
      <c r="U583" s="5">
        <v>88.5</v>
      </c>
      <c r="V583" s="5">
        <v>88.9</v>
      </c>
      <c r="W583" s="5">
        <v>157800</v>
      </c>
      <c r="Y583" s="6">
        <f t="shared" si="18"/>
        <v>40669</v>
      </c>
      <c r="Z583" s="5">
        <f t="shared" si="19"/>
        <v>5023.9399000000003</v>
      </c>
      <c r="AA583" s="5">
        <v>124.86</v>
      </c>
      <c r="AB583" s="5">
        <v>91.99</v>
      </c>
    </row>
    <row r="584" spans="1:28" x14ac:dyDescent="0.3">
      <c r="A584" s="6">
        <v>39029</v>
      </c>
      <c r="B584" s="7">
        <v>0.66666666666666663</v>
      </c>
      <c r="C584" s="5">
        <v>141.80000000000001</v>
      </c>
      <c r="D584" s="5">
        <v>142.4</v>
      </c>
      <c r="E584" s="5">
        <v>140.9</v>
      </c>
      <c r="F584" s="5">
        <v>141.25</v>
      </c>
      <c r="G584" s="5">
        <v>2400</v>
      </c>
      <c r="I584" s="6">
        <v>40672</v>
      </c>
      <c r="J584" s="7">
        <v>0.66666666666666663</v>
      </c>
      <c r="K584" s="5">
        <v>5023.9399000000003</v>
      </c>
      <c r="L584" s="5">
        <v>5130</v>
      </c>
      <c r="M584" s="5">
        <v>4960.0097999999998</v>
      </c>
      <c r="N584" s="5">
        <v>5100</v>
      </c>
      <c r="O584" s="5">
        <v>178</v>
      </c>
      <c r="Q584" s="6">
        <v>39002</v>
      </c>
      <c r="R584" s="7">
        <v>0.66666666666666663</v>
      </c>
      <c r="S584" s="5">
        <v>88.9</v>
      </c>
      <c r="T584" s="5">
        <v>89.85</v>
      </c>
      <c r="U584" s="5">
        <v>88.05</v>
      </c>
      <c r="V584" s="5">
        <v>88.45</v>
      </c>
      <c r="W584" s="5">
        <v>70800</v>
      </c>
      <c r="Y584" s="6">
        <f t="shared" si="18"/>
        <v>40672</v>
      </c>
      <c r="Z584" s="5">
        <f t="shared" si="19"/>
        <v>5100</v>
      </c>
      <c r="AA584" s="5">
        <v>124.77</v>
      </c>
      <c r="AB584" s="5">
        <v>91.5</v>
      </c>
    </row>
    <row r="585" spans="1:28" x14ac:dyDescent="0.3">
      <c r="A585" s="6">
        <v>39031</v>
      </c>
      <c r="B585" s="7">
        <v>0.66666666666666663</v>
      </c>
      <c r="C585" s="5">
        <v>140.75</v>
      </c>
      <c r="D585" s="5">
        <v>141.5</v>
      </c>
      <c r="E585" s="5">
        <v>140.75</v>
      </c>
      <c r="F585" s="5">
        <v>140.75</v>
      </c>
      <c r="G585" s="5">
        <v>1500</v>
      </c>
      <c r="I585" s="6">
        <v>40673</v>
      </c>
      <c r="J585" s="7">
        <v>0.66666666666666663</v>
      </c>
      <c r="K585" s="5">
        <v>5100</v>
      </c>
      <c r="L585" s="5">
        <v>5300</v>
      </c>
      <c r="M585" s="5">
        <v>5050.0200000000004</v>
      </c>
      <c r="N585" s="5">
        <v>5266.6602000000003</v>
      </c>
      <c r="O585" s="5">
        <v>252</v>
      </c>
      <c r="Q585" s="6">
        <v>39003</v>
      </c>
      <c r="R585" s="7">
        <v>0.66666666666666663</v>
      </c>
      <c r="S585" s="5">
        <v>88.45</v>
      </c>
      <c r="T585" s="5">
        <v>89.5</v>
      </c>
      <c r="U585" s="5">
        <v>88.1</v>
      </c>
      <c r="V585" s="5">
        <v>88.95</v>
      </c>
      <c r="W585" s="5">
        <v>69900</v>
      </c>
      <c r="Y585" s="6">
        <f t="shared" si="18"/>
        <v>40673</v>
      </c>
      <c r="Z585" s="5">
        <f t="shared" si="19"/>
        <v>5266.6602000000003</v>
      </c>
      <c r="AA585" s="5">
        <v>124.68</v>
      </c>
      <c r="AB585" s="5">
        <v>90.68</v>
      </c>
    </row>
    <row r="586" spans="1:28" x14ac:dyDescent="0.3">
      <c r="A586" s="6">
        <v>39034</v>
      </c>
      <c r="B586" s="7">
        <v>0.66666666666666663</v>
      </c>
      <c r="C586" s="5">
        <v>140.75</v>
      </c>
      <c r="D586" s="5">
        <v>142</v>
      </c>
      <c r="E586" s="5">
        <v>139.5</v>
      </c>
      <c r="F586" s="5">
        <v>140.5</v>
      </c>
      <c r="G586" s="5">
        <v>11000</v>
      </c>
      <c r="I586" s="6">
        <v>40674</v>
      </c>
      <c r="J586" s="7">
        <v>0.66666666666666663</v>
      </c>
      <c r="K586" s="5">
        <v>5266.6602000000003</v>
      </c>
      <c r="L586" s="5">
        <v>5449</v>
      </c>
      <c r="M586" s="5">
        <v>5155.5497999999998</v>
      </c>
      <c r="N586" s="5">
        <v>5185.3900999999996</v>
      </c>
      <c r="O586" s="5">
        <v>140</v>
      </c>
      <c r="Q586" s="6">
        <v>39006</v>
      </c>
      <c r="R586" s="7">
        <v>0.66666666666666663</v>
      </c>
      <c r="S586" s="5">
        <v>88.95</v>
      </c>
      <c r="T586" s="5">
        <v>90.25</v>
      </c>
      <c r="U586" s="5">
        <v>88</v>
      </c>
      <c r="V586" s="5">
        <v>88.5</v>
      </c>
      <c r="W586" s="5">
        <v>87100</v>
      </c>
      <c r="Y586" s="6">
        <f t="shared" si="18"/>
        <v>40674</v>
      </c>
      <c r="Z586" s="5">
        <f t="shared" si="19"/>
        <v>5185.3900999999996</v>
      </c>
      <c r="AA586" s="5">
        <v>125</v>
      </c>
      <c r="AB586" s="5">
        <v>91.25</v>
      </c>
    </row>
    <row r="587" spans="1:28" x14ac:dyDescent="0.3">
      <c r="A587" s="6">
        <v>39035</v>
      </c>
      <c r="B587" s="7">
        <v>0.66666666666666663</v>
      </c>
      <c r="C587" s="5">
        <v>140.15</v>
      </c>
      <c r="D587" s="5">
        <v>141.94999999999999</v>
      </c>
      <c r="E587" s="5">
        <v>140.15</v>
      </c>
      <c r="F587" s="5">
        <v>140.9</v>
      </c>
      <c r="G587" s="5">
        <v>1100</v>
      </c>
      <c r="I587" s="6">
        <v>40676</v>
      </c>
      <c r="J587" s="7">
        <v>0.66666666666666663</v>
      </c>
      <c r="K587" s="5">
        <v>5185.3900999999996</v>
      </c>
      <c r="L587" s="5">
        <v>5250</v>
      </c>
      <c r="M587" s="5">
        <v>5150</v>
      </c>
      <c r="N587" s="5">
        <v>5200</v>
      </c>
      <c r="O587" s="5">
        <v>201</v>
      </c>
      <c r="Q587" s="6">
        <v>39007</v>
      </c>
      <c r="R587" s="7">
        <v>0.66666666666666663</v>
      </c>
      <c r="S587" s="5">
        <v>88.7</v>
      </c>
      <c r="T587" s="5">
        <v>90</v>
      </c>
      <c r="U587" s="5">
        <v>88.7</v>
      </c>
      <c r="V587" s="5">
        <v>89.3</v>
      </c>
      <c r="W587" s="5">
        <v>144100</v>
      </c>
      <c r="Y587" s="6">
        <f t="shared" si="18"/>
        <v>40676</v>
      </c>
      <c r="Z587" s="5">
        <f t="shared" si="19"/>
        <v>5200</v>
      </c>
      <c r="AA587" s="5">
        <v>124.11</v>
      </c>
      <c r="AB587" s="5">
        <v>91</v>
      </c>
    </row>
    <row r="588" spans="1:28" x14ac:dyDescent="0.3">
      <c r="A588" s="6">
        <v>39036</v>
      </c>
      <c r="B588" s="7">
        <v>0.66666666666666663</v>
      </c>
      <c r="C588" s="5">
        <v>141.1</v>
      </c>
      <c r="D588" s="5">
        <v>141.85</v>
      </c>
      <c r="E588" s="5">
        <v>140.5</v>
      </c>
      <c r="F588" s="5">
        <v>141</v>
      </c>
      <c r="G588" s="5">
        <v>2700</v>
      </c>
      <c r="I588" s="6">
        <v>40679</v>
      </c>
      <c r="J588" s="7">
        <v>0.66666666666666663</v>
      </c>
      <c r="K588" s="5">
        <v>5200</v>
      </c>
      <c r="L588" s="5">
        <v>5269</v>
      </c>
      <c r="M588" s="5">
        <v>5170.0097999999998</v>
      </c>
      <c r="N588" s="5">
        <v>5203.1201000000001</v>
      </c>
      <c r="O588" s="5">
        <v>19</v>
      </c>
      <c r="Q588" s="6">
        <v>39008</v>
      </c>
      <c r="R588" s="7">
        <v>0.66666666666666663</v>
      </c>
      <c r="S588" s="5">
        <v>89.3</v>
      </c>
      <c r="T588" s="5">
        <v>90</v>
      </c>
      <c r="U588" s="5">
        <v>88.5</v>
      </c>
      <c r="V588" s="5">
        <v>88.85</v>
      </c>
      <c r="W588" s="5">
        <v>154400</v>
      </c>
      <c r="Y588" s="6">
        <f t="shared" si="18"/>
        <v>40679</v>
      </c>
      <c r="Z588" s="5">
        <f t="shared" si="19"/>
        <v>5203.1201000000001</v>
      </c>
      <c r="AA588" s="5">
        <v>122.44</v>
      </c>
      <c r="AB588" s="5">
        <v>88.8</v>
      </c>
    </row>
    <row r="589" spans="1:28" x14ac:dyDescent="0.3">
      <c r="A589" s="6">
        <v>39037</v>
      </c>
      <c r="B589" s="7">
        <v>0.66666666666666663</v>
      </c>
      <c r="C589" s="5">
        <v>140.05000000000001</v>
      </c>
      <c r="D589" s="5">
        <v>140.05000000000001</v>
      </c>
      <c r="E589" s="5">
        <v>140</v>
      </c>
      <c r="F589" s="5">
        <v>140</v>
      </c>
      <c r="G589" s="5">
        <v>300</v>
      </c>
      <c r="I589" s="6">
        <v>40680</v>
      </c>
      <c r="J589" s="7">
        <v>0.66666666666666663</v>
      </c>
      <c r="K589" s="5">
        <v>5203.1201000000001</v>
      </c>
      <c r="L589" s="5">
        <v>5249</v>
      </c>
      <c r="M589" s="5">
        <v>5151</v>
      </c>
      <c r="N589" s="5">
        <v>5203.25</v>
      </c>
      <c r="O589" s="5">
        <v>32</v>
      </c>
      <c r="Q589" s="6">
        <v>39009</v>
      </c>
      <c r="R589" s="7">
        <v>0.66666666666666663</v>
      </c>
      <c r="S589" s="5">
        <v>88.85</v>
      </c>
      <c r="T589" s="5">
        <v>89.95</v>
      </c>
      <c r="U589" s="5">
        <v>88.55</v>
      </c>
      <c r="V589" s="5">
        <v>89</v>
      </c>
      <c r="W589" s="5">
        <v>125200</v>
      </c>
      <c r="Y589" s="6">
        <f t="shared" si="18"/>
        <v>40680</v>
      </c>
      <c r="Z589" s="5">
        <f t="shared" si="19"/>
        <v>5203.25</v>
      </c>
      <c r="AA589" s="5">
        <v>122.81</v>
      </c>
      <c r="AB589" s="5">
        <v>91.05</v>
      </c>
    </row>
    <row r="590" spans="1:28" x14ac:dyDescent="0.3">
      <c r="A590" s="6">
        <v>39038</v>
      </c>
      <c r="B590" s="7">
        <v>0.66666666666666663</v>
      </c>
      <c r="C590" s="5">
        <v>140.19999999999999</v>
      </c>
      <c r="D590" s="5">
        <v>141.44999999999999</v>
      </c>
      <c r="E590" s="5">
        <v>138</v>
      </c>
      <c r="F590" s="5">
        <v>141.4</v>
      </c>
      <c r="G590" s="5">
        <v>2200</v>
      </c>
      <c r="I590" s="6">
        <v>40681</v>
      </c>
      <c r="J590" s="7">
        <v>0.66666666666666663</v>
      </c>
      <c r="K590" s="5">
        <v>5203.25</v>
      </c>
      <c r="L590" s="5">
        <v>5249</v>
      </c>
      <c r="M590" s="5">
        <v>5172.5</v>
      </c>
      <c r="N590" s="5">
        <v>5184.6000999999997</v>
      </c>
      <c r="O590" s="5">
        <v>27</v>
      </c>
      <c r="Q590" s="6">
        <v>39020</v>
      </c>
      <c r="R590" s="7">
        <v>0.66666666666666663</v>
      </c>
      <c r="S590" s="5">
        <v>89</v>
      </c>
      <c r="T590" s="5">
        <v>90</v>
      </c>
      <c r="U590" s="5">
        <v>85</v>
      </c>
      <c r="V590" s="5">
        <v>87</v>
      </c>
      <c r="W590" s="5">
        <v>232300</v>
      </c>
      <c r="Y590" s="6">
        <f t="shared" si="18"/>
        <v>40681</v>
      </c>
      <c r="Z590" s="5">
        <f t="shared" si="19"/>
        <v>5184.6000999999997</v>
      </c>
      <c r="AA590" s="5">
        <v>123.14</v>
      </c>
      <c r="AB590" s="5">
        <v>91.26</v>
      </c>
    </row>
    <row r="591" spans="1:28" x14ac:dyDescent="0.3">
      <c r="A591" s="6">
        <v>39041</v>
      </c>
      <c r="B591" s="7">
        <v>0.66666666666666663</v>
      </c>
      <c r="C591" s="5">
        <v>141</v>
      </c>
      <c r="D591" s="5">
        <v>141</v>
      </c>
      <c r="E591" s="5">
        <v>140.5</v>
      </c>
      <c r="F591" s="5">
        <v>140.9</v>
      </c>
      <c r="G591" s="5">
        <v>1000</v>
      </c>
      <c r="I591" s="6">
        <v>40682</v>
      </c>
      <c r="J591" s="7">
        <v>0.66666666666666663</v>
      </c>
      <c r="K591" s="5">
        <v>5184.6000999999997</v>
      </c>
      <c r="L591" s="5">
        <v>5240</v>
      </c>
      <c r="M591" s="5">
        <v>5170</v>
      </c>
      <c r="N591" s="5">
        <v>5214.7002000000002</v>
      </c>
      <c r="O591" s="5">
        <v>367</v>
      </c>
      <c r="Q591" s="6">
        <v>39021</v>
      </c>
      <c r="R591" s="7">
        <v>0.66666666666666663</v>
      </c>
      <c r="S591" s="5">
        <v>87</v>
      </c>
      <c r="T591" s="5">
        <v>87.6</v>
      </c>
      <c r="U591" s="5">
        <v>84.8</v>
      </c>
      <c r="V591" s="5">
        <v>85.75</v>
      </c>
      <c r="W591" s="5">
        <v>133500</v>
      </c>
      <c r="Y591" s="6">
        <f t="shared" si="18"/>
        <v>40682</v>
      </c>
      <c r="Z591" s="5">
        <f t="shared" si="19"/>
        <v>5214.7002000000002</v>
      </c>
      <c r="AA591" s="5">
        <v>122.47</v>
      </c>
      <c r="AB591" s="5">
        <v>91.78</v>
      </c>
    </row>
    <row r="592" spans="1:28" x14ac:dyDescent="0.3">
      <c r="A592" s="6">
        <v>39042</v>
      </c>
      <c r="B592" s="7">
        <v>0.66666666666666663</v>
      </c>
      <c r="C592" s="5">
        <v>140</v>
      </c>
      <c r="D592" s="5">
        <v>141.1</v>
      </c>
      <c r="E592" s="5">
        <v>140</v>
      </c>
      <c r="F592" s="5">
        <v>141</v>
      </c>
      <c r="G592" s="5">
        <v>5900</v>
      </c>
      <c r="I592" s="6">
        <v>40683</v>
      </c>
      <c r="J592" s="7">
        <v>0.66666666666666663</v>
      </c>
      <c r="K592" s="5">
        <v>5214.7002000000002</v>
      </c>
      <c r="L592" s="5">
        <v>5280</v>
      </c>
      <c r="M592" s="5">
        <v>5175.5</v>
      </c>
      <c r="N592" s="5">
        <v>5279.8999000000003</v>
      </c>
      <c r="O592" s="5">
        <v>67</v>
      </c>
      <c r="Q592" s="6">
        <v>39022</v>
      </c>
      <c r="R592" s="7">
        <v>0.66666666666666663</v>
      </c>
      <c r="S592" s="5">
        <v>85.75</v>
      </c>
      <c r="T592" s="5">
        <v>85.9</v>
      </c>
      <c r="U592" s="5">
        <v>82.1</v>
      </c>
      <c r="V592" s="5">
        <v>82.8</v>
      </c>
      <c r="W592" s="5">
        <v>81100</v>
      </c>
      <c r="Y592" s="6">
        <f t="shared" si="18"/>
        <v>40683</v>
      </c>
      <c r="Z592" s="5">
        <f t="shared" si="19"/>
        <v>5279.8999000000003</v>
      </c>
      <c r="AA592" s="5">
        <v>122.93</v>
      </c>
      <c r="AB592" s="5">
        <v>91.66</v>
      </c>
    </row>
    <row r="593" spans="1:28" x14ac:dyDescent="0.3">
      <c r="A593" s="6">
        <v>39043</v>
      </c>
      <c r="B593" s="7">
        <v>0.66666666666666663</v>
      </c>
      <c r="C593" s="5">
        <v>140.5</v>
      </c>
      <c r="D593" s="5">
        <v>141.4</v>
      </c>
      <c r="E593" s="5">
        <v>140.15</v>
      </c>
      <c r="F593" s="5">
        <v>141.4</v>
      </c>
      <c r="G593" s="5">
        <v>1400</v>
      </c>
      <c r="I593" s="6">
        <v>40686</v>
      </c>
      <c r="J593" s="7">
        <v>0.66666666666666663</v>
      </c>
      <c r="K593" s="5">
        <v>5279.8999000000003</v>
      </c>
      <c r="L593" s="5">
        <v>5300</v>
      </c>
      <c r="M593" s="5">
        <v>5150</v>
      </c>
      <c r="N593" s="5">
        <v>5212.4102000000003</v>
      </c>
      <c r="O593" s="5">
        <v>21</v>
      </c>
      <c r="Q593" s="6">
        <v>39023</v>
      </c>
      <c r="R593" s="7">
        <v>0.66666666666666663</v>
      </c>
      <c r="S593" s="5">
        <v>82.8</v>
      </c>
      <c r="T593" s="5">
        <v>83.9</v>
      </c>
      <c r="U593" s="5">
        <v>81.650000000000006</v>
      </c>
      <c r="V593" s="5">
        <v>81.900000000000006</v>
      </c>
      <c r="W593" s="5">
        <v>114700</v>
      </c>
      <c r="Y593" s="6">
        <f t="shared" si="18"/>
        <v>40686</v>
      </c>
      <c r="Z593" s="5">
        <f t="shared" si="19"/>
        <v>5212.4102000000003</v>
      </c>
      <c r="AA593" s="5">
        <v>122.5</v>
      </c>
      <c r="AB593" s="5">
        <v>91.95</v>
      </c>
    </row>
    <row r="594" spans="1:28" x14ac:dyDescent="0.3">
      <c r="A594" s="6">
        <v>39044</v>
      </c>
      <c r="B594" s="7">
        <v>0.66666666666666663</v>
      </c>
      <c r="C594" s="5">
        <v>141.9</v>
      </c>
      <c r="D594" s="5">
        <v>142</v>
      </c>
      <c r="E594" s="5">
        <v>140</v>
      </c>
      <c r="F594" s="5">
        <v>141.75</v>
      </c>
      <c r="G594" s="5">
        <v>11200</v>
      </c>
      <c r="I594" s="6">
        <v>40687</v>
      </c>
      <c r="J594" s="7">
        <v>0.66666666666666663</v>
      </c>
      <c r="K594" s="5">
        <v>5212.4102000000003</v>
      </c>
      <c r="L594" s="5">
        <v>5279</v>
      </c>
      <c r="M594" s="5">
        <v>5157</v>
      </c>
      <c r="N594" s="5">
        <v>5253.6801999999998</v>
      </c>
      <c r="O594" s="5">
        <v>636</v>
      </c>
      <c r="Q594" s="6">
        <v>39024</v>
      </c>
      <c r="R594" s="7">
        <v>0.66666666666666663</v>
      </c>
      <c r="S594" s="5">
        <v>83.2</v>
      </c>
      <c r="T594" s="5">
        <v>85</v>
      </c>
      <c r="U594" s="5">
        <v>83.2</v>
      </c>
      <c r="V594" s="5">
        <v>85</v>
      </c>
      <c r="W594" s="5">
        <v>132600</v>
      </c>
      <c r="Y594" s="6">
        <f t="shared" si="18"/>
        <v>40687</v>
      </c>
      <c r="Z594" s="5">
        <f t="shared" si="19"/>
        <v>5253.6801999999998</v>
      </c>
      <c r="AA594" s="5">
        <v>124.41</v>
      </c>
      <c r="AB594" s="5">
        <v>92.99</v>
      </c>
    </row>
    <row r="595" spans="1:28" x14ac:dyDescent="0.3">
      <c r="A595" s="6">
        <v>39045</v>
      </c>
      <c r="B595" s="7">
        <v>0.66666666666666663</v>
      </c>
      <c r="C595" s="5">
        <v>145</v>
      </c>
      <c r="D595" s="5">
        <v>145</v>
      </c>
      <c r="E595" s="5">
        <v>140.5</v>
      </c>
      <c r="F595" s="5">
        <v>141.75</v>
      </c>
      <c r="G595" s="5">
        <v>4300</v>
      </c>
      <c r="I595" s="6">
        <v>40688</v>
      </c>
      <c r="J595" s="7">
        <v>0.66666666666666663</v>
      </c>
      <c r="K595" s="5">
        <v>5253.6801999999998</v>
      </c>
      <c r="L595" s="5">
        <v>5300</v>
      </c>
      <c r="M595" s="5">
        <v>5100</v>
      </c>
      <c r="N595" s="5">
        <v>5167</v>
      </c>
      <c r="O595" s="5">
        <v>119</v>
      </c>
      <c r="Q595" s="6">
        <v>39027</v>
      </c>
      <c r="R595" s="7">
        <v>0.66666666666666663</v>
      </c>
      <c r="S595" s="5">
        <v>85</v>
      </c>
      <c r="T595" s="5">
        <v>86.25</v>
      </c>
      <c r="U595" s="5">
        <v>83.75</v>
      </c>
      <c r="V595" s="5">
        <v>84.7</v>
      </c>
      <c r="W595" s="5">
        <v>121300</v>
      </c>
      <c r="Y595" s="6">
        <f t="shared" si="18"/>
        <v>40688</v>
      </c>
      <c r="Z595" s="5">
        <f t="shared" si="19"/>
        <v>5167</v>
      </c>
      <c r="AA595" s="5">
        <v>125.53</v>
      </c>
      <c r="AB595" s="5">
        <v>93</v>
      </c>
    </row>
    <row r="596" spans="1:28" x14ac:dyDescent="0.3">
      <c r="A596" s="6">
        <v>39048</v>
      </c>
      <c r="B596" s="7">
        <v>0.66666666666666663</v>
      </c>
      <c r="C596" s="5">
        <v>141</v>
      </c>
      <c r="D596" s="5">
        <v>143</v>
      </c>
      <c r="E596" s="5">
        <v>141</v>
      </c>
      <c r="F596" s="5">
        <v>142.5</v>
      </c>
      <c r="G596" s="5">
        <v>5900</v>
      </c>
      <c r="I596" s="6">
        <v>40689</v>
      </c>
      <c r="J596" s="7">
        <v>0.66666666666666663</v>
      </c>
      <c r="K596" s="5">
        <v>5167</v>
      </c>
      <c r="L596" s="5">
        <v>5246</v>
      </c>
      <c r="M596" s="5">
        <v>5005</v>
      </c>
      <c r="N596" s="5">
        <v>5100.9799999999996</v>
      </c>
      <c r="O596" s="5">
        <v>37</v>
      </c>
      <c r="Q596" s="6">
        <v>39028</v>
      </c>
      <c r="R596" s="7">
        <v>0.66666666666666663</v>
      </c>
      <c r="S596" s="5">
        <v>84.7</v>
      </c>
      <c r="T596" s="5">
        <v>84.8</v>
      </c>
      <c r="U596" s="5">
        <v>81.3</v>
      </c>
      <c r="V596" s="5">
        <v>83.05</v>
      </c>
      <c r="W596" s="5">
        <v>83900</v>
      </c>
      <c r="Y596" s="6">
        <f t="shared" si="18"/>
        <v>40689</v>
      </c>
      <c r="Z596" s="5">
        <f t="shared" si="19"/>
        <v>5100.9799999999996</v>
      </c>
      <c r="AA596" s="5">
        <v>131.80000000000001</v>
      </c>
      <c r="AB596" s="5">
        <v>93.83</v>
      </c>
    </row>
    <row r="597" spans="1:28" x14ac:dyDescent="0.3">
      <c r="A597" s="6">
        <v>39049</v>
      </c>
      <c r="B597" s="7">
        <v>0.66666666666666663</v>
      </c>
      <c r="C597" s="5">
        <v>145</v>
      </c>
      <c r="D597" s="5">
        <v>145</v>
      </c>
      <c r="E597" s="5">
        <v>141.75</v>
      </c>
      <c r="F597" s="5">
        <v>143.5</v>
      </c>
      <c r="G597" s="5">
        <v>6000</v>
      </c>
      <c r="I597" s="6">
        <v>40690</v>
      </c>
      <c r="J597" s="7">
        <v>0.66666666666666663</v>
      </c>
      <c r="K597" s="5">
        <v>5100.9799999999996</v>
      </c>
      <c r="L597" s="5">
        <v>5200</v>
      </c>
      <c r="M597" s="5">
        <v>5099</v>
      </c>
      <c r="N597" s="5">
        <v>5200</v>
      </c>
      <c r="O597" s="5">
        <v>90</v>
      </c>
      <c r="Q597" s="6">
        <v>39029</v>
      </c>
      <c r="R597" s="7">
        <v>0.66666666666666663</v>
      </c>
      <c r="S597" s="5">
        <v>83.05</v>
      </c>
      <c r="T597" s="5">
        <v>83.45</v>
      </c>
      <c r="U597" s="5">
        <v>82</v>
      </c>
      <c r="V597" s="5">
        <v>82.1</v>
      </c>
      <c r="W597" s="5">
        <v>61400</v>
      </c>
      <c r="Y597" s="6">
        <f t="shared" si="18"/>
        <v>40690</v>
      </c>
      <c r="Z597" s="5">
        <f t="shared" si="19"/>
        <v>5200</v>
      </c>
      <c r="AA597" s="5">
        <v>133.77000000000001</v>
      </c>
      <c r="AB597" s="5">
        <v>92.95</v>
      </c>
    </row>
    <row r="598" spans="1:28" x14ac:dyDescent="0.3">
      <c r="A598" s="6">
        <v>39050</v>
      </c>
      <c r="B598" s="7">
        <v>0.66666666666666663</v>
      </c>
      <c r="C598" s="5">
        <v>144</v>
      </c>
      <c r="D598" s="5">
        <v>144.5</v>
      </c>
      <c r="E598" s="5">
        <v>143</v>
      </c>
      <c r="F598" s="5">
        <v>143.9</v>
      </c>
      <c r="G598" s="5">
        <v>6000</v>
      </c>
      <c r="I598" s="6">
        <v>40693</v>
      </c>
      <c r="J598" s="7">
        <v>0.66666666666666663</v>
      </c>
      <c r="K598" s="5">
        <v>5200</v>
      </c>
      <c r="L598" s="5">
        <v>5248.9902000000002</v>
      </c>
      <c r="M598" s="5">
        <v>5100.0497999999998</v>
      </c>
      <c r="N598" s="5">
        <v>5174.4198999999999</v>
      </c>
      <c r="O598" s="5">
        <v>7</v>
      </c>
      <c r="Q598" s="6">
        <v>39031</v>
      </c>
      <c r="R598" s="7">
        <v>0.66666666666666663</v>
      </c>
      <c r="S598" s="5">
        <v>81.5</v>
      </c>
      <c r="T598" s="5">
        <v>81.5</v>
      </c>
      <c r="U598" s="5">
        <v>78.150000000000006</v>
      </c>
      <c r="V598" s="5">
        <v>80.900000000000006</v>
      </c>
      <c r="W598" s="5">
        <v>82400</v>
      </c>
      <c r="Y598" s="6">
        <f t="shared" si="18"/>
        <v>40693</v>
      </c>
      <c r="Z598" s="5">
        <f t="shared" si="19"/>
        <v>5174.4198999999999</v>
      </c>
      <c r="AA598" s="5">
        <v>129.46</v>
      </c>
      <c r="AB598" s="5">
        <v>92.84</v>
      </c>
    </row>
    <row r="599" spans="1:28" x14ac:dyDescent="0.3">
      <c r="A599" s="6">
        <v>39051</v>
      </c>
      <c r="B599" s="7">
        <v>0.66666666666666663</v>
      </c>
      <c r="C599" s="5">
        <v>144.44999999999999</v>
      </c>
      <c r="D599" s="5">
        <v>144.5</v>
      </c>
      <c r="E599" s="5">
        <v>143</v>
      </c>
      <c r="F599" s="5">
        <v>144</v>
      </c>
      <c r="G599" s="5">
        <v>2800</v>
      </c>
      <c r="I599" s="6">
        <v>40694</v>
      </c>
      <c r="J599" s="7">
        <v>0.66666666666666663</v>
      </c>
      <c r="K599" s="5">
        <v>5174.4198999999999</v>
      </c>
      <c r="L599" s="5">
        <v>5249.98</v>
      </c>
      <c r="M599" s="5">
        <v>4915.7002000000002</v>
      </c>
      <c r="N599" s="5">
        <v>4946.3999000000003</v>
      </c>
      <c r="O599" s="5">
        <v>255</v>
      </c>
      <c r="Q599" s="6">
        <v>39034</v>
      </c>
      <c r="R599" s="7">
        <v>0.66666666666666663</v>
      </c>
      <c r="S599" s="5">
        <v>80.900000000000006</v>
      </c>
      <c r="T599" s="5">
        <v>81.8</v>
      </c>
      <c r="U599" s="5">
        <v>79</v>
      </c>
      <c r="V599" s="5">
        <v>80.25</v>
      </c>
      <c r="W599" s="5">
        <v>96300</v>
      </c>
      <c r="Y599" s="6">
        <f t="shared" si="18"/>
        <v>40694</v>
      </c>
      <c r="Z599" s="5">
        <f t="shared" si="19"/>
        <v>4946.3999000000003</v>
      </c>
      <c r="AA599" s="5">
        <v>131.05000000000001</v>
      </c>
      <c r="AB599" s="5">
        <v>92.52</v>
      </c>
    </row>
    <row r="600" spans="1:28" x14ac:dyDescent="0.3">
      <c r="A600" s="6">
        <v>39052</v>
      </c>
      <c r="B600" s="7">
        <v>0.66666666666666663</v>
      </c>
      <c r="C600" s="5">
        <v>142.55000000000001</v>
      </c>
      <c r="D600" s="5">
        <v>143</v>
      </c>
      <c r="E600" s="5">
        <v>142.5</v>
      </c>
      <c r="F600" s="5">
        <v>143</v>
      </c>
      <c r="G600" s="5">
        <v>1500</v>
      </c>
      <c r="I600" s="6">
        <v>40695</v>
      </c>
      <c r="J600" s="7">
        <v>0.66666666666666663</v>
      </c>
      <c r="K600" s="5">
        <v>4946.3999000000003</v>
      </c>
      <c r="L600" s="5">
        <v>5020</v>
      </c>
      <c r="M600" s="5">
        <v>4933.3301000000001</v>
      </c>
      <c r="N600" s="5">
        <v>4995.8599000000004</v>
      </c>
      <c r="O600" s="5">
        <v>26</v>
      </c>
      <c r="Q600" s="6">
        <v>39035</v>
      </c>
      <c r="R600" s="7">
        <v>0.66666666666666663</v>
      </c>
      <c r="S600" s="5">
        <v>80.25</v>
      </c>
      <c r="T600" s="5">
        <v>80.650000000000006</v>
      </c>
      <c r="U600" s="5">
        <v>78.7</v>
      </c>
      <c r="V600" s="5">
        <v>79</v>
      </c>
      <c r="W600" s="5">
        <v>84600</v>
      </c>
      <c r="Y600" s="6">
        <f t="shared" si="18"/>
        <v>40695</v>
      </c>
      <c r="Z600" s="5">
        <f t="shared" si="19"/>
        <v>4995.8599000000004</v>
      </c>
      <c r="AA600" s="5">
        <v>137.6</v>
      </c>
      <c r="AB600" s="5">
        <v>92.69</v>
      </c>
    </row>
    <row r="601" spans="1:28" x14ac:dyDescent="0.3">
      <c r="A601" s="6">
        <v>39055</v>
      </c>
      <c r="B601" s="7">
        <v>0.66666666666666663</v>
      </c>
      <c r="C601" s="5">
        <v>143</v>
      </c>
      <c r="D601" s="5">
        <v>144</v>
      </c>
      <c r="E601" s="5">
        <v>142.44999999999999</v>
      </c>
      <c r="F601" s="5">
        <v>143.94999999999999</v>
      </c>
      <c r="G601" s="5">
        <v>4500</v>
      </c>
      <c r="I601" s="6">
        <v>40696</v>
      </c>
      <c r="J601" s="7">
        <v>0.66666666666666663</v>
      </c>
      <c r="K601" s="5">
        <v>4999</v>
      </c>
      <c r="L601" s="5">
        <v>5098</v>
      </c>
      <c r="M601" s="5">
        <v>4999</v>
      </c>
      <c r="N601" s="5">
        <v>5035.7798000000003</v>
      </c>
      <c r="O601" s="5">
        <v>30</v>
      </c>
      <c r="Q601" s="6">
        <v>39036</v>
      </c>
      <c r="R601" s="7">
        <v>0.66666666666666663</v>
      </c>
      <c r="S601" s="5">
        <v>79</v>
      </c>
      <c r="T601" s="5">
        <v>80.45</v>
      </c>
      <c r="U601" s="5">
        <v>78.7</v>
      </c>
      <c r="V601" s="5">
        <v>79.5</v>
      </c>
      <c r="W601" s="5">
        <v>68600</v>
      </c>
      <c r="Y601" s="6">
        <f t="shared" si="18"/>
        <v>40696</v>
      </c>
      <c r="Z601" s="5">
        <f t="shared" si="19"/>
        <v>5035.7798000000003</v>
      </c>
      <c r="AA601" s="5">
        <v>139.78</v>
      </c>
      <c r="AB601" s="5">
        <v>92.69</v>
      </c>
    </row>
    <row r="602" spans="1:28" x14ac:dyDescent="0.3">
      <c r="A602" s="6">
        <v>39056</v>
      </c>
      <c r="B602" s="7">
        <v>0.66666666666666663</v>
      </c>
      <c r="C602" s="5">
        <v>145</v>
      </c>
      <c r="D602" s="5">
        <v>150.94999999999999</v>
      </c>
      <c r="E602" s="5">
        <v>144.5</v>
      </c>
      <c r="F602" s="5">
        <v>150.9</v>
      </c>
      <c r="G602" s="5">
        <v>11000</v>
      </c>
      <c r="I602" s="6">
        <v>40697</v>
      </c>
      <c r="J602" s="7">
        <v>0.66666666666666663</v>
      </c>
      <c r="K602" s="5">
        <v>5035.7798000000003</v>
      </c>
      <c r="L602" s="5">
        <v>5200</v>
      </c>
      <c r="M602" s="5">
        <v>5000</v>
      </c>
      <c r="N602" s="5">
        <v>5075.54</v>
      </c>
      <c r="O602" s="5">
        <v>103</v>
      </c>
      <c r="Q602" s="6">
        <v>39037</v>
      </c>
      <c r="R602" s="7">
        <v>0.66666666666666663</v>
      </c>
      <c r="S602" s="5">
        <v>79.5</v>
      </c>
      <c r="T602" s="5">
        <v>79.849999999999994</v>
      </c>
      <c r="U602" s="5">
        <v>78.150000000000006</v>
      </c>
      <c r="V602" s="5">
        <v>79.25</v>
      </c>
      <c r="W602" s="5">
        <v>58900</v>
      </c>
      <c r="Y602" s="6">
        <f t="shared" si="18"/>
        <v>40697</v>
      </c>
      <c r="Z602" s="5">
        <f t="shared" si="19"/>
        <v>5075.54</v>
      </c>
      <c r="AA602" s="5">
        <v>139.88999999999999</v>
      </c>
      <c r="AB602" s="5">
        <v>92.7</v>
      </c>
    </row>
    <row r="603" spans="1:28" x14ac:dyDescent="0.3">
      <c r="A603" s="6">
        <v>39057</v>
      </c>
      <c r="B603" s="7">
        <v>0.66666666666666663</v>
      </c>
      <c r="C603" s="5">
        <v>151</v>
      </c>
      <c r="D603" s="5">
        <v>158.4</v>
      </c>
      <c r="E603" s="5">
        <v>151</v>
      </c>
      <c r="F603" s="5">
        <v>158.4</v>
      </c>
      <c r="G603" s="5">
        <v>15900</v>
      </c>
      <c r="I603" s="6">
        <v>40700</v>
      </c>
      <c r="J603" s="7">
        <v>0.66666666666666663</v>
      </c>
      <c r="K603" s="5">
        <v>5100</v>
      </c>
      <c r="L603" s="5">
        <v>5285</v>
      </c>
      <c r="M603" s="5">
        <v>5100</v>
      </c>
      <c r="N603" s="5">
        <v>5121.5497999999998</v>
      </c>
      <c r="O603" s="5">
        <v>133</v>
      </c>
      <c r="Q603" s="6">
        <v>39038</v>
      </c>
      <c r="R603" s="7">
        <v>0.66666666666666663</v>
      </c>
      <c r="S603" s="5">
        <v>79.25</v>
      </c>
      <c r="T603" s="5">
        <v>82</v>
      </c>
      <c r="U603" s="5">
        <v>78</v>
      </c>
      <c r="V603" s="5">
        <v>79.400000000000006</v>
      </c>
      <c r="W603" s="5">
        <v>220100</v>
      </c>
      <c r="Y603" s="6">
        <f t="shared" si="18"/>
        <v>40700</v>
      </c>
      <c r="Z603" s="5">
        <f t="shared" si="19"/>
        <v>5121.5497999999998</v>
      </c>
      <c r="AA603" s="5">
        <v>138.6</v>
      </c>
      <c r="AB603" s="5">
        <v>93.89</v>
      </c>
    </row>
    <row r="604" spans="1:28" x14ac:dyDescent="0.3">
      <c r="A604" s="6">
        <v>39058</v>
      </c>
      <c r="B604" s="7">
        <v>0.66666666666666663</v>
      </c>
      <c r="C604" s="5">
        <v>164</v>
      </c>
      <c r="D604" s="5">
        <v>166.3</v>
      </c>
      <c r="E604" s="5">
        <v>164</v>
      </c>
      <c r="F604" s="5">
        <v>166.3</v>
      </c>
      <c r="G604" s="5">
        <v>10400</v>
      </c>
      <c r="I604" s="6">
        <v>40701</v>
      </c>
      <c r="J604" s="7">
        <v>0.66666666666666663</v>
      </c>
      <c r="K604" s="5">
        <v>5121.5497999999998</v>
      </c>
      <c r="L604" s="5">
        <v>5220</v>
      </c>
      <c r="M604" s="5">
        <v>5100</v>
      </c>
      <c r="N604" s="5">
        <v>5207.3701000000001</v>
      </c>
      <c r="O604" s="5">
        <v>352</v>
      </c>
      <c r="Q604" s="6">
        <v>39041</v>
      </c>
      <c r="R604" s="7">
        <v>0.66666666666666663</v>
      </c>
      <c r="S604" s="5">
        <v>79.400000000000006</v>
      </c>
      <c r="T604" s="5">
        <v>80</v>
      </c>
      <c r="U604" s="5">
        <v>78</v>
      </c>
      <c r="V604" s="5">
        <v>79</v>
      </c>
      <c r="W604" s="5">
        <v>169700</v>
      </c>
      <c r="Y604" s="6">
        <f t="shared" si="18"/>
        <v>40701</v>
      </c>
      <c r="Z604" s="5">
        <f t="shared" si="19"/>
        <v>5207.3701000000001</v>
      </c>
      <c r="AA604" s="5">
        <v>140.47999999999999</v>
      </c>
      <c r="AB604" s="5">
        <v>93.04</v>
      </c>
    </row>
    <row r="605" spans="1:28" x14ac:dyDescent="0.3">
      <c r="A605" s="6">
        <v>39059</v>
      </c>
      <c r="B605" s="7">
        <v>0.66666666666666663</v>
      </c>
      <c r="C605" s="5">
        <v>174.5</v>
      </c>
      <c r="D605" s="5">
        <v>174.6</v>
      </c>
      <c r="E605" s="5">
        <v>171.1</v>
      </c>
      <c r="F605" s="5">
        <v>172</v>
      </c>
      <c r="G605" s="5">
        <v>44500</v>
      </c>
      <c r="I605" s="6">
        <v>40702</v>
      </c>
      <c r="J605" s="7">
        <v>0.66666666666666663</v>
      </c>
      <c r="K605" s="5">
        <v>5207.3701000000001</v>
      </c>
      <c r="L605" s="5">
        <v>5450</v>
      </c>
      <c r="M605" s="5">
        <v>5145</v>
      </c>
      <c r="N605" s="5">
        <v>5200.0698000000002</v>
      </c>
      <c r="O605" s="5">
        <v>347</v>
      </c>
      <c r="Q605" s="6">
        <v>39042</v>
      </c>
      <c r="R605" s="7">
        <v>0.66666666666666663</v>
      </c>
      <c r="S605" s="5">
        <v>79</v>
      </c>
      <c r="T605" s="5">
        <v>80</v>
      </c>
      <c r="U605" s="5">
        <v>78.900000000000006</v>
      </c>
      <c r="V605" s="5">
        <v>79.400000000000006</v>
      </c>
      <c r="W605" s="5">
        <v>167600</v>
      </c>
      <c r="Y605" s="6">
        <f t="shared" si="18"/>
        <v>40702</v>
      </c>
      <c r="Z605" s="5">
        <f t="shared" si="19"/>
        <v>5200.0698000000002</v>
      </c>
      <c r="AA605" s="5">
        <v>139.33000000000001</v>
      </c>
      <c r="AB605" s="5">
        <v>93.15</v>
      </c>
    </row>
    <row r="606" spans="1:28" x14ac:dyDescent="0.3">
      <c r="A606" s="6">
        <v>39062</v>
      </c>
      <c r="B606" s="7">
        <v>0.66666666666666663</v>
      </c>
      <c r="C606" s="5">
        <v>175.85</v>
      </c>
      <c r="D606" s="5">
        <v>175.85</v>
      </c>
      <c r="E606" s="5">
        <v>163.4</v>
      </c>
      <c r="F606" s="5">
        <v>163.4</v>
      </c>
      <c r="G606" s="5">
        <v>24400</v>
      </c>
      <c r="I606" s="6">
        <v>40703</v>
      </c>
      <c r="J606" s="7">
        <v>0.66666666666666663</v>
      </c>
      <c r="K606" s="5">
        <v>5200.0698000000002</v>
      </c>
      <c r="L606" s="5">
        <v>5347</v>
      </c>
      <c r="M606" s="5">
        <v>5135</v>
      </c>
      <c r="N606" s="5">
        <v>5200</v>
      </c>
      <c r="O606" s="5">
        <v>554</v>
      </c>
      <c r="Q606" s="6">
        <v>39043</v>
      </c>
      <c r="R606" s="7">
        <v>0.66666666666666663</v>
      </c>
      <c r="S606" s="5">
        <v>79.400000000000006</v>
      </c>
      <c r="T606" s="5">
        <v>80</v>
      </c>
      <c r="U606" s="5">
        <v>78.7</v>
      </c>
      <c r="V606" s="5">
        <v>79.25</v>
      </c>
      <c r="W606" s="5">
        <v>123600</v>
      </c>
      <c r="Y606" s="6">
        <f t="shared" si="18"/>
        <v>40703</v>
      </c>
      <c r="Z606" s="5">
        <f t="shared" si="19"/>
        <v>5200</v>
      </c>
      <c r="AA606" s="5">
        <v>132.63999999999999</v>
      </c>
      <c r="AB606" s="5">
        <v>93.42</v>
      </c>
    </row>
    <row r="607" spans="1:28" x14ac:dyDescent="0.3">
      <c r="A607" s="6">
        <v>39063</v>
      </c>
      <c r="B607" s="7">
        <v>0.66666666666666663</v>
      </c>
      <c r="C607" s="5">
        <v>163.4</v>
      </c>
      <c r="D607" s="5">
        <v>163.4</v>
      </c>
      <c r="E607" s="5">
        <v>157.05000000000001</v>
      </c>
      <c r="F607" s="5">
        <v>161.9</v>
      </c>
      <c r="G607" s="5">
        <v>12500</v>
      </c>
      <c r="I607" s="6">
        <v>40704</v>
      </c>
      <c r="J607" s="7">
        <v>0.66666666666666663</v>
      </c>
      <c r="K607" s="5">
        <v>5200</v>
      </c>
      <c r="L607" s="5">
        <v>5360.0097999999998</v>
      </c>
      <c r="M607" s="5">
        <v>5031</v>
      </c>
      <c r="N607" s="5">
        <v>5337.1698999999999</v>
      </c>
      <c r="O607" s="5">
        <v>287</v>
      </c>
      <c r="Q607" s="6">
        <v>39044</v>
      </c>
      <c r="R607" s="7">
        <v>0.66666666666666663</v>
      </c>
      <c r="S607" s="5">
        <v>79.25</v>
      </c>
      <c r="T607" s="5">
        <v>82.5</v>
      </c>
      <c r="U607" s="5">
        <v>79.25</v>
      </c>
      <c r="V607" s="5">
        <v>81.7</v>
      </c>
      <c r="W607" s="5">
        <v>294300</v>
      </c>
      <c r="Y607" s="6">
        <f t="shared" si="18"/>
        <v>40704</v>
      </c>
      <c r="Z607" s="5">
        <f t="shared" si="19"/>
        <v>5337.1698999999999</v>
      </c>
      <c r="AA607" s="5">
        <v>127.51</v>
      </c>
      <c r="AB607" s="5">
        <v>94.63</v>
      </c>
    </row>
    <row r="608" spans="1:28" x14ac:dyDescent="0.3">
      <c r="A608" s="6">
        <v>39064</v>
      </c>
      <c r="B608" s="7">
        <v>0.66666666666666663</v>
      </c>
      <c r="C608" s="5">
        <v>161.94999999999999</v>
      </c>
      <c r="D608" s="5">
        <v>164</v>
      </c>
      <c r="E608" s="5">
        <v>161</v>
      </c>
      <c r="F608" s="5">
        <v>163.25</v>
      </c>
      <c r="G608" s="5">
        <v>10300</v>
      </c>
      <c r="I608" s="6">
        <v>40707</v>
      </c>
      <c r="J608" s="7">
        <v>0.66666666666666663</v>
      </c>
      <c r="K608" s="5">
        <v>5337.1698999999999</v>
      </c>
      <c r="L608" s="5">
        <v>5400</v>
      </c>
      <c r="M608" s="5">
        <v>5288.8798999999999</v>
      </c>
      <c r="N608" s="5">
        <v>5350.3397999999997</v>
      </c>
      <c r="O608" s="5">
        <v>1081</v>
      </c>
      <c r="Q608" s="6">
        <v>39045</v>
      </c>
      <c r="R608" s="7">
        <v>0.66666666666666663</v>
      </c>
      <c r="S608" s="5">
        <v>81.7</v>
      </c>
      <c r="T608" s="5">
        <v>84</v>
      </c>
      <c r="U608" s="5">
        <v>81.349999999999994</v>
      </c>
      <c r="V608" s="5">
        <v>83</v>
      </c>
      <c r="W608" s="5">
        <v>327200</v>
      </c>
      <c r="Y608" s="6">
        <f t="shared" si="18"/>
        <v>40707</v>
      </c>
      <c r="Z608" s="5">
        <f t="shared" si="19"/>
        <v>5350.3397999999997</v>
      </c>
      <c r="AA608" s="5">
        <v>127.54</v>
      </c>
      <c r="AB608" s="5">
        <v>93.64</v>
      </c>
    </row>
    <row r="609" spans="1:28" x14ac:dyDescent="0.3">
      <c r="A609" s="6">
        <v>39065</v>
      </c>
      <c r="B609" s="7">
        <v>0.66666666666666663</v>
      </c>
      <c r="C609" s="5">
        <v>162.5</v>
      </c>
      <c r="D609" s="5">
        <v>164.75</v>
      </c>
      <c r="E609" s="5">
        <v>162</v>
      </c>
      <c r="F609" s="5">
        <v>162</v>
      </c>
      <c r="G609" s="5">
        <v>8700</v>
      </c>
      <c r="I609" s="6">
        <v>40708</v>
      </c>
      <c r="J609" s="7">
        <v>0.66666666666666663</v>
      </c>
      <c r="K609" s="5">
        <v>5350.3397999999997</v>
      </c>
      <c r="L609" s="5">
        <v>5400</v>
      </c>
      <c r="M609" s="5">
        <v>5271.71</v>
      </c>
      <c r="N609" s="5">
        <v>5273.9301999999998</v>
      </c>
      <c r="O609" s="5">
        <v>46</v>
      </c>
      <c r="Q609" s="6">
        <v>39048</v>
      </c>
      <c r="R609" s="7">
        <v>0.66666666666666663</v>
      </c>
      <c r="S609" s="5">
        <v>83.1</v>
      </c>
      <c r="T609" s="5">
        <v>85</v>
      </c>
      <c r="U609" s="5">
        <v>83.1</v>
      </c>
      <c r="V609" s="5">
        <v>83.7</v>
      </c>
      <c r="W609" s="5">
        <v>189600</v>
      </c>
      <c r="Y609" s="6">
        <f t="shared" si="18"/>
        <v>40708</v>
      </c>
      <c r="Z609" s="5">
        <f t="shared" si="19"/>
        <v>5273.9301999999998</v>
      </c>
      <c r="AA609" s="5">
        <v>128.99</v>
      </c>
      <c r="AB609" s="5">
        <v>93.9</v>
      </c>
    </row>
    <row r="610" spans="1:28" x14ac:dyDescent="0.3">
      <c r="A610" s="6">
        <v>39066</v>
      </c>
      <c r="B610" s="7">
        <v>0.66666666666666663</v>
      </c>
      <c r="C610" s="5">
        <v>164</v>
      </c>
      <c r="D610" s="5">
        <v>164</v>
      </c>
      <c r="E610" s="5">
        <v>160.35</v>
      </c>
      <c r="F610" s="5">
        <v>160.4</v>
      </c>
      <c r="G610" s="5">
        <v>2700</v>
      </c>
      <c r="I610" s="6">
        <v>40709</v>
      </c>
      <c r="J610" s="7">
        <v>0.66666666666666663</v>
      </c>
      <c r="K610" s="5">
        <v>5273.9301999999998</v>
      </c>
      <c r="L610" s="5">
        <v>5300</v>
      </c>
      <c r="M610" s="5">
        <v>5200.0497999999998</v>
      </c>
      <c r="N610" s="5">
        <v>5265.2002000000002</v>
      </c>
      <c r="O610" s="5">
        <v>49</v>
      </c>
      <c r="Q610" s="6">
        <v>39049</v>
      </c>
      <c r="R610" s="7">
        <v>0.66666666666666663</v>
      </c>
      <c r="S610" s="5">
        <v>83.7</v>
      </c>
      <c r="T610" s="5">
        <v>84.25</v>
      </c>
      <c r="U610" s="5">
        <v>82.55</v>
      </c>
      <c r="V610" s="5">
        <v>83.7</v>
      </c>
      <c r="W610" s="5">
        <v>154300</v>
      </c>
      <c r="Y610" s="6">
        <f t="shared" si="18"/>
        <v>40709</v>
      </c>
      <c r="Z610" s="5">
        <f t="shared" si="19"/>
        <v>5265.2002000000002</v>
      </c>
      <c r="AA610" s="5">
        <v>128.4</v>
      </c>
      <c r="AB610" s="5">
        <v>92.8</v>
      </c>
    </row>
    <row r="611" spans="1:28" x14ac:dyDescent="0.3">
      <c r="A611" s="6">
        <v>39069</v>
      </c>
      <c r="B611" s="7">
        <v>0.66666666666666663</v>
      </c>
      <c r="C611" s="5">
        <v>158.5</v>
      </c>
      <c r="D611" s="5">
        <v>160.4</v>
      </c>
      <c r="E611" s="5">
        <v>152.4</v>
      </c>
      <c r="F611" s="5">
        <v>152.4</v>
      </c>
      <c r="G611" s="5">
        <v>21300</v>
      </c>
      <c r="I611" s="6">
        <v>40710</v>
      </c>
      <c r="J611" s="7">
        <v>0.66666666666666663</v>
      </c>
      <c r="K611" s="5">
        <v>5265.2002000000002</v>
      </c>
      <c r="L611" s="5">
        <v>5280</v>
      </c>
      <c r="M611" s="5">
        <v>5222.2201999999997</v>
      </c>
      <c r="N611" s="5">
        <v>5255.8301000000001</v>
      </c>
      <c r="O611" s="5">
        <v>12</v>
      </c>
      <c r="Q611" s="6">
        <v>39050</v>
      </c>
      <c r="R611" s="7">
        <v>0.66666666666666663</v>
      </c>
      <c r="S611" s="5">
        <v>83.7</v>
      </c>
      <c r="T611" s="5">
        <v>83.7</v>
      </c>
      <c r="U611" s="5">
        <v>81.5</v>
      </c>
      <c r="V611" s="5">
        <v>81.599999999999994</v>
      </c>
      <c r="W611" s="5">
        <v>107500</v>
      </c>
      <c r="Y611" s="6">
        <f t="shared" si="18"/>
        <v>40710</v>
      </c>
      <c r="Z611" s="5">
        <f t="shared" si="19"/>
        <v>5255.8301000000001</v>
      </c>
      <c r="AA611" s="5">
        <v>126.99</v>
      </c>
      <c r="AB611" s="5">
        <v>93</v>
      </c>
    </row>
    <row r="612" spans="1:28" x14ac:dyDescent="0.3">
      <c r="A612" s="6">
        <v>39070</v>
      </c>
      <c r="B612" s="7">
        <v>0.66666666666666663</v>
      </c>
      <c r="C612" s="5">
        <v>153.05000000000001</v>
      </c>
      <c r="D612" s="5">
        <v>156.94999999999999</v>
      </c>
      <c r="E612" s="5">
        <v>151</v>
      </c>
      <c r="F612" s="5">
        <v>153</v>
      </c>
      <c r="G612" s="5">
        <v>9000</v>
      </c>
      <c r="I612" s="6">
        <v>40711</v>
      </c>
      <c r="J612" s="7">
        <v>0.66666666666666663</v>
      </c>
      <c r="K612" s="5">
        <v>5255.8301000000001</v>
      </c>
      <c r="L612" s="5">
        <v>5401.0097999999998</v>
      </c>
      <c r="M612" s="5">
        <v>5200</v>
      </c>
      <c r="N612" s="5">
        <v>5322.6201000000001</v>
      </c>
      <c r="O612" s="5">
        <v>188</v>
      </c>
      <c r="Q612" s="6">
        <v>39051</v>
      </c>
      <c r="R612" s="7">
        <v>0.66666666666666663</v>
      </c>
      <c r="S612" s="5">
        <v>81.599999999999994</v>
      </c>
      <c r="T612" s="5">
        <v>82.65</v>
      </c>
      <c r="U612" s="5">
        <v>81</v>
      </c>
      <c r="V612" s="5">
        <v>81.849999999999994</v>
      </c>
      <c r="W612" s="5">
        <v>66500</v>
      </c>
      <c r="Y612" s="6">
        <f t="shared" si="18"/>
        <v>40711</v>
      </c>
      <c r="Z612" s="5">
        <f t="shared" si="19"/>
        <v>5322.6201000000001</v>
      </c>
      <c r="AA612" s="5">
        <v>126.52</v>
      </c>
      <c r="AB612" s="5">
        <v>92.27</v>
      </c>
    </row>
    <row r="613" spans="1:28" x14ac:dyDescent="0.3">
      <c r="A613" s="6">
        <v>39071</v>
      </c>
      <c r="B613" s="7">
        <v>0.66666666666666663</v>
      </c>
      <c r="C613" s="5">
        <v>150.15</v>
      </c>
      <c r="D613" s="5">
        <v>153.44999999999999</v>
      </c>
      <c r="E613" s="5">
        <v>147</v>
      </c>
      <c r="F613" s="5">
        <v>153.44999999999999</v>
      </c>
      <c r="G613" s="5">
        <v>8500</v>
      </c>
      <c r="I613" s="6">
        <v>40714</v>
      </c>
      <c r="J613" s="7">
        <v>0.66666666666666663</v>
      </c>
      <c r="K613" s="5">
        <v>5322.6201000000001</v>
      </c>
      <c r="L613" s="5">
        <v>5340</v>
      </c>
      <c r="M613" s="5">
        <v>5200</v>
      </c>
      <c r="N613" s="5">
        <v>5209.3798999999999</v>
      </c>
      <c r="O613" s="5">
        <v>89</v>
      </c>
      <c r="Q613" s="6">
        <v>39052</v>
      </c>
      <c r="R613" s="7">
        <v>0.66666666666666663</v>
      </c>
      <c r="S613" s="5">
        <v>81.55</v>
      </c>
      <c r="T613" s="5">
        <v>81.55</v>
      </c>
      <c r="U613" s="5">
        <v>79.099999999999994</v>
      </c>
      <c r="V613" s="5">
        <v>79.8</v>
      </c>
      <c r="W613" s="5">
        <v>91700</v>
      </c>
      <c r="Y613" s="6">
        <f t="shared" si="18"/>
        <v>40714</v>
      </c>
      <c r="Z613" s="5">
        <f t="shared" si="19"/>
        <v>5209.3798999999999</v>
      </c>
      <c r="AA613" s="5">
        <v>120.73</v>
      </c>
      <c r="AB613" s="5">
        <v>91</v>
      </c>
    </row>
    <row r="614" spans="1:28" x14ac:dyDescent="0.3">
      <c r="A614" s="6">
        <v>39072</v>
      </c>
      <c r="B614" s="7">
        <v>0.66666666666666663</v>
      </c>
      <c r="C614" s="5">
        <v>152</v>
      </c>
      <c r="D614" s="5">
        <v>154</v>
      </c>
      <c r="E614" s="5">
        <v>152</v>
      </c>
      <c r="F614" s="5">
        <v>153</v>
      </c>
      <c r="G614" s="5">
        <v>4500</v>
      </c>
      <c r="I614" s="6">
        <v>40715</v>
      </c>
      <c r="J614" s="7">
        <v>0.66666666666666663</v>
      </c>
      <c r="K614" s="5">
        <v>5209.3798999999999</v>
      </c>
      <c r="L614" s="5">
        <v>5400</v>
      </c>
      <c r="M614" s="5">
        <v>5200</v>
      </c>
      <c r="N614" s="5">
        <v>5310.3198000000002</v>
      </c>
      <c r="O614" s="5">
        <v>401</v>
      </c>
      <c r="Q614" s="6">
        <v>39055</v>
      </c>
      <c r="R614" s="7">
        <v>0.66666666666666663</v>
      </c>
      <c r="S614" s="5">
        <v>80.150000000000006</v>
      </c>
      <c r="T614" s="5">
        <v>81.5</v>
      </c>
      <c r="U614" s="5">
        <v>80.150000000000006</v>
      </c>
      <c r="V614" s="5">
        <v>80.900000000000006</v>
      </c>
      <c r="W614" s="5">
        <v>44300</v>
      </c>
      <c r="Y614" s="6">
        <f t="shared" si="18"/>
        <v>40715</v>
      </c>
      <c r="Z614" s="5">
        <f t="shared" si="19"/>
        <v>5310.3198000000002</v>
      </c>
      <c r="AA614" s="5">
        <v>123.44</v>
      </c>
      <c r="AB614" s="5">
        <v>90.51</v>
      </c>
    </row>
    <row r="615" spans="1:28" x14ac:dyDescent="0.3">
      <c r="A615" s="6">
        <v>39073</v>
      </c>
      <c r="B615" s="7">
        <v>0.66666666666666663</v>
      </c>
      <c r="C615" s="5">
        <v>149.9</v>
      </c>
      <c r="D615" s="5">
        <v>152.6</v>
      </c>
      <c r="E615" s="5">
        <v>149.05000000000001</v>
      </c>
      <c r="F615" s="5">
        <v>151</v>
      </c>
      <c r="G615" s="5">
        <v>5300</v>
      </c>
      <c r="I615" s="6">
        <v>40716</v>
      </c>
      <c r="J615" s="7">
        <v>0.66666666666666663</v>
      </c>
      <c r="K615" s="5">
        <v>5310.3198000000002</v>
      </c>
      <c r="L615" s="5">
        <v>5399</v>
      </c>
      <c r="M615" s="5">
        <v>5291.0097999999998</v>
      </c>
      <c r="N615" s="5">
        <v>5333.1201000000001</v>
      </c>
      <c r="O615" s="5">
        <v>74</v>
      </c>
      <c r="Q615" s="6">
        <v>39056</v>
      </c>
      <c r="R615" s="7">
        <v>0.66666666666666663</v>
      </c>
      <c r="S615" s="5">
        <v>81</v>
      </c>
      <c r="T615" s="5">
        <v>83.4</v>
      </c>
      <c r="U615" s="5">
        <v>81</v>
      </c>
      <c r="V615" s="5">
        <v>82.55</v>
      </c>
      <c r="W615" s="5">
        <v>137900</v>
      </c>
      <c r="Y615" s="6">
        <f t="shared" si="18"/>
        <v>40716</v>
      </c>
      <c r="Z615" s="5">
        <f t="shared" si="19"/>
        <v>5333.1201000000001</v>
      </c>
      <c r="AA615" s="5">
        <v>129.34</v>
      </c>
      <c r="AB615" s="5">
        <v>91.07</v>
      </c>
    </row>
    <row r="616" spans="1:28" x14ac:dyDescent="0.3">
      <c r="A616" s="6">
        <v>39077</v>
      </c>
      <c r="B616" s="7">
        <v>0.66666666666666663</v>
      </c>
      <c r="C616" s="5">
        <v>151</v>
      </c>
      <c r="D616" s="5">
        <v>154</v>
      </c>
      <c r="E616" s="5">
        <v>151</v>
      </c>
      <c r="F616" s="5">
        <v>153.75</v>
      </c>
      <c r="G616" s="5">
        <v>6800</v>
      </c>
      <c r="I616" s="6">
        <v>40717</v>
      </c>
      <c r="J616" s="7">
        <v>0.66666666666666663</v>
      </c>
      <c r="K616" s="5">
        <v>5333.1201000000001</v>
      </c>
      <c r="L616" s="5">
        <v>5373</v>
      </c>
      <c r="M616" s="5">
        <v>5333</v>
      </c>
      <c r="N616" s="5">
        <v>5350</v>
      </c>
      <c r="O616" s="5">
        <v>55</v>
      </c>
      <c r="Q616" s="6">
        <v>39057</v>
      </c>
      <c r="R616" s="7">
        <v>0.66666666666666663</v>
      </c>
      <c r="S616" s="5">
        <v>82.65</v>
      </c>
      <c r="T616" s="5">
        <v>85</v>
      </c>
      <c r="U616" s="5">
        <v>82.65</v>
      </c>
      <c r="V616" s="5">
        <v>82.95</v>
      </c>
      <c r="W616" s="5">
        <v>405600</v>
      </c>
      <c r="Y616" s="6">
        <f t="shared" si="18"/>
        <v>40717</v>
      </c>
      <c r="Z616" s="5">
        <f t="shared" si="19"/>
        <v>5350</v>
      </c>
      <c r="AA616" s="5">
        <v>129.54</v>
      </c>
      <c r="AB616" s="5">
        <v>93.71</v>
      </c>
    </row>
    <row r="617" spans="1:28" x14ac:dyDescent="0.3">
      <c r="A617" s="6">
        <v>39078</v>
      </c>
      <c r="B617" s="7">
        <v>0.66666666666666663</v>
      </c>
      <c r="C617" s="5">
        <v>149.1</v>
      </c>
      <c r="D617" s="5">
        <v>154.94999999999999</v>
      </c>
      <c r="E617" s="5">
        <v>149.1</v>
      </c>
      <c r="F617" s="5">
        <v>153</v>
      </c>
      <c r="G617" s="5">
        <v>266100</v>
      </c>
      <c r="I617" s="6">
        <v>40721</v>
      </c>
      <c r="J617" s="7">
        <v>0.66666666666666663</v>
      </c>
      <c r="K617" s="5">
        <v>5300</v>
      </c>
      <c r="L617" s="5">
        <v>5449</v>
      </c>
      <c r="M617" s="5">
        <v>5300</v>
      </c>
      <c r="N617" s="5">
        <v>5384.5698000000002</v>
      </c>
      <c r="O617" s="5">
        <v>86</v>
      </c>
      <c r="Q617" s="6">
        <v>39058</v>
      </c>
      <c r="R617" s="7">
        <v>0.66666666666666663</v>
      </c>
      <c r="S617" s="5">
        <v>82.95</v>
      </c>
      <c r="T617" s="5">
        <v>86</v>
      </c>
      <c r="U617" s="5">
        <v>81.900000000000006</v>
      </c>
      <c r="V617" s="5">
        <v>84.4</v>
      </c>
      <c r="W617" s="5">
        <v>816600</v>
      </c>
      <c r="Y617" s="6">
        <f t="shared" si="18"/>
        <v>40721</v>
      </c>
      <c r="Z617" s="5">
        <f t="shared" si="19"/>
        <v>5384.5698000000002</v>
      </c>
      <c r="AA617" s="5">
        <v>123.89</v>
      </c>
      <c r="AB617" s="5">
        <v>92.52</v>
      </c>
    </row>
    <row r="618" spans="1:28" x14ac:dyDescent="0.3">
      <c r="A618" s="6">
        <v>39079</v>
      </c>
      <c r="B618" s="7">
        <v>0.66666666666666663</v>
      </c>
      <c r="C618" s="5">
        <v>152</v>
      </c>
      <c r="D618" s="5">
        <v>154</v>
      </c>
      <c r="E618" s="5">
        <v>151.15</v>
      </c>
      <c r="F618" s="5">
        <v>153</v>
      </c>
      <c r="G618" s="5">
        <v>6400</v>
      </c>
      <c r="I618" s="6">
        <v>40722</v>
      </c>
      <c r="J618" s="7">
        <v>0.66666666666666663</v>
      </c>
      <c r="K618" s="5">
        <v>5384.5698000000002</v>
      </c>
      <c r="L618" s="5">
        <v>5448</v>
      </c>
      <c r="M618" s="5">
        <v>5325.0097999999998</v>
      </c>
      <c r="N618" s="5">
        <v>5388.2597999999998</v>
      </c>
      <c r="O618" s="5">
        <v>265</v>
      </c>
      <c r="Q618" s="6">
        <v>39059</v>
      </c>
      <c r="R618" s="7">
        <v>0.66666666666666663</v>
      </c>
      <c r="S618" s="5">
        <v>84.5</v>
      </c>
      <c r="T618" s="5">
        <v>87</v>
      </c>
      <c r="U618" s="5">
        <v>84.5</v>
      </c>
      <c r="V618" s="5">
        <v>87</v>
      </c>
      <c r="W618" s="5">
        <v>1070700</v>
      </c>
      <c r="Y618" s="6">
        <f t="shared" si="18"/>
        <v>40722</v>
      </c>
      <c r="Z618" s="5">
        <f t="shared" si="19"/>
        <v>5388.2597999999998</v>
      </c>
      <c r="AA618" s="5">
        <v>122.12</v>
      </c>
      <c r="AB618" s="5">
        <v>91.21</v>
      </c>
    </row>
    <row r="619" spans="1:28" x14ac:dyDescent="0.3">
      <c r="A619" s="6">
        <v>39080</v>
      </c>
      <c r="B619" s="7">
        <v>0.66666666666666663</v>
      </c>
      <c r="C619" s="5">
        <v>153</v>
      </c>
      <c r="D619" s="5">
        <v>154</v>
      </c>
      <c r="E619" s="5">
        <v>153</v>
      </c>
      <c r="F619" s="5">
        <v>153.25</v>
      </c>
      <c r="G619" s="5">
        <v>1600</v>
      </c>
      <c r="I619" s="6">
        <v>40723</v>
      </c>
      <c r="J619" s="7">
        <v>0.66666666666666663</v>
      </c>
      <c r="K619" s="5">
        <v>5388.2597999999998</v>
      </c>
      <c r="L619" s="5">
        <v>5400</v>
      </c>
      <c r="M619" s="5">
        <v>5344.4399000000003</v>
      </c>
      <c r="N619" s="5">
        <v>5398.6400999999996</v>
      </c>
      <c r="O619" s="5">
        <v>141</v>
      </c>
      <c r="Q619" s="6">
        <v>39062</v>
      </c>
      <c r="R619" s="7">
        <v>0.66666666666666663</v>
      </c>
      <c r="S619" s="5">
        <v>87.1</v>
      </c>
      <c r="T619" s="5">
        <v>91.35</v>
      </c>
      <c r="U619" s="5">
        <v>87.1</v>
      </c>
      <c r="V619" s="5">
        <v>91.35</v>
      </c>
      <c r="W619" s="5">
        <v>840800</v>
      </c>
      <c r="Y619" s="6">
        <f t="shared" si="18"/>
        <v>40723</v>
      </c>
      <c r="Z619" s="5">
        <f t="shared" si="19"/>
        <v>5398.6400999999996</v>
      </c>
      <c r="AA619" s="5">
        <v>124.23</v>
      </c>
      <c r="AB619" s="5">
        <v>93.12</v>
      </c>
    </row>
    <row r="620" spans="1:28" x14ac:dyDescent="0.3">
      <c r="A620" s="6">
        <v>39085</v>
      </c>
      <c r="B620" s="7">
        <v>0.66666666666666663</v>
      </c>
      <c r="C620" s="5">
        <v>154.9</v>
      </c>
      <c r="D620" s="5">
        <v>156.75</v>
      </c>
      <c r="E620" s="5">
        <v>154.9</v>
      </c>
      <c r="F620" s="5">
        <v>155.6</v>
      </c>
      <c r="G620" s="5">
        <v>2900</v>
      </c>
      <c r="I620" s="6">
        <v>40724</v>
      </c>
      <c r="J620" s="7">
        <v>0.66666666666666663</v>
      </c>
      <c r="K620" s="5">
        <v>5398.6400999999996</v>
      </c>
      <c r="L620" s="5">
        <v>5600</v>
      </c>
      <c r="M620" s="5">
        <v>5200</v>
      </c>
      <c r="N620" s="5">
        <v>5225.4902000000002</v>
      </c>
      <c r="O620" s="5">
        <v>5902</v>
      </c>
      <c r="Q620" s="6">
        <v>39063</v>
      </c>
      <c r="R620" s="7">
        <v>0.66666666666666663</v>
      </c>
      <c r="S620" s="5">
        <v>92.4</v>
      </c>
      <c r="T620" s="5">
        <v>95.9</v>
      </c>
      <c r="U620" s="5">
        <v>92.4</v>
      </c>
      <c r="V620" s="5">
        <v>92.7</v>
      </c>
      <c r="W620" s="5">
        <v>1409100</v>
      </c>
      <c r="Y620" s="6">
        <f t="shared" si="18"/>
        <v>40724</v>
      </c>
      <c r="Z620" s="5">
        <f t="shared" si="19"/>
        <v>5225.4902000000002</v>
      </c>
      <c r="AA620" s="5">
        <v>122.73</v>
      </c>
      <c r="AB620" s="5">
        <v>93.49</v>
      </c>
    </row>
    <row r="621" spans="1:28" x14ac:dyDescent="0.3">
      <c r="A621" s="6">
        <v>39086</v>
      </c>
      <c r="B621" s="7">
        <v>0.66666666666666663</v>
      </c>
      <c r="C621" s="5">
        <v>158</v>
      </c>
      <c r="D621" s="5">
        <v>159.94999999999999</v>
      </c>
      <c r="E621" s="5">
        <v>157</v>
      </c>
      <c r="F621" s="5">
        <v>157</v>
      </c>
      <c r="G621" s="5">
        <v>8400</v>
      </c>
      <c r="I621" s="6">
        <v>40725</v>
      </c>
      <c r="J621" s="7">
        <v>0.66666666666666663</v>
      </c>
      <c r="K621" s="5">
        <v>5235</v>
      </c>
      <c r="L621" s="5">
        <v>5300</v>
      </c>
      <c r="M621" s="5">
        <v>5235</v>
      </c>
      <c r="N621" s="5">
        <v>5254.2201999999997</v>
      </c>
      <c r="O621" s="5">
        <v>57</v>
      </c>
      <c r="Q621" s="6">
        <v>39064</v>
      </c>
      <c r="R621" s="7">
        <v>0.66666666666666663</v>
      </c>
      <c r="S621" s="5">
        <v>92.7</v>
      </c>
      <c r="T621" s="5">
        <v>92.95</v>
      </c>
      <c r="U621" s="5">
        <v>88.4</v>
      </c>
      <c r="V621" s="5">
        <v>88.55</v>
      </c>
      <c r="W621" s="5">
        <v>479400</v>
      </c>
      <c r="Y621" s="6">
        <f t="shared" si="18"/>
        <v>40725</v>
      </c>
      <c r="Z621" s="5">
        <f t="shared" si="19"/>
        <v>5254.2201999999997</v>
      </c>
      <c r="AA621" s="5">
        <v>123.51</v>
      </c>
      <c r="AB621" s="5" t="e">
        <v>#N/A</v>
      </c>
    </row>
    <row r="622" spans="1:28" x14ac:dyDescent="0.3">
      <c r="A622" s="6">
        <v>39087</v>
      </c>
      <c r="B622" s="7">
        <v>0.66666666666666663</v>
      </c>
      <c r="C622" s="5">
        <v>156.1</v>
      </c>
      <c r="D622" s="5">
        <v>157.94999999999999</v>
      </c>
      <c r="E622" s="5">
        <v>155</v>
      </c>
      <c r="F622" s="5">
        <v>156.85</v>
      </c>
      <c r="G622" s="5">
        <v>8500</v>
      </c>
      <c r="I622" s="6">
        <v>40728</v>
      </c>
      <c r="J622" s="7">
        <v>0.66666666666666663</v>
      </c>
      <c r="K622" s="5">
        <v>5254.2201999999997</v>
      </c>
      <c r="L622" s="5">
        <v>5316.1099000000004</v>
      </c>
      <c r="M622" s="5">
        <v>5150.0097999999998</v>
      </c>
      <c r="N622" s="5">
        <v>5288.3798999999999</v>
      </c>
      <c r="O622" s="5">
        <v>5216</v>
      </c>
      <c r="Q622" s="6">
        <v>39065</v>
      </c>
      <c r="R622" s="7">
        <v>0.66666666666666663</v>
      </c>
      <c r="S622" s="5">
        <v>88.55</v>
      </c>
      <c r="T622" s="5">
        <v>92</v>
      </c>
      <c r="U622" s="5">
        <v>88</v>
      </c>
      <c r="V622" s="5">
        <v>91.5</v>
      </c>
      <c r="W622" s="5">
        <v>522500</v>
      </c>
      <c r="Y622" s="6">
        <f t="shared" si="18"/>
        <v>40728</v>
      </c>
      <c r="Z622" s="5">
        <f t="shared" si="19"/>
        <v>5288.3798999999999</v>
      </c>
      <c r="AA622" s="5">
        <v>126.97</v>
      </c>
      <c r="AB622" s="5">
        <v>93.99</v>
      </c>
    </row>
    <row r="623" spans="1:28" x14ac:dyDescent="0.3">
      <c r="A623" s="6">
        <v>39090</v>
      </c>
      <c r="B623" s="7">
        <v>0.66666666666666663</v>
      </c>
      <c r="C623" s="5">
        <v>157.6</v>
      </c>
      <c r="D623" s="5">
        <v>157.6</v>
      </c>
      <c r="E623" s="5">
        <v>154</v>
      </c>
      <c r="F623" s="5">
        <v>156.44999999999999</v>
      </c>
      <c r="G623" s="5">
        <v>3500</v>
      </c>
      <c r="I623" s="6">
        <v>40729</v>
      </c>
      <c r="J623" s="7">
        <v>0.66666666666666663</v>
      </c>
      <c r="K623" s="5">
        <v>5288.3798999999999</v>
      </c>
      <c r="L623" s="5">
        <v>5315.8999000000003</v>
      </c>
      <c r="M623" s="5">
        <v>5287</v>
      </c>
      <c r="N623" s="5">
        <v>5299.6899000000003</v>
      </c>
      <c r="O623" s="5">
        <v>3309</v>
      </c>
      <c r="Q623" s="6">
        <v>39066</v>
      </c>
      <c r="R623" s="7">
        <v>0.66666666666666663</v>
      </c>
      <c r="S623" s="5">
        <v>91.5</v>
      </c>
      <c r="T623" s="5">
        <v>91.5</v>
      </c>
      <c r="U623" s="5">
        <v>89</v>
      </c>
      <c r="V623" s="5">
        <v>89.6</v>
      </c>
      <c r="W623" s="5">
        <v>181100</v>
      </c>
      <c r="Y623" s="6">
        <f t="shared" si="18"/>
        <v>40729</v>
      </c>
      <c r="Z623" s="5">
        <f t="shared" si="19"/>
        <v>5299.6899000000003</v>
      </c>
      <c r="AA623" s="5">
        <v>127.31</v>
      </c>
      <c r="AB623" s="5">
        <v>94.75</v>
      </c>
    </row>
    <row r="624" spans="1:28" x14ac:dyDescent="0.3">
      <c r="A624" s="6">
        <v>39091</v>
      </c>
      <c r="B624" s="7">
        <v>0.66666666666666663</v>
      </c>
      <c r="C624" s="5">
        <v>157</v>
      </c>
      <c r="D624" s="5">
        <v>157</v>
      </c>
      <c r="E624" s="5">
        <v>154</v>
      </c>
      <c r="F624" s="5">
        <v>154.19999999999999</v>
      </c>
      <c r="G624" s="5">
        <v>4800</v>
      </c>
      <c r="I624" s="6">
        <v>40730</v>
      </c>
      <c r="J624" s="7">
        <v>0.66666666666666663</v>
      </c>
      <c r="K624" s="5">
        <v>5299.6899000000003</v>
      </c>
      <c r="L624" s="5">
        <v>5564.6698999999999</v>
      </c>
      <c r="M624" s="5">
        <v>5200.0097999999998</v>
      </c>
      <c r="N624" s="5">
        <v>5301.0097999999998</v>
      </c>
      <c r="O624" s="5">
        <v>13155</v>
      </c>
      <c r="Q624" s="6">
        <v>39069</v>
      </c>
      <c r="R624" s="7">
        <v>0.66666666666666663</v>
      </c>
      <c r="S624" s="5">
        <v>89.6</v>
      </c>
      <c r="T624" s="5">
        <v>90</v>
      </c>
      <c r="U624" s="5">
        <v>85.15</v>
      </c>
      <c r="V624" s="5">
        <v>85.15</v>
      </c>
      <c r="W624" s="5">
        <v>318300</v>
      </c>
      <c r="Y624" s="6">
        <f t="shared" si="18"/>
        <v>40730</v>
      </c>
      <c r="Z624" s="5">
        <f t="shared" si="19"/>
        <v>5301.0097999999998</v>
      </c>
      <c r="AA624" s="5">
        <v>127.61</v>
      </c>
      <c r="AB624" s="5">
        <v>95</v>
      </c>
    </row>
    <row r="625" spans="1:28" x14ac:dyDescent="0.3">
      <c r="A625" s="6">
        <v>39092</v>
      </c>
      <c r="B625" s="7">
        <v>0.66666666666666663</v>
      </c>
      <c r="C625" s="5">
        <v>152.1</v>
      </c>
      <c r="D625" s="5">
        <v>152.1</v>
      </c>
      <c r="E625" s="5">
        <v>146.5</v>
      </c>
      <c r="F625" s="5">
        <v>151.94999999999999</v>
      </c>
      <c r="G625" s="5">
        <v>17000</v>
      </c>
      <c r="I625" s="6">
        <v>40731</v>
      </c>
      <c r="J625" s="7">
        <v>0.66666666666666663</v>
      </c>
      <c r="K625" s="5">
        <v>5301.0097999999998</v>
      </c>
      <c r="L625" s="5">
        <v>5433.3301000000001</v>
      </c>
      <c r="M625" s="5">
        <v>5280</v>
      </c>
      <c r="N625" s="5">
        <v>5300</v>
      </c>
      <c r="O625" s="5">
        <v>87</v>
      </c>
      <c r="Q625" s="6">
        <v>39070</v>
      </c>
      <c r="R625" s="7">
        <v>0.66666666666666663</v>
      </c>
      <c r="S625" s="5">
        <v>85.15</v>
      </c>
      <c r="T625" s="5">
        <v>85.7</v>
      </c>
      <c r="U625" s="5">
        <v>80.900000000000006</v>
      </c>
      <c r="V625" s="5">
        <v>80.900000000000006</v>
      </c>
      <c r="W625" s="5">
        <v>321500</v>
      </c>
      <c r="Y625" s="6">
        <f t="shared" si="18"/>
        <v>40731</v>
      </c>
      <c r="Z625" s="5">
        <f t="shared" si="19"/>
        <v>5300</v>
      </c>
      <c r="AA625" s="5">
        <v>127.29</v>
      </c>
      <c r="AB625" s="5">
        <v>94.58</v>
      </c>
    </row>
    <row r="626" spans="1:28" x14ac:dyDescent="0.3">
      <c r="A626" s="6">
        <v>39093</v>
      </c>
      <c r="B626" s="7">
        <v>0.66666666666666663</v>
      </c>
      <c r="C626" s="5">
        <v>149.5</v>
      </c>
      <c r="D626" s="5">
        <v>153</v>
      </c>
      <c r="E626" s="5">
        <v>149.5</v>
      </c>
      <c r="F626" s="5">
        <v>151</v>
      </c>
      <c r="G626" s="5">
        <v>6600</v>
      </c>
      <c r="I626" s="6">
        <v>40732</v>
      </c>
      <c r="J626" s="7">
        <v>0.66666666666666663</v>
      </c>
      <c r="K626" s="5">
        <v>5300</v>
      </c>
      <c r="L626" s="5">
        <v>5419.8900999999996</v>
      </c>
      <c r="M626" s="5">
        <v>5250</v>
      </c>
      <c r="N626" s="5">
        <v>5275.1698999999999</v>
      </c>
      <c r="O626" s="5">
        <v>23</v>
      </c>
      <c r="Q626" s="6">
        <v>39071</v>
      </c>
      <c r="R626" s="7">
        <v>0.66666666666666663</v>
      </c>
      <c r="S626" s="5">
        <v>80.900000000000006</v>
      </c>
      <c r="T626" s="5">
        <v>82.35</v>
      </c>
      <c r="U626" s="5">
        <v>78.349999999999994</v>
      </c>
      <c r="V626" s="5">
        <v>82</v>
      </c>
      <c r="W626" s="5">
        <v>463000</v>
      </c>
      <c r="Y626" s="6">
        <f t="shared" si="18"/>
        <v>40732</v>
      </c>
      <c r="Z626" s="5">
        <f t="shared" si="19"/>
        <v>5275.1698999999999</v>
      </c>
      <c r="AA626" s="5">
        <v>126.93</v>
      </c>
      <c r="AB626" s="5">
        <v>94.58</v>
      </c>
    </row>
    <row r="627" spans="1:28" x14ac:dyDescent="0.3">
      <c r="A627" s="6">
        <v>39094</v>
      </c>
      <c r="B627" s="7">
        <v>0.66666666666666663</v>
      </c>
      <c r="C627" s="5">
        <v>152</v>
      </c>
      <c r="D627" s="5">
        <v>152.9</v>
      </c>
      <c r="E627" s="5">
        <v>151.1</v>
      </c>
      <c r="F627" s="5">
        <v>152.9</v>
      </c>
      <c r="G627" s="5">
        <v>1700</v>
      </c>
      <c r="I627" s="6">
        <v>40735</v>
      </c>
      <c r="J627" s="7">
        <v>0.66666666666666663</v>
      </c>
      <c r="K627" s="5">
        <v>5300</v>
      </c>
      <c r="L627" s="5">
        <v>5538</v>
      </c>
      <c r="M627" s="5">
        <v>5300</v>
      </c>
      <c r="N627" s="5">
        <v>5467.25</v>
      </c>
      <c r="O627" s="5">
        <v>5898</v>
      </c>
      <c r="Q627" s="6">
        <v>39072</v>
      </c>
      <c r="R627" s="7">
        <v>0.66666666666666663</v>
      </c>
      <c r="S627" s="5">
        <v>82</v>
      </c>
      <c r="T627" s="5">
        <v>82.4</v>
      </c>
      <c r="U627" s="5">
        <v>80</v>
      </c>
      <c r="V627" s="5">
        <v>80.2</v>
      </c>
      <c r="W627" s="5">
        <v>213000</v>
      </c>
      <c r="Y627" s="6">
        <f t="shared" si="18"/>
        <v>40735</v>
      </c>
      <c r="Z627" s="5">
        <f t="shared" si="19"/>
        <v>5467.25</v>
      </c>
      <c r="AA627" s="5">
        <v>126.45</v>
      </c>
      <c r="AB627" s="5">
        <v>94.88</v>
      </c>
    </row>
    <row r="628" spans="1:28" x14ac:dyDescent="0.3">
      <c r="A628" s="6">
        <v>39097</v>
      </c>
      <c r="B628" s="7">
        <v>0.66666666666666663</v>
      </c>
      <c r="C628" s="5">
        <v>150.5</v>
      </c>
      <c r="D628" s="5">
        <v>153.4</v>
      </c>
      <c r="E628" s="5">
        <v>150.5</v>
      </c>
      <c r="F628" s="5">
        <v>152.30000000000001</v>
      </c>
      <c r="G628" s="5">
        <v>52700</v>
      </c>
      <c r="I628" s="6">
        <v>40736</v>
      </c>
      <c r="J628" s="7">
        <v>0.66666666666666663</v>
      </c>
      <c r="K628" s="5">
        <v>5467.25</v>
      </c>
      <c r="L628" s="5">
        <v>5740.6099000000004</v>
      </c>
      <c r="M628" s="5">
        <v>5411.1099000000004</v>
      </c>
      <c r="N628" s="5">
        <v>5641.2002000000002</v>
      </c>
      <c r="O628" s="5">
        <v>369</v>
      </c>
      <c r="Q628" s="6">
        <v>39073</v>
      </c>
      <c r="R628" s="7">
        <v>0.66666666666666663</v>
      </c>
      <c r="S628" s="5">
        <v>80.2</v>
      </c>
      <c r="T628" s="5">
        <v>82.25</v>
      </c>
      <c r="U628" s="5">
        <v>79</v>
      </c>
      <c r="V628" s="5">
        <v>81.25</v>
      </c>
      <c r="W628" s="5">
        <v>180200</v>
      </c>
      <c r="Y628" s="6">
        <f t="shared" si="18"/>
        <v>40736</v>
      </c>
      <c r="Z628" s="5">
        <f t="shared" si="19"/>
        <v>5641.2002000000002</v>
      </c>
      <c r="AA628" s="5">
        <v>126.06</v>
      </c>
      <c r="AB628" s="5">
        <v>94.25</v>
      </c>
    </row>
    <row r="629" spans="1:28" x14ac:dyDescent="0.3">
      <c r="A629" s="6">
        <v>39098</v>
      </c>
      <c r="B629" s="7">
        <v>0.66666666666666663</v>
      </c>
      <c r="C629" s="5">
        <v>152</v>
      </c>
      <c r="D629" s="5">
        <v>154.85</v>
      </c>
      <c r="E629" s="5">
        <v>151.75</v>
      </c>
      <c r="F629" s="5">
        <v>154.85</v>
      </c>
      <c r="G629" s="5">
        <v>8100</v>
      </c>
      <c r="I629" s="6">
        <v>40737</v>
      </c>
      <c r="J629" s="7">
        <v>0.66666666666666663</v>
      </c>
      <c r="K629" s="5">
        <v>5766.6602000000003</v>
      </c>
      <c r="L629" s="5">
        <v>5923</v>
      </c>
      <c r="M629" s="5">
        <v>5766.6602000000003</v>
      </c>
      <c r="N629" s="5">
        <v>5919.9902000000002</v>
      </c>
      <c r="O629" s="5">
        <v>3651</v>
      </c>
      <c r="Q629" s="6">
        <v>39077</v>
      </c>
      <c r="R629" s="7">
        <v>0.66666666666666663</v>
      </c>
      <c r="S629" s="5">
        <v>81.599999999999994</v>
      </c>
      <c r="T629" s="5">
        <v>82.95</v>
      </c>
      <c r="U629" s="5">
        <v>81.599999999999994</v>
      </c>
      <c r="V629" s="5">
        <v>82.95</v>
      </c>
      <c r="W629" s="5">
        <v>162500</v>
      </c>
      <c r="Y629" s="6">
        <f t="shared" si="18"/>
        <v>40737</v>
      </c>
      <c r="Z629" s="5">
        <f t="shared" si="19"/>
        <v>5919.9902000000002</v>
      </c>
      <c r="AA629" s="5">
        <v>127.16</v>
      </c>
      <c r="AB629" s="5">
        <v>95.5</v>
      </c>
    </row>
    <row r="630" spans="1:28" x14ac:dyDescent="0.3">
      <c r="A630" s="6">
        <v>39099</v>
      </c>
      <c r="B630" s="7">
        <v>0.66666666666666663</v>
      </c>
      <c r="C630" s="5">
        <v>154.85</v>
      </c>
      <c r="D630" s="5">
        <v>156</v>
      </c>
      <c r="E630" s="5">
        <v>154</v>
      </c>
      <c r="F630" s="5">
        <v>155</v>
      </c>
      <c r="G630" s="5">
        <v>3500</v>
      </c>
      <c r="I630" s="6">
        <v>40738</v>
      </c>
      <c r="J630" s="7">
        <v>0.66666666666666663</v>
      </c>
      <c r="K630" s="5">
        <v>5966.6602000000003</v>
      </c>
      <c r="L630" s="5">
        <v>6108.0801000000001</v>
      </c>
      <c r="M630" s="5">
        <v>5966.6602000000003</v>
      </c>
      <c r="N630" s="5">
        <v>5998.6698999999999</v>
      </c>
      <c r="O630" s="5">
        <v>31</v>
      </c>
      <c r="Q630" s="6">
        <v>39078</v>
      </c>
      <c r="R630" s="7">
        <v>0.66666666666666663</v>
      </c>
      <c r="S630" s="5">
        <v>82.95</v>
      </c>
      <c r="T630" s="5">
        <v>85.6</v>
      </c>
      <c r="U630" s="5">
        <v>82.95</v>
      </c>
      <c r="V630" s="5">
        <v>83.1</v>
      </c>
      <c r="W630" s="5">
        <v>230300</v>
      </c>
      <c r="Y630" s="6">
        <f t="shared" si="18"/>
        <v>40738</v>
      </c>
      <c r="Z630" s="5">
        <f t="shared" si="19"/>
        <v>5998.6698999999999</v>
      </c>
      <c r="AA630" s="5">
        <v>126.79</v>
      </c>
      <c r="AB630" s="5">
        <v>94.68</v>
      </c>
    </row>
    <row r="631" spans="1:28" x14ac:dyDescent="0.3">
      <c r="A631" s="6">
        <v>39100</v>
      </c>
      <c r="B631" s="7">
        <v>0.66666666666666663</v>
      </c>
      <c r="C631" s="5">
        <v>155.5</v>
      </c>
      <c r="D631" s="5">
        <v>155.5</v>
      </c>
      <c r="E631" s="5">
        <v>154</v>
      </c>
      <c r="F631" s="5">
        <v>154</v>
      </c>
      <c r="G631" s="5">
        <v>3600</v>
      </c>
      <c r="I631" s="6">
        <v>40739</v>
      </c>
      <c r="J631" s="7">
        <v>0.66666666666666663</v>
      </c>
      <c r="K631" s="5">
        <v>5998.6698999999999</v>
      </c>
      <c r="L631" s="5">
        <v>6045</v>
      </c>
      <c r="M631" s="5">
        <v>5909.0897999999997</v>
      </c>
      <c r="N631" s="5">
        <v>5938.48</v>
      </c>
      <c r="O631" s="5">
        <v>117</v>
      </c>
      <c r="Q631" s="6">
        <v>39079</v>
      </c>
      <c r="R631" s="7">
        <v>0.66666666666666663</v>
      </c>
      <c r="S631" s="5">
        <v>83.1</v>
      </c>
      <c r="T631" s="5">
        <v>83.95</v>
      </c>
      <c r="U631" s="5">
        <v>82.65</v>
      </c>
      <c r="V631" s="5">
        <v>83.35</v>
      </c>
      <c r="W631" s="5">
        <v>94400</v>
      </c>
      <c r="Y631" s="6">
        <f t="shared" si="18"/>
        <v>40739</v>
      </c>
      <c r="Z631" s="5">
        <f t="shared" si="19"/>
        <v>5938.48</v>
      </c>
      <c r="AA631" s="5">
        <v>128.79</v>
      </c>
      <c r="AB631" s="5">
        <v>96.09</v>
      </c>
    </row>
    <row r="632" spans="1:28" x14ac:dyDescent="0.3">
      <c r="A632" s="6">
        <v>39101</v>
      </c>
      <c r="B632" s="7">
        <v>0.66666666666666663</v>
      </c>
      <c r="C632" s="5">
        <v>153</v>
      </c>
      <c r="D632" s="5">
        <v>154</v>
      </c>
      <c r="E632" s="5">
        <v>153</v>
      </c>
      <c r="F632" s="5">
        <v>153.55000000000001</v>
      </c>
      <c r="G632" s="5">
        <v>3300</v>
      </c>
      <c r="I632" s="6">
        <v>40742</v>
      </c>
      <c r="J632" s="7">
        <v>0.66666666666666663</v>
      </c>
      <c r="K632" s="5">
        <v>5938.48</v>
      </c>
      <c r="L632" s="5">
        <v>6135</v>
      </c>
      <c r="M632" s="5">
        <v>5756</v>
      </c>
      <c r="N632" s="5">
        <v>5915.4198999999999</v>
      </c>
      <c r="O632" s="5">
        <v>37</v>
      </c>
      <c r="Q632" s="6">
        <v>39080</v>
      </c>
      <c r="R632" s="7">
        <v>0.66666666666666663</v>
      </c>
      <c r="S632" s="5">
        <v>83.35</v>
      </c>
      <c r="T632" s="5">
        <v>83.9</v>
      </c>
      <c r="U632" s="5">
        <v>82.85</v>
      </c>
      <c r="V632" s="5">
        <v>83.3</v>
      </c>
      <c r="W632" s="5">
        <v>68000</v>
      </c>
      <c r="Y632" s="6">
        <f t="shared" si="18"/>
        <v>40742</v>
      </c>
      <c r="Z632" s="5">
        <f t="shared" si="19"/>
        <v>5915.4198999999999</v>
      </c>
      <c r="AA632" s="5">
        <v>125.76</v>
      </c>
      <c r="AB632" s="5">
        <v>95.72</v>
      </c>
    </row>
    <row r="633" spans="1:28" x14ac:dyDescent="0.3">
      <c r="A633" s="6">
        <v>39104</v>
      </c>
      <c r="B633" s="7">
        <v>0.66666666666666663</v>
      </c>
      <c r="C633" s="5">
        <v>154.5</v>
      </c>
      <c r="D633" s="5">
        <v>155</v>
      </c>
      <c r="E633" s="5">
        <v>154</v>
      </c>
      <c r="F633" s="5">
        <v>154.69999999999999</v>
      </c>
      <c r="G633" s="5">
        <v>6500</v>
      </c>
      <c r="I633" s="6">
        <v>40743</v>
      </c>
      <c r="J633" s="7">
        <v>0.66666666666666663</v>
      </c>
      <c r="K633" s="5">
        <v>5915.4198999999999</v>
      </c>
      <c r="L633" s="5">
        <v>5935</v>
      </c>
      <c r="M633" s="5">
        <v>5755</v>
      </c>
      <c r="N633" s="5">
        <v>5927.7997999999998</v>
      </c>
      <c r="O633" s="5">
        <v>9</v>
      </c>
      <c r="Q633" s="6">
        <v>39085</v>
      </c>
      <c r="R633" s="7">
        <v>0.66666666666666663</v>
      </c>
      <c r="S633" s="5">
        <v>83.3</v>
      </c>
      <c r="T633" s="5">
        <v>83.6</v>
      </c>
      <c r="U633" s="5">
        <v>82.5</v>
      </c>
      <c r="V633" s="5">
        <v>83.3</v>
      </c>
      <c r="W633" s="5">
        <v>17700</v>
      </c>
      <c r="Y633" s="6">
        <f t="shared" si="18"/>
        <v>40743</v>
      </c>
      <c r="Z633" s="5">
        <f t="shared" si="19"/>
        <v>5927.7997999999998</v>
      </c>
      <c r="AA633" s="5">
        <v>132.04</v>
      </c>
      <c r="AB633" s="5">
        <v>95.4</v>
      </c>
    </row>
    <row r="634" spans="1:28" x14ac:dyDescent="0.3">
      <c r="A634" s="6">
        <v>39105</v>
      </c>
      <c r="B634" s="7">
        <v>0.66666666666666663</v>
      </c>
      <c r="C634" s="5">
        <v>155.9</v>
      </c>
      <c r="D634" s="5">
        <v>157.80000000000001</v>
      </c>
      <c r="E634" s="5">
        <v>155.9</v>
      </c>
      <c r="F634" s="5">
        <v>156.30000000000001</v>
      </c>
      <c r="G634" s="5">
        <v>12400</v>
      </c>
      <c r="I634" s="6">
        <v>40744</v>
      </c>
      <c r="J634" s="7">
        <v>0.66666666666666663</v>
      </c>
      <c r="K634" s="5">
        <v>5914.9902000000002</v>
      </c>
      <c r="L634" s="5">
        <v>5914.9902000000002</v>
      </c>
      <c r="M634" s="5">
        <v>5855.5497999999998</v>
      </c>
      <c r="N634" s="5">
        <v>5882.8599000000004</v>
      </c>
      <c r="O634" s="5">
        <v>7</v>
      </c>
      <c r="Q634" s="6">
        <v>39086</v>
      </c>
      <c r="R634" s="7">
        <v>0.66666666666666663</v>
      </c>
      <c r="S634" s="5">
        <v>83.3</v>
      </c>
      <c r="T634" s="5">
        <v>84.4</v>
      </c>
      <c r="U634" s="5">
        <v>82.6</v>
      </c>
      <c r="V634" s="5">
        <v>82.65</v>
      </c>
      <c r="W634" s="5">
        <v>159000</v>
      </c>
      <c r="Y634" s="6">
        <f t="shared" si="18"/>
        <v>40744</v>
      </c>
      <c r="Z634" s="5">
        <f t="shared" si="19"/>
        <v>5882.8599000000004</v>
      </c>
      <c r="AA634" s="5">
        <v>130.34</v>
      </c>
      <c r="AB634" s="5">
        <v>95.5</v>
      </c>
    </row>
    <row r="635" spans="1:28" x14ac:dyDescent="0.3">
      <c r="A635" s="6">
        <v>39106</v>
      </c>
      <c r="B635" s="7">
        <v>0.66666666666666663</v>
      </c>
      <c r="C635" s="5">
        <v>157</v>
      </c>
      <c r="D635" s="5">
        <v>157.80000000000001</v>
      </c>
      <c r="E635" s="5">
        <v>156</v>
      </c>
      <c r="F635" s="5">
        <v>156</v>
      </c>
      <c r="G635" s="5">
        <v>6400</v>
      </c>
      <c r="I635" s="6">
        <v>40745</v>
      </c>
      <c r="J635" s="7">
        <v>0.66666666666666663</v>
      </c>
      <c r="K635" s="5">
        <v>5882.8599000000004</v>
      </c>
      <c r="L635" s="5">
        <v>5925</v>
      </c>
      <c r="M635" s="5">
        <v>5775</v>
      </c>
      <c r="N635" s="5">
        <v>5835.9502000000002</v>
      </c>
      <c r="O635" s="5">
        <v>24</v>
      </c>
      <c r="Q635" s="6">
        <v>39087</v>
      </c>
      <c r="R635" s="7">
        <v>0.66666666666666663</v>
      </c>
      <c r="S635" s="5">
        <v>82.65</v>
      </c>
      <c r="T635" s="5">
        <v>83.2</v>
      </c>
      <c r="U635" s="5">
        <v>81</v>
      </c>
      <c r="V635" s="5">
        <v>81.7</v>
      </c>
      <c r="W635" s="5">
        <v>57900</v>
      </c>
      <c r="Y635" s="6">
        <f t="shared" si="18"/>
        <v>40745</v>
      </c>
      <c r="Z635" s="5">
        <f t="shared" si="19"/>
        <v>5835.9502000000002</v>
      </c>
      <c r="AA635" s="5">
        <v>132.13999999999999</v>
      </c>
      <c r="AB635" s="5">
        <v>96.1</v>
      </c>
    </row>
    <row r="636" spans="1:28" x14ac:dyDescent="0.3">
      <c r="A636" s="6">
        <v>39107</v>
      </c>
      <c r="B636" s="7">
        <v>0.66666666666666663</v>
      </c>
      <c r="C636" s="5">
        <v>156.1</v>
      </c>
      <c r="D636" s="5">
        <v>157</v>
      </c>
      <c r="E636" s="5">
        <v>155.55000000000001</v>
      </c>
      <c r="F636" s="5">
        <v>156</v>
      </c>
      <c r="G636" s="5">
        <v>8700</v>
      </c>
      <c r="I636" s="6">
        <v>40746</v>
      </c>
      <c r="J636" s="7">
        <v>0.66666666666666663</v>
      </c>
      <c r="K636" s="5">
        <v>5835.9502000000002</v>
      </c>
      <c r="L636" s="5">
        <v>5898</v>
      </c>
      <c r="M636" s="5">
        <v>5761</v>
      </c>
      <c r="N636" s="5">
        <v>5848.98</v>
      </c>
      <c r="O636" s="5">
        <v>5</v>
      </c>
      <c r="Q636" s="6">
        <v>39090</v>
      </c>
      <c r="R636" s="7">
        <v>0.66666666666666663</v>
      </c>
      <c r="S636" s="5">
        <v>81.7</v>
      </c>
      <c r="T636" s="5">
        <v>83.15</v>
      </c>
      <c r="U636" s="5">
        <v>81.7</v>
      </c>
      <c r="V636" s="5">
        <v>82.4</v>
      </c>
      <c r="W636" s="5">
        <v>148200</v>
      </c>
      <c r="Y636" s="6">
        <f t="shared" si="18"/>
        <v>40746</v>
      </c>
      <c r="Z636" s="5">
        <f t="shared" si="19"/>
        <v>5848.98</v>
      </c>
      <c r="AA636" s="5">
        <v>131.91999999999999</v>
      </c>
      <c r="AB636" s="5">
        <v>96.1</v>
      </c>
    </row>
    <row r="637" spans="1:28" x14ac:dyDescent="0.3">
      <c r="A637" s="6">
        <v>39108</v>
      </c>
      <c r="B637" s="7">
        <v>0.66666666666666663</v>
      </c>
      <c r="C637" s="5">
        <v>156</v>
      </c>
      <c r="D637" s="5">
        <v>158</v>
      </c>
      <c r="E637" s="5">
        <v>155.55000000000001</v>
      </c>
      <c r="F637" s="5">
        <v>158</v>
      </c>
      <c r="G637" s="5">
        <v>158100</v>
      </c>
      <c r="I637" s="6">
        <v>40749</v>
      </c>
      <c r="J637" s="7">
        <v>0.66666666666666663</v>
      </c>
      <c r="K637" s="5">
        <v>5848.98</v>
      </c>
      <c r="L637" s="5">
        <v>5910</v>
      </c>
      <c r="M637" s="5">
        <v>5701.1000999999997</v>
      </c>
      <c r="N637" s="5">
        <v>5833.5698000000002</v>
      </c>
      <c r="O637" s="5">
        <v>1119</v>
      </c>
      <c r="Q637" s="6">
        <v>39091</v>
      </c>
      <c r="R637" s="7">
        <v>0.66666666666666663</v>
      </c>
      <c r="S637" s="5">
        <v>82.4</v>
      </c>
      <c r="T637" s="5">
        <v>83.25</v>
      </c>
      <c r="U637" s="5">
        <v>82.15</v>
      </c>
      <c r="V637" s="5">
        <v>82.75</v>
      </c>
      <c r="W637" s="5">
        <v>113900</v>
      </c>
      <c r="Y637" s="6">
        <f t="shared" si="18"/>
        <v>40749</v>
      </c>
      <c r="Z637" s="5">
        <f t="shared" si="19"/>
        <v>5833.5698000000002</v>
      </c>
      <c r="AA637" s="5">
        <v>131.56</v>
      </c>
      <c r="AB637" s="5">
        <v>96.5</v>
      </c>
    </row>
    <row r="638" spans="1:28" x14ac:dyDescent="0.3">
      <c r="A638" s="6">
        <v>39113</v>
      </c>
      <c r="B638" s="7">
        <v>0.66666666666666663</v>
      </c>
      <c r="C638" s="5">
        <v>156.55000000000001</v>
      </c>
      <c r="D638" s="5">
        <v>158.15</v>
      </c>
      <c r="E638" s="5">
        <v>156.55000000000001</v>
      </c>
      <c r="F638" s="5">
        <v>157.5</v>
      </c>
      <c r="G638" s="5">
        <v>2200</v>
      </c>
      <c r="I638" s="6">
        <v>40750</v>
      </c>
      <c r="J638" s="7">
        <v>0.66666666666666663</v>
      </c>
      <c r="K638" s="5">
        <v>5833.5698000000002</v>
      </c>
      <c r="L638" s="5">
        <v>5878.7798000000003</v>
      </c>
      <c r="M638" s="5">
        <v>5667.0097999999998</v>
      </c>
      <c r="N638" s="5">
        <v>5730.8100999999997</v>
      </c>
      <c r="O638" s="5">
        <v>1015</v>
      </c>
      <c r="Q638" s="6">
        <v>39092</v>
      </c>
      <c r="R638" s="7">
        <v>0.66666666666666663</v>
      </c>
      <c r="S638" s="5">
        <v>82.75</v>
      </c>
      <c r="T638" s="5">
        <v>82.8</v>
      </c>
      <c r="U638" s="5">
        <v>81</v>
      </c>
      <c r="V638" s="5">
        <v>81.55</v>
      </c>
      <c r="W638" s="5">
        <v>98800</v>
      </c>
      <c r="Y638" s="6">
        <f t="shared" si="18"/>
        <v>40750</v>
      </c>
      <c r="Z638" s="5">
        <f t="shared" si="19"/>
        <v>5730.8100999999997</v>
      </c>
      <c r="AA638" s="5">
        <v>131.78</v>
      </c>
      <c r="AB638" s="5">
        <v>95.91</v>
      </c>
    </row>
    <row r="639" spans="1:28" x14ac:dyDescent="0.3">
      <c r="A639" s="6">
        <v>39114</v>
      </c>
      <c r="B639" s="7">
        <v>0.66666666666666663</v>
      </c>
      <c r="C639" s="5">
        <v>157.5</v>
      </c>
      <c r="D639" s="5">
        <v>158.05000000000001</v>
      </c>
      <c r="E639" s="5">
        <v>155.65</v>
      </c>
      <c r="F639" s="5">
        <v>157.5</v>
      </c>
      <c r="G639" s="5">
        <v>4800</v>
      </c>
      <c r="I639" s="6">
        <v>40751</v>
      </c>
      <c r="J639" s="7">
        <v>0.66666666666666663</v>
      </c>
      <c r="K639" s="5">
        <v>5730.8100999999997</v>
      </c>
      <c r="L639" s="5">
        <v>5800</v>
      </c>
      <c r="M639" s="5">
        <v>5665</v>
      </c>
      <c r="N639" s="5">
        <v>5691.02</v>
      </c>
      <c r="O639" s="5">
        <v>22</v>
      </c>
      <c r="Q639" s="6">
        <v>39093</v>
      </c>
      <c r="R639" s="7">
        <v>0.66666666666666663</v>
      </c>
      <c r="S639" s="5">
        <v>81.55</v>
      </c>
      <c r="T639" s="5">
        <v>82.85</v>
      </c>
      <c r="U639" s="5">
        <v>81.05</v>
      </c>
      <c r="V639" s="5">
        <v>82.5</v>
      </c>
      <c r="W639" s="5">
        <v>114200</v>
      </c>
      <c r="Y639" s="6">
        <f t="shared" si="18"/>
        <v>40751</v>
      </c>
      <c r="Z639" s="5">
        <f t="shared" si="19"/>
        <v>5691.02</v>
      </c>
      <c r="AA639" s="5">
        <v>125.67</v>
      </c>
      <c r="AB639" s="5" t="e">
        <v>#N/A</v>
      </c>
    </row>
    <row r="640" spans="1:28" x14ac:dyDescent="0.3">
      <c r="A640" s="6">
        <v>39115</v>
      </c>
      <c r="B640" s="7">
        <v>0.66666666666666663</v>
      </c>
      <c r="C640" s="5">
        <v>158</v>
      </c>
      <c r="D640" s="5">
        <v>165.35</v>
      </c>
      <c r="E640" s="5">
        <v>158</v>
      </c>
      <c r="F640" s="5">
        <v>165.35</v>
      </c>
      <c r="G640" s="5">
        <v>83300</v>
      </c>
      <c r="I640" s="6">
        <v>40752</v>
      </c>
      <c r="J640" s="7">
        <v>0.66666666666666663</v>
      </c>
      <c r="K640" s="5">
        <v>5691.02</v>
      </c>
      <c r="L640" s="5">
        <v>5850</v>
      </c>
      <c r="M640" s="5">
        <v>5562.1899000000003</v>
      </c>
      <c r="N640" s="5">
        <v>5661.4701999999997</v>
      </c>
      <c r="O640" s="5">
        <v>4757</v>
      </c>
      <c r="Q640" s="6">
        <v>39094</v>
      </c>
      <c r="R640" s="7">
        <v>0.66666666666666663</v>
      </c>
      <c r="S640" s="5">
        <v>82.5</v>
      </c>
      <c r="T640" s="5">
        <v>83</v>
      </c>
      <c r="U640" s="5">
        <v>82</v>
      </c>
      <c r="V640" s="5">
        <v>82.5</v>
      </c>
      <c r="W640" s="5">
        <v>80000</v>
      </c>
      <c r="Y640" s="6">
        <f t="shared" si="18"/>
        <v>40752</v>
      </c>
      <c r="Z640" s="5">
        <f t="shared" si="19"/>
        <v>5661.4701999999997</v>
      </c>
      <c r="AA640" s="5">
        <v>124.53</v>
      </c>
      <c r="AB640" s="5">
        <v>94.09</v>
      </c>
    </row>
    <row r="641" spans="1:28" x14ac:dyDescent="0.3">
      <c r="A641" s="6">
        <v>39119</v>
      </c>
      <c r="B641" s="7">
        <v>0.66666666666666663</v>
      </c>
      <c r="C641" s="5">
        <v>170.5</v>
      </c>
      <c r="D641" s="5">
        <v>172</v>
      </c>
      <c r="E641" s="5">
        <v>168</v>
      </c>
      <c r="F641" s="5">
        <v>170.1</v>
      </c>
      <c r="G641" s="5">
        <v>40600</v>
      </c>
      <c r="I641" s="6">
        <v>40753</v>
      </c>
      <c r="J641" s="7">
        <v>0.66666666666666663</v>
      </c>
      <c r="K641" s="5">
        <v>5675</v>
      </c>
      <c r="L641" s="5">
        <v>5800</v>
      </c>
      <c r="M641" s="5">
        <v>5675</v>
      </c>
      <c r="N641" s="5">
        <v>5798.6298999999999</v>
      </c>
      <c r="O641" s="5">
        <v>3830</v>
      </c>
      <c r="Q641" s="6">
        <v>39097</v>
      </c>
      <c r="R641" s="7">
        <v>0.66666666666666663</v>
      </c>
      <c r="S641" s="5">
        <v>82.5</v>
      </c>
      <c r="T641" s="5">
        <v>86.6</v>
      </c>
      <c r="U641" s="5">
        <v>82.45</v>
      </c>
      <c r="V641" s="5">
        <v>86.6</v>
      </c>
      <c r="W641" s="5">
        <v>566300</v>
      </c>
      <c r="Y641" s="6">
        <f t="shared" si="18"/>
        <v>40753</v>
      </c>
      <c r="Z641" s="5">
        <f t="shared" si="19"/>
        <v>5798.6298999999999</v>
      </c>
      <c r="AA641" s="5">
        <v>125.26</v>
      </c>
      <c r="AB641" s="5">
        <v>93.26</v>
      </c>
    </row>
    <row r="642" spans="1:28" x14ac:dyDescent="0.3">
      <c r="A642" s="6">
        <v>39120</v>
      </c>
      <c r="B642" s="7">
        <v>0.66666666666666663</v>
      </c>
      <c r="C642" s="5">
        <v>171.4</v>
      </c>
      <c r="D642" s="5">
        <v>172</v>
      </c>
      <c r="E642" s="5">
        <v>165</v>
      </c>
      <c r="F642" s="5">
        <v>167</v>
      </c>
      <c r="G642" s="5">
        <v>40100</v>
      </c>
      <c r="I642" s="6">
        <v>40756</v>
      </c>
      <c r="J642" s="7">
        <v>0.66666666666666663</v>
      </c>
      <c r="K642" s="5">
        <v>5800</v>
      </c>
      <c r="L642" s="5">
        <v>6088.5600999999997</v>
      </c>
      <c r="M642" s="5">
        <v>5800</v>
      </c>
      <c r="N642" s="5">
        <v>5929.7002000000002</v>
      </c>
      <c r="O642" s="5">
        <v>161</v>
      </c>
      <c r="Q642" s="6">
        <v>39098</v>
      </c>
      <c r="R642" s="7">
        <v>0.66666666666666663</v>
      </c>
      <c r="S642" s="5">
        <v>86.6</v>
      </c>
      <c r="T642" s="5">
        <v>87.5</v>
      </c>
      <c r="U642" s="5">
        <v>84.5</v>
      </c>
      <c r="V642" s="5">
        <v>85.15</v>
      </c>
      <c r="W642" s="5">
        <v>476400</v>
      </c>
      <c r="Y642" s="6">
        <f t="shared" si="18"/>
        <v>40756</v>
      </c>
      <c r="Z642" s="5">
        <f t="shared" si="19"/>
        <v>5929.7002000000002</v>
      </c>
      <c r="AA642" s="5">
        <v>126.53</v>
      </c>
      <c r="AB642" s="5">
        <v>96.61</v>
      </c>
    </row>
    <row r="643" spans="1:28" x14ac:dyDescent="0.3">
      <c r="A643" s="6">
        <v>39121</v>
      </c>
      <c r="B643" s="7">
        <v>0.66666666666666663</v>
      </c>
      <c r="C643" s="5">
        <v>167.45</v>
      </c>
      <c r="D643" s="5">
        <v>167.5</v>
      </c>
      <c r="E643" s="5">
        <v>165</v>
      </c>
      <c r="F643" s="5">
        <v>165</v>
      </c>
      <c r="G643" s="5">
        <v>21900</v>
      </c>
      <c r="I643" s="6">
        <v>40757</v>
      </c>
      <c r="J643" s="7">
        <v>0.66666666666666663</v>
      </c>
      <c r="K643" s="5">
        <v>5929.7002000000002</v>
      </c>
      <c r="L643" s="5">
        <v>6090</v>
      </c>
      <c r="M643" s="5">
        <v>5850</v>
      </c>
      <c r="N643" s="5">
        <v>5996.8301000000001</v>
      </c>
      <c r="O643" s="5">
        <v>108</v>
      </c>
      <c r="Q643" s="6">
        <v>39099</v>
      </c>
      <c r="R643" s="7">
        <v>0.66666666666666663</v>
      </c>
      <c r="S643" s="5">
        <v>85.15</v>
      </c>
      <c r="T643" s="5">
        <v>85.55</v>
      </c>
      <c r="U643" s="5">
        <v>84</v>
      </c>
      <c r="V643" s="5">
        <v>84.05</v>
      </c>
      <c r="W643" s="5">
        <v>161900</v>
      </c>
      <c r="Y643" s="6">
        <f t="shared" si="18"/>
        <v>40757</v>
      </c>
      <c r="Z643" s="5">
        <f t="shared" si="19"/>
        <v>5996.8301000000001</v>
      </c>
      <c r="AA643" s="5">
        <v>125.23</v>
      </c>
      <c r="AB643" s="5">
        <v>95.5</v>
      </c>
    </row>
    <row r="644" spans="1:28" x14ac:dyDescent="0.3">
      <c r="A644" s="6">
        <v>39122</v>
      </c>
      <c r="B644" s="7">
        <v>0.66666666666666663</v>
      </c>
      <c r="C644" s="5">
        <v>165</v>
      </c>
      <c r="D644" s="5">
        <v>165</v>
      </c>
      <c r="E644" s="5">
        <v>161.5</v>
      </c>
      <c r="F644" s="5">
        <v>163</v>
      </c>
      <c r="G644" s="5">
        <v>15000</v>
      </c>
      <c r="I644" s="6">
        <v>40758</v>
      </c>
      <c r="J644" s="7">
        <v>0.66666666666666663</v>
      </c>
      <c r="K644" s="5">
        <v>5985</v>
      </c>
      <c r="L644" s="5">
        <v>5985</v>
      </c>
      <c r="M644" s="5">
        <v>5706</v>
      </c>
      <c r="N644" s="5">
        <v>5964.0698000000002</v>
      </c>
      <c r="O644" s="5">
        <v>27</v>
      </c>
      <c r="Q644" s="6">
        <v>39100</v>
      </c>
      <c r="R644" s="7">
        <v>0.66666666666666663</v>
      </c>
      <c r="S644" s="5">
        <v>84.05</v>
      </c>
      <c r="T644" s="5">
        <v>86.5</v>
      </c>
      <c r="U644" s="5">
        <v>83.6</v>
      </c>
      <c r="V644" s="5">
        <v>85.8</v>
      </c>
      <c r="W644" s="5">
        <v>381100</v>
      </c>
      <c r="Y644" s="6">
        <f t="shared" ref="Y644:Y707" si="20">I644</f>
        <v>40758</v>
      </c>
      <c r="Z644" s="5">
        <f t="shared" ref="Z644:Z707" si="21">N644</f>
        <v>5964.0698000000002</v>
      </c>
      <c r="AA644" s="5">
        <v>119.54</v>
      </c>
      <c r="AB644" s="5">
        <v>94.87</v>
      </c>
    </row>
    <row r="645" spans="1:28" x14ac:dyDescent="0.3">
      <c r="A645" s="6">
        <v>39125</v>
      </c>
      <c r="B645" s="7">
        <v>0.66666666666666663</v>
      </c>
      <c r="C645" s="5">
        <v>154.85</v>
      </c>
      <c r="D645" s="5">
        <v>160</v>
      </c>
      <c r="E645" s="5">
        <v>154.85</v>
      </c>
      <c r="F645" s="5">
        <v>156.75</v>
      </c>
      <c r="G645" s="5">
        <v>38500</v>
      </c>
      <c r="I645" s="6">
        <v>40759</v>
      </c>
      <c r="J645" s="7">
        <v>0.66666666666666663</v>
      </c>
      <c r="K645" s="5">
        <v>5964.0698000000002</v>
      </c>
      <c r="L645" s="5">
        <v>6000</v>
      </c>
      <c r="M645" s="5">
        <v>5888.8798999999999</v>
      </c>
      <c r="N645" s="5">
        <v>5941.6698999999999</v>
      </c>
      <c r="O645" s="5">
        <v>146</v>
      </c>
      <c r="Q645" s="6">
        <v>39101</v>
      </c>
      <c r="R645" s="7">
        <v>0.66666666666666663</v>
      </c>
      <c r="S645" s="5">
        <v>85.8</v>
      </c>
      <c r="T645" s="5">
        <v>86</v>
      </c>
      <c r="U645" s="5">
        <v>84.6</v>
      </c>
      <c r="V645" s="5">
        <v>84.6</v>
      </c>
      <c r="W645" s="5">
        <v>151700</v>
      </c>
      <c r="Y645" s="6">
        <f t="shared" si="20"/>
        <v>40759</v>
      </c>
      <c r="Z645" s="5">
        <f t="shared" si="21"/>
        <v>5941.6698999999999</v>
      </c>
      <c r="AA645" s="5">
        <v>118.35</v>
      </c>
      <c r="AB645" s="5">
        <v>94.87</v>
      </c>
    </row>
    <row r="646" spans="1:28" x14ac:dyDescent="0.3">
      <c r="A646" s="6">
        <v>39126</v>
      </c>
      <c r="B646" s="7">
        <v>0.66666666666666663</v>
      </c>
      <c r="C646" s="5">
        <v>155.85</v>
      </c>
      <c r="D646" s="5">
        <v>155.85</v>
      </c>
      <c r="E646" s="5">
        <v>150.5</v>
      </c>
      <c r="F646" s="5">
        <v>151.75</v>
      </c>
      <c r="G646" s="5">
        <v>22300</v>
      </c>
      <c r="I646" s="6">
        <v>40760</v>
      </c>
      <c r="J646" s="7">
        <v>0.66666666666666663</v>
      </c>
      <c r="K646" s="5">
        <v>5941.6698999999999</v>
      </c>
      <c r="L646" s="5">
        <v>5990</v>
      </c>
      <c r="M646" s="5">
        <v>5650</v>
      </c>
      <c r="N646" s="5">
        <v>5659.3900999999996</v>
      </c>
      <c r="O646" s="5">
        <v>72</v>
      </c>
      <c r="Q646" s="6">
        <v>39104</v>
      </c>
      <c r="R646" s="7">
        <v>0.66666666666666663</v>
      </c>
      <c r="S646" s="5">
        <v>84.6</v>
      </c>
      <c r="T646" s="5">
        <v>85.85</v>
      </c>
      <c r="U646" s="5">
        <v>84.4</v>
      </c>
      <c r="V646" s="5">
        <v>85</v>
      </c>
      <c r="W646" s="5">
        <v>165600</v>
      </c>
      <c r="Y646" s="6">
        <f t="shared" si="20"/>
        <v>40760</v>
      </c>
      <c r="Z646" s="5">
        <f t="shared" si="21"/>
        <v>5659.3900999999996</v>
      </c>
      <c r="AA646" s="5">
        <v>112.53</v>
      </c>
      <c r="AB646" s="5">
        <v>90.15</v>
      </c>
    </row>
    <row r="647" spans="1:28" x14ac:dyDescent="0.3">
      <c r="A647" s="6">
        <v>39127</v>
      </c>
      <c r="B647" s="7">
        <v>0.66666666666666663</v>
      </c>
      <c r="C647" s="5">
        <v>150</v>
      </c>
      <c r="D647" s="5">
        <v>151.75</v>
      </c>
      <c r="E647" s="5">
        <v>146</v>
      </c>
      <c r="F647" s="5">
        <v>148</v>
      </c>
      <c r="G647" s="5">
        <v>24000</v>
      </c>
      <c r="I647" s="6">
        <v>40763</v>
      </c>
      <c r="J647" s="7">
        <v>0.66666666666666663</v>
      </c>
      <c r="K647" s="5">
        <v>5815</v>
      </c>
      <c r="L647" s="5">
        <v>5942.3500999999997</v>
      </c>
      <c r="M647" s="5">
        <v>5815</v>
      </c>
      <c r="N647" s="5">
        <v>5942.3500999999997</v>
      </c>
      <c r="O647" s="5">
        <v>502</v>
      </c>
      <c r="Q647" s="6">
        <v>39105</v>
      </c>
      <c r="R647" s="7">
        <v>0.66666666666666663</v>
      </c>
      <c r="S647" s="5">
        <v>85</v>
      </c>
      <c r="T647" s="5">
        <v>85.45</v>
      </c>
      <c r="U647" s="5">
        <v>84.1</v>
      </c>
      <c r="V647" s="5">
        <v>84.1</v>
      </c>
      <c r="W647" s="5">
        <v>191800</v>
      </c>
      <c r="Y647" s="6">
        <f t="shared" si="20"/>
        <v>40763</v>
      </c>
      <c r="Z647" s="5">
        <f t="shared" si="21"/>
        <v>5942.3500999999997</v>
      </c>
      <c r="AA647" s="5">
        <v>110.79</v>
      </c>
      <c r="AB647" s="5">
        <v>92</v>
      </c>
    </row>
    <row r="648" spans="1:28" x14ac:dyDescent="0.3">
      <c r="A648" s="6">
        <v>39128</v>
      </c>
      <c r="B648" s="7">
        <v>0.66666666666666663</v>
      </c>
      <c r="C648" s="5">
        <v>146</v>
      </c>
      <c r="D648" s="5">
        <v>147.9</v>
      </c>
      <c r="E648" s="5">
        <v>145</v>
      </c>
      <c r="F648" s="5">
        <v>147.35</v>
      </c>
      <c r="G648" s="5">
        <v>6500</v>
      </c>
      <c r="I648" s="6">
        <v>40764</v>
      </c>
      <c r="J648" s="7">
        <v>0.66666666666666663</v>
      </c>
      <c r="K648" s="5">
        <v>5950</v>
      </c>
      <c r="L648" s="5">
        <v>6149</v>
      </c>
      <c r="M648" s="5">
        <v>5950</v>
      </c>
      <c r="N648" s="5">
        <v>6004.4198999999999</v>
      </c>
      <c r="O648" s="5">
        <v>115</v>
      </c>
      <c r="Q648" s="6">
        <v>39106</v>
      </c>
      <c r="R648" s="7">
        <v>0.66666666666666663</v>
      </c>
      <c r="S648" s="5">
        <v>84.4</v>
      </c>
      <c r="T648" s="5">
        <v>85.15</v>
      </c>
      <c r="U648" s="5">
        <v>84.4</v>
      </c>
      <c r="V648" s="5">
        <v>84.5</v>
      </c>
      <c r="W648" s="5">
        <v>153600</v>
      </c>
      <c r="Y648" s="6">
        <f t="shared" si="20"/>
        <v>40764</v>
      </c>
      <c r="Z648" s="5">
        <f t="shared" si="21"/>
        <v>6004.4198999999999</v>
      </c>
      <c r="AA648" s="5">
        <v>105.92</v>
      </c>
      <c r="AB648" s="5">
        <v>92</v>
      </c>
    </row>
    <row r="649" spans="1:28" x14ac:dyDescent="0.3">
      <c r="A649" s="6">
        <v>39129</v>
      </c>
      <c r="B649" s="7">
        <v>0.66666666666666663</v>
      </c>
      <c r="C649" s="5">
        <v>149.5</v>
      </c>
      <c r="D649" s="5">
        <v>149.5</v>
      </c>
      <c r="E649" s="5">
        <v>146.1</v>
      </c>
      <c r="F649" s="5">
        <v>148.1</v>
      </c>
      <c r="G649" s="5">
        <v>5000</v>
      </c>
      <c r="I649" s="6">
        <v>40765</v>
      </c>
      <c r="J649" s="7">
        <v>0.66666666666666663</v>
      </c>
      <c r="K649" s="5">
        <v>6004.4198999999999</v>
      </c>
      <c r="L649" s="5">
        <v>6085</v>
      </c>
      <c r="M649" s="5">
        <v>5999</v>
      </c>
      <c r="N649" s="5">
        <v>6007.4198999999999</v>
      </c>
      <c r="O649" s="5">
        <v>18</v>
      </c>
      <c r="Q649" s="6">
        <v>39107</v>
      </c>
      <c r="R649" s="7">
        <v>0.66666666666666663</v>
      </c>
      <c r="S649" s="5">
        <v>84.5</v>
      </c>
      <c r="T649" s="5">
        <v>85</v>
      </c>
      <c r="U649" s="5">
        <v>84.15</v>
      </c>
      <c r="V649" s="5">
        <v>84.45</v>
      </c>
      <c r="W649" s="5">
        <v>195500</v>
      </c>
      <c r="Y649" s="6">
        <f t="shared" si="20"/>
        <v>40765</v>
      </c>
      <c r="Z649" s="5">
        <f t="shared" si="21"/>
        <v>6007.4198999999999</v>
      </c>
      <c r="AA649" s="5">
        <v>109.8</v>
      </c>
      <c r="AB649" s="5">
        <v>92</v>
      </c>
    </row>
    <row r="650" spans="1:28" x14ac:dyDescent="0.3">
      <c r="A650" s="6">
        <v>39132</v>
      </c>
      <c r="B650" s="7">
        <v>0.66666666666666663</v>
      </c>
      <c r="C650" s="5">
        <v>148.55000000000001</v>
      </c>
      <c r="D650" s="5">
        <v>148.55000000000001</v>
      </c>
      <c r="E650" s="5">
        <v>147.05000000000001</v>
      </c>
      <c r="F650" s="5">
        <v>147.75</v>
      </c>
      <c r="G650" s="5">
        <v>5000</v>
      </c>
      <c r="I650" s="6">
        <v>40766</v>
      </c>
      <c r="J650" s="7">
        <v>0.66666666666666663</v>
      </c>
      <c r="K650" s="5">
        <v>6007.4198999999999</v>
      </c>
      <c r="L650" s="5">
        <v>6090</v>
      </c>
      <c r="M650" s="5">
        <v>5851</v>
      </c>
      <c r="N650" s="5">
        <v>5887.98</v>
      </c>
      <c r="O650" s="5">
        <v>20</v>
      </c>
      <c r="Q650" s="6">
        <v>39108</v>
      </c>
      <c r="R650" s="7">
        <v>0.66666666666666663</v>
      </c>
      <c r="S650" s="5">
        <v>84.45</v>
      </c>
      <c r="T650" s="5">
        <v>84.65</v>
      </c>
      <c r="U650" s="5">
        <v>84</v>
      </c>
      <c r="V650" s="5">
        <v>84</v>
      </c>
      <c r="W650" s="5">
        <v>183300</v>
      </c>
      <c r="Y650" s="6">
        <f t="shared" si="20"/>
        <v>40766</v>
      </c>
      <c r="Z650" s="5">
        <f t="shared" si="21"/>
        <v>5887.98</v>
      </c>
      <c r="AA650" s="5">
        <v>110.62</v>
      </c>
      <c r="AB650" s="5">
        <v>94.75</v>
      </c>
    </row>
    <row r="651" spans="1:28" x14ac:dyDescent="0.3">
      <c r="A651" s="6">
        <v>39133</v>
      </c>
      <c r="B651" s="7">
        <v>0.66666666666666663</v>
      </c>
      <c r="C651" s="5">
        <v>147.15</v>
      </c>
      <c r="D651" s="5">
        <v>148.05000000000001</v>
      </c>
      <c r="E651" s="5">
        <v>147</v>
      </c>
      <c r="F651" s="5">
        <v>148</v>
      </c>
      <c r="G651" s="5">
        <v>5900</v>
      </c>
      <c r="I651" s="6">
        <v>40767</v>
      </c>
      <c r="J651" s="7">
        <v>0.66666666666666663</v>
      </c>
      <c r="K651" s="5">
        <v>5887.98</v>
      </c>
      <c r="L651" s="5">
        <v>5900</v>
      </c>
      <c r="M651" s="5">
        <v>5600</v>
      </c>
      <c r="N651" s="5">
        <v>5626.4902000000002</v>
      </c>
      <c r="O651" s="5">
        <v>74</v>
      </c>
      <c r="Q651" s="6">
        <v>39113</v>
      </c>
      <c r="R651" s="7">
        <v>0.66666666666666663</v>
      </c>
      <c r="S651" s="5">
        <v>84.2</v>
      </c>
      <c r="T651" s="5">
        <v>86.5</v>
      </c>
      <c r="U651" s="5">
        <v>84.2</v>
      </c>
      <c r="V651" s="5">
        <v>85.8</v>
      </c>
      <c r="W651" s="5">
        <v>498500</v>
      </c>
      <c r="Y651" s="6">
        <f t="shared" si="20"/>
        <v>40767</v>
      </c>
      <c r="Z651" s="5">
        <f t="shared" si="21"/>
        <v>5626.4902000000002</v>
      </c>
      <c r="AA651" s="5">
        <v>112.52</v>
      </c>
      <c r="AB651" s="5">
        <v>95.05</v>
      </c>
    </row>
    <row r="652" spans="1:28" x14ac:dyDescent="0.3">
      <c r="A652" s="6">
        <v>39134</v>
      </c>
      <c r="B652" s="7">
        <v>0.66666666666666663</v>
      </c>
      <c r="C652" s="5">
        <v>148</v>
      </c>
      <c r="D652" s="5">
        <v>148</v>
      </c>
      <c r="E652" s="5">
        <v>147</v>
      </c>
      <c r="F652" s="5">
        <v>147</v>
      </c>
      <c r="G652" s="5">
        <v>3100</v>
      </c>
      <c r="I652" s="6">
        <v>40770</v>
      </c>
      <c r="J652" s="7">
        <v>0.66666666666666663</v>
      </c>
      <c r="K652" s="5">
        <v>5626.4902000000002</v>
      </c>
      <c r="L652" s="5">
        <v>5797</v>
      </c>
      <c r="M652" s="5">
        <v>5361</v>
      </c>
      <c r="N652" s="5">
        <v>5365</v>
      </c>
      <c r="O652" s="5">
        <v>136</v>
      </c>
      <c r="Q652" s="6">
        <v>39114</v>
      </c>
      <c r="R652" s="7">
        <v>0.66666666666666663</v>
      </c>
      <c r="S652" s="5">
        <v>85.8</v>
      </c>
      <c r="T652" s="5">
        <v>86.1</v>
      </c>
      <c r="U652" s="5">
        <v>84.4</v>
      </c>
      <c r="V652" s="5">
        <v>84.95</v>
      </c>
      <c r="W652" s="5">
        <v>187500</v>
      </c>
      <c r="Y652" s="6">
        <f t="shared" si="20"/>
        <v>40770</v>
      </c>
      <c r="Z652" s="5">
        <f t="shared" si="21"/>
        <v>5365</v>
      </c>
      <c r="AA652" s="5">
        <v>112.93</v>
      </c>
      <c r="AB652" s="5">
        <v>94.5</v>
      </c>
    </row>
    <row r="653" spans="1:28" x14ac:dyDescent="0.3">
      <c r="A653" s="6">
        <v>39135</v>
      </c>
      <c r="B653" s="7">
        <v>0.66666666666666663</v>
      </c>
      <c r="C653" s="5">
        <v>148.25</v>
      </c>
      <c r="D653" s="5">
        <v>148.35</v>
      </c>
      <c r="E653" s="5">
        <v>145.55000000000001</v>
      </c>
      <c r="F653" s="5">
        <v>147.94999999999999</v>
      </c>
      <c r="G653" s="5">
        <v>8300</v>
      </c>
      <c r="I653" s="6">
        <v>40771</v>
      </c>
      <c r="J653" s="7">
        <v>0.66666666666666663</v>
      </c>
      <c r="K653" s="5">
        <v>5365</v>
      </c>
      <c r="L653" s="5">
        <v>5633.25</v>
      </c>
      <c r="M653" s="5">
        <v>5222.2201999999997</v>
      </c>
      <c r="N653" s="5">
        <v>5615.1099000000004</v>
      </c>
      <c r="O653" s="5">
        <v>302</v>
      </c>
      <c r="Q653" s="6">
        <v>39115</v>
      </c>
      <c r="R653" s="7">
        <v>0.66666666666666663</v>
      </c>
      <c r="S653" s="5">
        <v>84.95</v>
      </c>
      <c r="T653" s="5">
        <v>86.5</v>
      </c>
      <c r="U653" s="5">
        <v>84.85</v>
      </c>
      <c r="V653" s="5">
        <v>85.85</v>
      </c>
      <c r="W653" s="5">
        <v>452600</v>
      </c>
      <c r="Y653" s="6">
        <f t="shared" si="20"/>
        <v>40771</v>
      </c>
      <c r="Z653" s="5">
        <f t="shared" si="21"/>
        <v>5615.1099000000004</v>
      </c>
      <c r="AA653" s="5">
        <v>114.79</v>
      </c>
      <c r="AB653" s="5">
        <v>99.22</v>
      </c>
    </row>
    <row r="654" spans="1:28" x14ac:dyDescent="0.3">
      <c r="A654" s="6">
        <v>39136</v>
      </c>
      <c r="B654" s="7">
        <v>0.66666666666666663</v>
      </c>
      <c r="C654" s="5">
        <v>146</v>
      </c>
      <c r="D654" s="5">
        <v>147.9</v>
      </c>
      <c r="E654" s="5">
        <v>146</v>
      </c>
      <c r="F654" s="5">
        <v>147.69999999999999</v>
      </c>
      <c r="G654" s="5">
        <v>3000</v>
      </c>
      <c r="I654" s="6">
        <v>40772</v>
      </c>
      <c r="J654" s="7">
        <v>0.66666666666666663</v>
      </c>
      <c r="K654" s="5">
        <v>5654.4198999999999</v>
      </c>
      <c r="L654" s="5">
        <v>5743.9902000000002</v>
      </c>
      <c r="M654" s="5">
        <v>5654.4198999999999</v>
      </c>
      <c r="N654" s="5">
        <v>5654.4198999999999</v>
      </c>
      <c r="O654" s="5">
        <v>10</v>
      </c>
      <c r="Q654" s="6">
        <v>39119</v>
      </c>
      <c r="R654" s="7">
        <v>0.66666666666666663</v>
      </c>
      <c r="S654" s="5">
        <v>85.85</v>
      </c>
      <c r="T654" s="5">
        <v>88.3</v>
      </c>
      <c r="U654" s="5">
        <v>85</v>
      </c>
      <c r="V654" s="5">
        <v>86.4</v>
      </c>
      <c r="W654" s="5">
        <v>708400</v>
      </c>
      <c r="Y654" s="6">
        <f t="shared" si="20"/>
        <v>40772</v>
      </c>
      <c r="Z654" s="5">
        <f t="shared" si="21"/>
        <v>5654.4198999999999</v>
      </c>
      <c r="AA654" s="5">
        <v>119.86</v>
      </c>
      <c r="AB654" s="5">
        <v>96.93</v>
      </c>
    </row>
    <row r="655" spans="1:28" x14ac:dyDescent="0.3">
      <c r="A655" s="6">
        <v>39139</v>
      </c>
      <c r="B655" s="7">
        <v>0.66666666666666663</v>
      </c>
      <c r="C655" s="5">
        <v>147.69999999999999</v>
      </c>
      <c r="D655" s="5">
        <v>148.65</v>
      </c>
      <c r="E655" s="5">
        <v>147</v>
      </c>
      <c r="F655" s="5">
        <v>148.65</v>
      </c>
      <c r="G655" s="5">
        <v>4100</v>
      </c>
      <c r="I655" s="6">
        <v>40773</v>
      </c>
      <c r="J655" s="7">
        <v>0.66666666666666663</v>
      </c>
      <c r="K655" s="5">
        <v>5654.4198999999999</v>
      </c>
      <c r="L655" s="5">
        <v>5890</v>
      </c>
      <c r="M655" s="5">
        <v>5477.77</v>
      </c>
      <c r="N655" s="5">
        <v>5588.3999000000003</v>
      </c>
      <c r="O655" s="5">
        <v>14</v>
      </c>
      <c r="Q655" s="6">
        <v>39120</v>
      </c>
      <c r="R655" s="7">
        <v>0.66666666666666663</v>
      </c>
      <c r="S655" s="5">
        <v>86.4</v>
      </c>
      <c r="T655" s="5">
        <v>86.75</v>
      </c>
      <c r="U655" s="5">
        <v>85</v>
      </c>
      <c r="V655" s="5">
        <v>85.9</v>
      </c>
      <c r="W655" s="5">
        <v>279800</v>
      </c>
      <c r="Y655" s="6">
        <f t="shared" si="20"/>
        <v>40773</v>
      </c>
      <c r="Z655" s="5">
        <f t="shared" si="21"/>
        <v>5588.3999000000003</v>
      </c>
      <c r="AA655" s="5">
        <v>117.36</v>
      </c>
      <c r="AB655" s="5">
        <v>96.9</v>
      </c>
    </row>
    <row r="656" spans="1:28" x14ac:dyDescent="0.3">
      <c r="A656" s="6">
        <v>39140</v>
      </c>
      <c r="B656" s="7">
        <v>0.66666666666666663</v>
      </c>
      <c r="C656" s="5">
        <v>147.5</v>
      </c>
      <c r="D656" s="5">
        <v>148.4</v>
      </c>
      <c r="E656" s="5">
        <v>147.5</v>
      </c>
      <c r="F656" s="5">
        <v>148</v>
      </c>
      <c r="G656" s="5">
        <v>2300</v>
      </c>
      <c r="I656" s="6">
        <v>40774</v>
      </c>
      <c r="J656" s="7">
        <v>0.66666666666666663</v>
      </c>
      <c r="K656" s="5">
        <v>5588.3999000000003</v>
      </c>
      <c r="L656" s="5">
        <v>5750</v>
      </c>
      <c r="M656" s="5">
        <v>5311.0097999999998</v>
      </c>
      <c r="N656" s="5">
        <v>5509</v>
      </c>
      <c r="O656" s="5">
        <v>11</v>
      </c>
      <c r="Q656" s="6">
        <v>39121</v>
      </c>
      <c r="R656" s="7">
        <v>0.66666666666666663</v>
      </c>
      <c r="S656" s="5">
        <v>85.9</v>
      </c>
      <c r="T656" s="5">
        <v>86.55</v>
      </c>
      <c r="U656" s="5">
        <v>85.15</v>
      </c>
      <c r="V656" s="5">
        <v>85.7</v>
      </c>
      <c r="W656" s="5">
        <v>322500</v>
      </c>
      <c r="Y656" s="6">
        <f t="shared" si="20"/>
        <v>40774</v>
      </c>
      <c r="Z656" s="5">
        <f t="shared" si="21"/>
        <v>5509</v>
      </c>
      <c r="AA656" s="5">
        <v>113.88</v>
      </c>
      <c r="AB656" s="5">
        <v>95.59</v>
      </c>
    </row>
    <row r="657" spans="1:28" x14ac:dyDescent="0.3">
      <c r="A657" s="6">
        <v>39141</v>
      </c>
      <c r="B657" s="7">
        <v>0.66666666666666663</v>
      </c>
      <c r="C657" s="5">
        <v>146.1</v>
      </c>
      <c r="D657" s="5">
        <v>151.5</v>
      </c>
      <c r="E657" s="5">
        <v>146.1</v>
      </c>
      <c r="F657" s="5">
        <v>150.5</v>
      </c>
      <c r="G657" s="5">
        <v>24700</v>
      </c>
      <c r="I657" s="6">
        <v>40777</v>
      </c>
      <c r="J657" s="7">
        <v>0.66666666666666663</v>
      </c>
      <c r="K657" s="5">
        <v>5509</v>
      </c>
      <c r="L657" s="5">
        <v>5784</v>
      </c>
      <c r="M657" s="5">
        <v>5233.5497999999998</v>
      </c>
      <c r="N657" s="5">
        <v>5487.6400999999996</v>
      </c>
      <c r="O657" s="5">
        <v>779</v>
      </c>
      <c r="Q657" s="6">
        <v>39122</v>
      </c>
      <c r="R657" s="7">
        <v>0.66666666666666663</v>
      </c>
      <c r="S657" s="5">
        <v>85.7</v>
      </c>
      <c r="T657" s="5">
        <v>87.2</v>
      </c>
      <c r="U657" s="5">
        <v>85.2</v>
      </c>
      <c r="V657" s="5">
        <v>85.25</v>
      </c>
      <c r="W657" s="5">
        <v>430200</v>
      </c>
      <c r="Y657" s="6">
        <f t="shared" si="20"/>
        <v>40777</v>
      </c>
      <c r="Z657" s="5">
        <f t="shared" si="21"/>
        <v>5487.6400999999996</v>
      </c>
      <c r="AA657" s="5">
        <v>117.39</v>
      </c>
      <c r="AB657" s="5">
        <v>97.4</v>
      </c>
    </row>
    <row r="658" spans="1:28" x14ac:dyDescent="0.3">
      <c r="A658" s="6">
        <v>39142</v>
      </c>
      <c r="B658" s="7">
        <v>0.66666666666666663</v>
      </c>
      <c r="C658" s="5">
        <v>150.05000000000001</v>
      </c>
      <c r="D658" s="5">
        <v>151</v>
      </c>
      <c r="E658" s="5">
        <v>150</v>
      </c>
      <c r="F658" s="5">
        <v>151</v>
      </c>
      <c r="G658" s="5">
        <v>4300</v>
      </c>
      <c r="I658" s="6">
        <v>40778</v>
      </c>
      <c r="J658" s="7">
        <v>0.66666666666666663</v>
      </c>
      <c r="K658" s="5">
        <v>5487.6400999999996</v>
      </c>
      <c r="L658" s="5">
        <v>5654.54</v>
      </c>
      <c r="M658" s="5">
        <v>5401</v>
      </c>
      <c r="N658" s="5">
        <v>5441.6000999999997</v>
      </c>
      <c r="O658" s="5">
        <v>9</v>
      </c>
      <c r="Q658" s="6">
        <v>39125</v>
      </c>
      <c r="R658" s="7">
        <v>0.66666666666666663</v>
      </c>
      <c r="S658" s="5">
        <v>85.25</v>
      </c>
      <c r="T658" s="5">
        <v>86</v>
      </c>
      <c r="U658" s="5">
        <v>84.3</v>
      </c>
      <c r="V658" s="5">
        <v>84.6</v>
      </c>
      <c r="W658" s="5">
        <v>250300</v>
      </c>
      <c r="Y658" s="6">
        <f t="shared" si="20"/>
        <v>40778</v>
      </c>
      <c r="Z658" s="5">
        <f t="shared" si="21"/>
        <v>5441.6000999999997</v>
      </c>
      <c r="AA658" s="5">
        <v>117.86</v>
      </c>
      <c r="AB658" s="5">
        <v>96.5</v>
      </c>
    </row>
    <row r="659" spans="1:28" x14ac:dyDescent="0.3">
      <c r="A659" s="6">
        <v>39143</v>
      </c>
      <c r="B659" s="7">
        <v>0.66666666666666663</v>
      </c>
      <c r="C659" s="5">
        <v>151.9</v>
      </c>
      <c r="D659" s="5">
        <v>151.94999999999999</v>
      </c>
      <c r="E659" s="5">
        <v>148</v>
      </c>
      <c r="F659" s="5">
        <v>148</v>
      </c>
      <c r="G659" s="5">
        <v>1900</v>
      </c>
      <c r="I659" s="6">
        <v>40779</v>
      </c>
      <c r="J659" s="7">
        <v>0.66666666666666663</v>
      </c>
      <c r="K659" s="5">
        <v>5500</v>
      </c>
      <c r="L659" s="5">
        <v>5666.6602000000003</v>
      </c>
      <c r="M659" s="5">
        <v>5500</v>
      </c>
      <c r="N659" s="5">
        <v>5500.1801999999998</v>
      </c>
      <c r="O659" s="5">
        <v>512</v>
      </c>
      <c r="Q659" s="6">
        <v>39126</v>
      </c>
      <c r="R659" s="7">
        <v>0.66666666666666663</v>
      </c>
      <c r="S659" s="5">
        <v>84.45</v>
      </c>
      <c r="T659" s="5">
        <v>84.45</v>
      </c>
      <c r="U659" s="5">
        <v>80.400000000000006</v>
      </c>
      <c r="V659" s="5">
        <v>82</v>
      </c>
      <c r="W659" s="5">
        <v>318200</v>
      </c>
      <c r="Y659" s="6">
        <f t="shared" si="20"/>
        <v>40779</v>
      </c>
      <c r="Z659" s="5">
        <f t="shared" si="21"/>
        <v>5500.1801999999998</v>
      </c>
      <c r="AA659" s="5">
        <v>118.37</v>
      </c>
      <c r="AB659" s="5">
        <v>101.2</v>
      </c>
    </row>
    <row r="660" spans="1:28" x14ac:dyDescent="0.3">
      <c r="A660" s="6">
        <v>39146</v>
      </c>
      <c r="B660" s="7">
        <v>0.66666666666666663</v>
      </c>
      <c r="C660" s="5">
        <v>147.1</v>
      </c>
      <c r="D660" s="5">
        <v>147.1</v>
      </c>
      <c r="E660" s="5">
        <v>145</v>
      </c>
      <c r="F660" s="5">
        <v>145.6</v>
      </c>
      <c r="G660" s="5">
        <v>4300</v>
      </c>
      <c r="I660" s="6">
        <v>40780</v>
      </c>
      <c r="J660" s="7">
        <v>0.66666666666666663</v>
      </c>
      <c r="K660" s="5">
        <v>5500.1801999999998</v>
      </c>
      <c r="L660" s="5">
        <v>5680</v>
      </c>
      <c r="M660" s="5">
        <v>5250.0097999999998</v>
      </c>
      <c r="N660" s="5">
        <v>5479.6000999999997</v>
      </c>
      <c r="O660" s="5">
        <v>9</v>
      </c>
      <c r="Q660" s="6">
        <v>39127</v>
      </c>
      <c r="R660" s="7">
        <v>0.66666666666666663</v>
      </c>
      <c r="S660" s="5">
        <v>82</v>
      </c>
      <c r="T660" s="5">
        <v>83</v>
      </c>
      <c r="U660" s="5">
        <v>79.5</v>
      </c>
      <c r="V660" s="5">
        <v>80</v>
      </c>
      <c r="W660" s="5">
        <v>320100</v>
      </c>
      <c r="Y660" s="6">
        <f t="shared" si="20"/>
        <v>40780</v>
      </c>
      <c r="Z660" s="5">
        <f t="shared" si="21"/>
        <v>5479.6000999999997</v>
      </c>
      <c r="AA660" s="5">
        <v>115.93</v>
      </c>
      <c r="AB660" s="5">
        <v>98.01</v>
      </c>
    </row>
    <row r="661" spans="1:28" x14ac:dyDescent="0.3">
      <c r="A661" s="6">
        <v>39147</v>
      </c>
      <c r="B661" s="7">
        <v>0.66666666666666663</v>
      </c>
      <c r="C661" s="5">
        <v>145</v>
      </c>
      <c r="D661" s="5">
        <v>146.5</v>
      </c>
      <c r="E661" s="5">
        <v>144.80000000000001</v>
      </c>
      <c r="F661" s="5">
        <v>145</v>
      </c>
      <c r="G661" s="5">
        <v>9800</v>
      </c>
      <c r="I661" s="6">
        <v>40784</v>
      </c>
      <c r="J661" s="7">
        <v>0.66666666666666663</v>
      </c>
      <c r="K661" s="5">
        <v>5479.6000999999997</v>
      </c>
      <c r="L661" s="5">
        <v>5550</v>
      </c>
      <c r="M661" s="5">
        <v>5122</v>
      </c>
      <c r="N661" s="5">
        <v>5374.6000999999997</v>
      </c>
      <c r="O661" s="5">
        <v>4</v>
      </c>
      <c r="Q661" s="6">
        <v>39128</v>
      </c>
      <c r="R661" s="7">
        <v>0.66666666666666663</v>
      </c>
      <c r="S661" s="5">
        <v>80</v>
      </c>
      <c r="T661" s="5">
        <v>81.5</v>
      </c>
      <c r="U661" s="5">
        <v>80</v>
      </c>
      <c r="V661" s="5">
        <v>81.2</v>
      </c>
      <c r="W661" s="5">
        <v>153600</v>
      </c>
      <c r="Y661" s="6">
        <f t="shared" si="20"/>
        <v>40784</v>
      </c>
      <c r="Z661" s="5">
        <f t="shared" si="21"/>
        <v>5374.6000999999997</v>
      </c>
      <c r="AA661" s="5">
        <v>114.5</v>
      </c>
      <c r="AB661" s="5">
        <v>97.01</v>
      </c>
    </row>
    <row r="662" spans="1:28" x14ac:dyDescent="0.3">
      <c r="A662" s="6">
        <v>39148</v>
      </c>
      <c r="B662" s="7">
        <v>0.66666666666666663</v>
      </c>
      <c r="C662" s="5">
        <v>145.1</v>
      </c>
      <c r="D662" s="5">
        <v>146.5</v>
      </c>
      <c r="E662" s="5">
        <v>145</v>
      </c>
      <c r="F662" s="5">
        <v>145.25</v>
      </c>
      <c r="G662" s="5">
        <v>6200</v>
      </c>
      <c r="I662" s="6">
        <v>40785</v>
      </c>
      <c r="J662" s="7">
        <v>0.66666666666666663</v>
      </c>
      <c r="K662" s="5">
        <v>5374.6000999999997</v>
      </c>
      <c r="L662" s="5">
        <v>5500</v>
      </c>
      <c r="M662" s="5">
        <v>5314</v>
      </c>
      <c r="N662" s="5">
        <v>5438.6000999999997</v>
      </c>
      <c r="O662" s="5">
        <v>11</v>
      </c>
      <c r="Q662" s="6">
        <v>39129</v>
      </c>
      <c r="R662" s="7">
        <v>0.66666666666666663</v>
      </c>
      <c r="S662" s="5">
        <v>81.2</v>
      </c>
      <c r="T662" s="5">
        <v>81.900000000000006</v>
      </c>
      <c r="U662" s="5">
        <v>80</v>
      </c>
      <c r="V662" s="5">
        <v>80.8</v>
      </c>
      <c r="W662" s="5">
        <v>128000</v>
      </c>
      <c r="Y662" s="6">
        <f t="shared" si="20"/>
        <v>40785</v>
      </c>
      <c r="Z662" s="5">
        <f t="shared" si="21"/>
        <v>5438.6000999999997</v>
      </c>
      <c r="AA662" s="5">
        <v>117.4</v>
      </c>
      <c r="AB662" s="5">
        <v>97.02</v>
      </c>
    </row>
    <row r="663" spans="1:28" x14ac:dyDescent="0.3">
      <c r="A663" s="6">
        <v>39149</v>
      </c>
      <c r="B663" s="7">
        <v>0.66666666666666663</v>
      </c>
      <c r="C663" s="5">
        <v>145.5</v>
      </c>
      <c r="D663" s="5">
        <v>146.80000000000001</v>
      </c>
      <c r="E663" s="5">
        <v>145.5</v>
      </c>
      <c r="F663" s="5">
        <v>146.80000000000001</v>
      </c>
      <c r="G663" s="5">
        <v>5100</v>
      </c>
      <c r="I663" s="6">
        <v>40791</v>
      </c>
      <c r="J663" s="7">
        <v>0.66666666666666663</v>
      </c>
      <c r="K663" s="5">
        <v>5438.6000999999997</v>
      </c>
      <c r="L663" s="5">
        <v>5585.9902000000002</v>
      </c>
      <c r="M663" s="5">
        <v>5230</v>
      </c>
      <c r="N663" s="5">
        <v>5282.5</v>
      </c>
      <c r="O663" s="5">
        <v>24</v>
      </c>
      <c r="Q663" s="6">
        <v>39132</v>
      </c>
      <c r="R663" s="7">
        <v>0.66666666666666663</v>
      </c>
      <c r="S663" s="5">
        <v>80.8</v>
      </c>
      <c r="T663" s="5">
        <v>81.8</v>
      </c>
      <c r="U663" s="5">
        <v>80.150000000000006</v>
      </c>
      <c r="V663" s="5">
        <v>81.5</v>
      </c>
      <c r="W663" s="5">
        <v>84000</v>
      </c>
      <c r="Y663" s="6">
        <f t="shared" si="20"/>
        <v>40791</v>
      </c>
      <c r="Z663" s="5">
        <f t="shared" si="21"/>
        <v>5282.5</v>
      </c>
      <c r="AA663" s="5">
        <v>115.48</v>
      </c>
      <c r="AB663" s="5">
        <v>97</v>
      </c>
    </row>
    <row r="664" spans="1:28" x14ac:dyDescent="0.3">
      <c r="A664" s="6">
        <v>39150</v>
      </c>
      <c r="B664" s="7">
        <v>0.66666666666666663</v>
      </c>
      <c r="C664" s="5">
        <v>146.9</v>
      </c>
      <c r="D664" s="5">
        <v>149</v>
      </c>
      <c r="E664" s="5">
        <v>146.15</v>
      </c>
      <c r="F664" s="5">
        <v>148.19999999999999</v>
      </c>
      <c r="G664" s="5">
        <v>8600</v>
      </c>
      <c r="I664" s="6">
        <v>40792</v>
      </c>
      <c r="J664" s="7">
        <v>0.66666666666666663</v>
      </c>
      <c r="K664" s="5">
        <v>5282.5</v>
      </c>
      <c r="L664" s="5">
        <v>5350</v>
      </c>
      <c r="M664" s="5">
        <v>5110.0097999999998</v>
      </c>
      <c r="N664" s="5">
        <v>5320</v>
      </c>
      <c r="O664" s="5">
        <v>10</v>
      </c>
      <c r="Q664" s="6">
        <v>39133</v>
      </c>
      <c r="R664" s="7">
        <v>0.66666666666666663</v>
      </c>
      <c r="S664" s="5">
        <v>81.5</v>
      </c>
      <c r="T664" s="5">
        <v>83.25</v>
      </c>
      <c r="U664" s="5">
        <v>81.5</v>
      </c>
      <c r="V664" s="5">
        <v>81.5</v>
      </c>
      <c r="W664" s="5">
        <v>456200</v>
      </c>
      <c r="Y664" s="6">
        <f t="shared" si="20"/>
        <v>40792</v>
      </c>
      <c r="Z664" s="5">
        <f t="shared" si="21"/>
        <v>5320</v>
      </c>
      <c r="AA664" s="5">
        <v>116.41</v>
      </c>
      <c r="AB664" s="5">
        <v>96.03</v>
      </c>
    </row>
    <row r="665" spans="1:28" x14ac:dyDescent="0.3">
      <c r="A665" s="6">
        <v>39153</v>
      </c>
      <c r="B665" s="7">
        <v>0.66666666666666663</v>
      </c>
      <c r="C665" s="5">
        <v>147</v>
      </c>
      <c r="D665" s="5">
        <v>148.19999999999999</v>
      </c>
      <c r="E665" s="5">
        <v>146.5</v>
      </c>
      <c r="F665" s="5">
        <v>147.25</v>
      </c>
      <c r="G665" s="5">
        <v>3600</v>
      </c>
      <c r="I665" s="6">
        <v>40793</v>
      </c>
      <c r="J665" s="7">
        <v>0.66666666666666663</v>
      </c>
      <c r="K665" s="5">
        <v>5320</v>
      </c>
      <c r="L665" s="5">
        <v>5335</v>
      </c>
      <c r="M665" s="5">
        <v>5300.0097999999998</v>
      </c>
      <c r="N665" s="5">
        <v>5335</v>
      </c>
      <c r="O665" s="5">
        <v>54</v>
      </c>
      <c r="Q665" s="6">
        <v>39134</v>
      </c>
      <c r="R665" s="7">
        <v>0.66666666666666663</v>
      </c>
      <c r="S665" s="5">
        <v>81.5</v>
      </c>
      <c r="T665" s="5">
        <v>82.2</v>
      </c>
      <c r="U665" s="5">
        <v>81</v>
      </c>
      <c r="V665" s="5">
        <v>81.5</v>
      </c>
      <c r="W665" s="5">
        <v>111400</v>
      </c>
      <c r="Y665" s="6">
        <f t="shared" si="20"/>
        <v>40793</v>
      </c>
      <c r="Z665" s="5">
        <f t="shared" si="21"/>
        <v>5335</v>
      </c>
      <c r="AA665" s="5">
        <v>119.15</v>
      </c>
      <c r="AB665" s="5">
        <v>97</v>
      </c>
    </row>
    <row r="666" spans="1:28" x14ac:dyDescent="0.3">
      <c r="A666" s="6">
        <v>39157</v>
      </c>
      <c r="B666" s="7">
        <v>0.66666666666666663</v>
      </c>
      <c r="C666" s="5">
        <v>147</v>
      </c>
      <c r="D666" s="5">
        <v>147</v>
      </c>
      <c r="E666" s="5">
        <v>146.25</v>
      </c>
      <c r="F666" s="5">
        <v>146.5</v>
      </c>
      <c r="G666" s="5">
        <v>12300</v>
      </c>
      <c r="I666" s="6">
        <v>40794</v>
      </c>
      <c r="J666" s="7">
        <v>0.66666666666666663</v>
      </c>
      <c r="K666" s="5">
        <v>5335</v>
      </c>
      <c r="L666" s="5">
        <v>5589.9902000000002</v>
      </c>
      <c r="M666" s="5">
        <v>5301</v>
      </c>
      <c r="N666" s="5">
        <v>5351.8198000000002</v>
      </c>
      <c r="O666" s="5">
        <v>12</v>
      </c>
      <c r="Q666" s="6">
        <v>39135</v>
      </c>
      <c r="R666" s="7">
        <v>0.66666666666666663</v>
      </c>
      <c r="S666" s="5">
        <v>81.5</v>
      </c>
      <c r="T666" s="5">
        <v>82</v>
      </c>
      <c r="U666" s="5">
        <v>80.400000000000006</v>
      </c>
      <c r="V666" s="5">
        <v>82</v>
      </c>
      <c r="W666" s="5">
        <v>162500</v>
      </c>
      <c r="Y666" s="6">
        <f t="shared" si="20"/>
        <v>40794</v>
      </c>
      <c r="Z666" s="5">
        <f t="shared" si="21"/>
        <v>5351.8198000000002</v>
      </c>
      <c r="AA666" s="5">
        <v>123.73</v>
      </c>
      <c r="AB666" s="5">
        <v>96.98</v>
      </c>
    </row>
    <row r="667" spans="1:28" x14ac:dyDescent="0.3">
      <c r="A667" s="6">
        <v>39160</v>
      </c>
      <c r="B667" s="7">
        <v>0.66666666666666663</v>
      </c>
      <c r="C667" s="5">
        <v>144.1</v>
      </c>
      <c r="D667" s="5">
        <v>145</v>
      </c>
      <c r="E667" s="5">
        <v>142</v>
      </c>
      <c r="F667" s="5">
        <v>142.05000000000001</v>
      </c>
      <c r="G667" s="5">
        <v>16000</v>
      </c>
      <c r="I667" s="6">
        <v>40795</v>
      </c>
      <c r="J667" s="7">
        <v>0.66666666666666663</v>
      </c>
      <c r="K667" s="5">
        <v>5351.8198000000002</v>
      </c>
      <c r="L667" s="5">
        <v>5390</v>
      </c>
      <c r="M667" s="5">
        <v>5085</v>
      </c>
      <c r="N667" s="5">
        <v>5348.02</v>
      </c>
      <c r="O667" s="5">
        <v>12</v>
      </c>
      <c r="Q667" s="6">
        <v>39136</v>
      </c>
      <c r="R667" s="7">
        <v>0.66666666666666663</v>
      </c>
      <c r="S667" s="5">
        <v>81.7</v>
      </c>
      <c r="T667" s="5">
        <v>81.7</v>
      </c>
      <c r="U667" s="5">
        <v>81</v>
      </c>
      <c r="V667" s="5">
        <v>81.05</v>
      </c>
      <c r="W667" s="5">
        <v>65300</v>
      </c>
      <c r="Y667" s="6">
        <f t="shared" si="20"/>
        <v>40795</v>
      </c>
      <c r="Z667" s="5">
        <f t="shared" si="21"/>
        <v>5348.02</v>
      </c>
      <c r="AA667" s="5">
        <v>121.94</v>
      </c>
      <c r="AB667" s="5">
        <v>97</v>
      </c>
    </row>
    <row r="668" spans="1:28" x14ac:dyDescent="0.3">
      <c r="A668" s="6">
        <v>39161</v>
      </c>
      <c r="B668" s="7">
        <v>0.66666666666666663</v>
      </c>
      <c r="C668" s="5">
        <v>142.5</v>
      </c>
      <c r="D668" s="5">
        <v>144</v>
      </c>
      <c r="E668" s="5">
        <v>141</v>
      </c>
      <c r="F668" s="5">
        <v>144</v>
      </c>
      <c r="G668" s="5">
        <v>9900</v>
      </c>
      <c r="I668" s="6">
        <v>40798</v>
      </c>
      <c r="J668" s="7">
        <v>0.66666666666666663</v>
      </c>
      <c r="K668" s="5">
        <v>5348.02</v>
      </c>
      <c r="L668" s="5">
        <v>5499.9902000000002</v>
      </c>
      <c r="M668" s="5">
        <v>5110.1000999999997</v>
      </c>
      <c r="N668" s="5">
        <v>5265.7997999999998</v>
      </c>
      <c r="O668" s="5">
        <v>261</v>
      </c>
      <c r="Q668" s="6">
        <v>39139</v>
      </c>
      <c r="R668" s="7">
        <v>0.66666666666666663</v>
      </c>
      <c r="S668" s="5">
        <v>81.05</v>
      </c>
      <c r="T668" s="5">
        <v>81.8</v>
      </c>
      <c r="U668" s="5">
        <v>80</v>
      </c>
      <c r="V668" s="5">
        <v>80.2</v>
      </c>
      <c r="W668" s="5">
        <v>108200</v>
      </c>
      <c r="Y668" s="6">
        <f t="shared" si="20"/>
        <v>40798</v>
      </c>
      <c r="Z668" s="5">
        <f t="shared" si="21"/>
        <v>5265.7997999999998</v>
      </c>
      <c r="AA668" s="5">
        <v>115.85</v>
      </c>
      <c r="AB668" s="5">
        <v>101.31</v>
      </c>
    </row>
    <row r="669" spans="1:28" x14ac:dyDescent="0.3">
      <c r="A669" s="6">
        <v>39162</v>
      </c>
      <c r="B669" s="7">
        <v>0.66666666666666663</v>
      </c>
      <c r="C669" s="5">
        <v>144.9</v>
      </c>
      <c r="D669" s="5">
        <v>145</v>
      </c>
      <c r="E669" s="5">
        <v>143</v>
      </c>
      <c r="F669" s="5">
        <v>145</v>
      </c>
      <c r="G669" s="5">
        <v>5200</v>
      </c>
      <c r="I669" s="6">
        <v>40799</v>
      </c>
      <c r="J669" s="7">
        <v>0.66666666666666663</v>
      </c>
      <c r="K669" s="5">
        <v>5265.7997999999998</v>
      </c>
      <c r="L669" s="5">
        <v>5398</v>
      </c>
      <c r="M669" s="5">
        <v>5240.1099000000004</v>
      </c>
      <c r="N669" s="5">
        <v>5265.7997999999998</v>
      </c>
      <c r="O669" s="5">
        <v>4</v>
      </c>
      <c r="Q669" s="6">
        <v>39140</v>
      </c>
      <c r="R669" s="7">
        <v>0.66666666666666663</v>
      </c>
      <c r="S669" s="5">
        <v>80</v>
      </c>
      <c r="T669" s="5">
        <v>80</v>
      </c>
      <c r="U669" s="5">
        <v>76.2</v>
      </c>
      <c r="V669" s="5">
        <v>76.2</v>
      </c>
      <c r="W669" s="5">
        <v>395200</v>
      </c>
      <c r="Y669" s="6">
        <f t="shared" si="20"/>
        <v>40799</v>
      </c>
      <c r="Z669" s="5">
        <f t="shared" si="21"/>
        <v>5265.7997999999998</v>
      </c>
      <c r="AA669" s="5">
        <v>110.06</v>
      </c>
      <c r="AB669" s="5">
        <v>103.1</v>
      </c>
    </row>
    <row r="670" spans="1:28" x14ac:dyDescent="0.3">
      <c r="A670" s="6">
        <v>39163</v>
      </c>
      <c r="B670" s="7">
        <v>0.66666666666666663</v>
      </c>
      <c r="C670" s="5">
        <v>144.5</v>
      </c>
      <c r="D670" s="5">
        <v>145</v>
      </c>
      <c r="E670" s="5">
        <v>143.5</v>
      </c>
      <c r="F670" s="5">
        <v>144.5</v>
      </c>
      <c r="G670" s="5">
        <v>5300</v>
      </c>
      <c r="I670" s="6">
        <v>40800</v>
      </c>
      <c r="J670" s="7">
        <v>0.66666666666666663</v>
      </c>
      <c r="K670" s="5">
        <v>5265.7997999999998</v>
      </c>
      <c r="L670" s="5">
        <v>5350</v>
      </c>
      <c r="M670" s="5">
        <v>5005.0097999999998</v>
      </c>
      <c r="N670" s="5">
        <v>5301.6698999999999</v>
      </c>
      <c r="O670" s="5">
        <v>12</v>
      </c>
      <c r="Q670" s="6">
        <v>39141</v>
      </c>
      <c r="R670" s="7">
        <v>0.66666666666666663</v>
      </c>
      <c r="S670" s="5">
        <v>73.900000000000006</v>
      </c>
      <c r="T670" s="5">
        <v>73.900000000000006</v>
      </c>
      <c r="U670" s="5">
        <v>72.400000000000006</v>
      </c>
      <c r="V670" s="5">
        <v>72.400000000000006</v>
      </c>
      <c r="W670" s="5">
        <v>290800</v>
      </c>
      <c r="Y670" s="6">
        <f t="shared" si="20"/>
        <v>40800</v>
      </c>
      <c r="Z670" s="5">
        <f t="shared" si="21"/>
        <v>5301.6698999999999</v>
      </c>
      <c r="AA670" s="5">
        <v>112.41</v>
      </c>
      <c r="AB670" s="5">
        <v>101.83</v>
      </c>
    </row>
    <row r="671" spans="1:28" x14ac:dyDescent="0.3">
      <c r="A671" s="6">
        <v>39167</v>
      </c>
      <c r="B671" s="7">
        <v>0.66666666666666663</v>
      </c>
      <c r="C671" s="5">
        <v>144.94999999999999</v>
      </c>
      <c r="D671" s="5">
        <v>145.25</v>
      </c>
      <c r="E671" s="5">
        <v>142</v>
      </c>
      <c r="F671" s="5">
        <v>142</v>
      </c>
      <c r="G671" s="5">
        <v>6300</v>
      </c>
      <c r="I671" s="6">
        <v>40801</v>
      </c>
      <c r="J671" s="7">
        <v>0.66666666666666663</v>
      </c>
      <c r="K671" s="5">
        <v>5301.6698999999999</v>
      </c>
      <c r="L671" s="5">
        <v>5349.9902000000002</v>
      </c>
      <c r="M671" s="5">
        <v>5150.0097999999998</v>
      </c>
      <c r="N671" s="5">
        <v>5233.8301000000001</v>
      </c>
      <c r="O671" s="5">
        <v>20</v>
      </c>
      <c r="Q671" s="6">
        <v>39142</v>
      </c>
      <c r="R671" s="7">
        <v>0.66666666666666663</v>
      </c>
      <c r="S671" s="5">
        <v>72.400000000000006</v>
      </c>
      <c r="T671" s="5">
        <v>73.5</v>
      </c>
      <c r="U671" s="5">
        <v>71.400000000000006</v>
      </c>
      <c r="V671" s="5">
        <v>71.95</v>
      </c>
      <c r="W671" s="5">
        <v>239000</v>
      </c>
      <c r="Y671" s="6">
        <f t="shared" si="20"/>
        <v>40801</v>
      </c>
      <c r="Z671" s="5">
        <f t="shared" si="21"/>
        <v>5233.8301000000001</v>
      </c>
      <c r="AA671" s="5">
        <v>111.01</v>
      </c>
      <c r="AB671" s="5">
        <v>103</v>
      </c>
    </row>
    <row r="672" spans="1:28" x14ac:dyDescent="0.3">
      <c r="A672" s="6">
        <v>39168</v>
      </c>
      <c r="B672" s="7">
        <v>0.66666666666666663</v>
      </c>
      <c r="C672" s="5">
        <v>142</v>
      </c>
      <c r="D672" s="5">
        <v>143</v>
      </c>
      <c r="E672" s="5">
        <v>142</v>
      </c>
      <c r="F672" s="5">
        <v>142</v>
      </c>
      <c r="G672" s="5">
        <v>3000</v>
      </c>
      <c r="I672" s="6">
        <v>40802</v>
      </c>
      <c r="J672" s="7">
        <v>0.66666666666666663</v>
      </c>
      <c r="K672" s="5">
        <v>5233.8301000000001</v>
      </c>
      <c r="L672" s="5">
        <v>5350</v>
      </c>
      <c r="M672" s="5">
        <v>5225</v>
      </c>
      <c r="N672" s="5">
        <v>5344.1000999999997</v>
      </c>
      <c r="O672" s="5">
        <v>98</v>
      </c>
      <c r="Q672" s="6">
        <v>39143</v>
      </c>
      <c r="R672" s="7">
        <v>0.66666666666666663</v>
      </c>
      <c r="S672" s="5">
        <v>71.95</v>
      </c>
      <c r="T672" s="5">
        <v>73.099999999999994</v>
      </c>
      <c r="U672" s="5">
        <v>71.900000000000006</v>
      </c>
      <c r="V672" s="5">
        <v>72.2</v>
      </c>
      <c r="W672" s="5">
        <v>115800</v>
      </c>
      <c r="Y672" s="6">
        <f t="shared" si="20"/>
        <v>40802</v>
      </c>
      <c r="Z672" s="5">
        <f t="shared" si="21"/>
        <v>5344.1000999999997</v>
      </c>
      <c r="AA672" s="5">
        <v>109.89</v>
      </c>
      <c r="AB672" s="5">
        <v>102.99</v>
      </c>
    </row>
    <row r="673" spans="1:28" x14ac:dyDescent="0.3">
      <c r="A673" s="6">
        <v>39169</v>
      </c>
      <c r="B673" s="7">
        <v>0.66666666666666663</v>
      </c>
      <c r="C673" s="5">
        <v>142</v>
      </c>
      <c r="D673" s="5">
        <v>142.1</v>
      </c>
      <c r="E673" s="5">
        <v>141</v>
      </c>
      <c r="F673" s="5">
        <v>141.5</v>
      </c>
      <c r="G673" s="5">
        <v>5600</v>
      </c>
      <c r="I673" s="6">
        <v>40805</v>
      </c>
      <c r="J673" s="7">
        <v>0.66666666666666663</v>
      </c>
      <c r="K673" s="5">
        <v>5344.1000999999997</v>
      </c>
      <c r="L673" s="5">
        <v>5350</v>
      </c>
      <c r="M673" s="5">
        <v>5255.5497999999998</v>
      </c>
      <c r="N673" s="5">
        <v>5349.3900999999996</v>
      </c>
      <c r="O673" s="5">
        <v>314</v>
      </c>
      <c r="Q673" s="6">
        <v>39146</v>
      </c>
      <c r="R673" s="7">
        <v>0.66666666666666663</v>
      </c>
      <c r="S673" s="5">
        <v>72.2</v>
      </c>
      <c r="T673" s="5">
        <v>72.2</v>
      </c>
      <c r="U673" s="5">
        <v>70</v>
      </c>
      <c r="V673" s="5">
        <v>70.05</v>
      </c>
      <c r="W673" s="5">
        <v>179000</v>
      </c>
      <c r="Y673" s="6">
        <f t="shared" si="20"/>
        <v>40805</v>
      </c>
      <c r="Z673" s="5">
        <f t="shared" si="21"/>
        <v>5349.3900999999996</v>
      </c>
      <c r="AA673" s="5">
        <v>109.15</v>
      </c>
      <c r="AB673" s="5">
        <v>101.1</v>
      </c>
    </row>
    <row r="674" spans="1:28" x14ac:dyDescent="0.3">
      <c r="A674" s="6">
        <v>39170</v>
      </c>
      <c r="B674" s="7">
        <v>0.66666666666666663</v>
      </c>
      <c r="C674" s="5">
        <v>141.9</v>
      </c>
      <c r="D674" s="5">
        <v>142.5</v>
      </c>
      <c r="E674" s="5">
        <v>141.9</v>
      </c>
      <c r="F674" s="5">
        <v>142.5</v>
      </c>
      <c r="G674" s="5">
        <v>1700</v>
      </c>
      <c r="I674" s="6">
        <v>40806</v>
      </c>
      <c r="J674" s="7">
        <v>0.66666666666666663</v>
      </c>
      <c r="K674" s="5">
        <v>5349.3900999999996</v>
      </c>
      <c r="L674" s="5">
        <v>5500</v>
      </c>
      <c r="M674" s="5">
        <v>5211.1099000000004</v>
      </c>
      <c r="N674" s="5">
        <v>5351.1899000000003</v>
      </c>
      <c r="O674" s="5">
        <v>348</v>
      </c>
      <c r="Q674" s="6">
        <v>39147</v>
      </c>
      <c r="R674" s="7">
        <v>0.66666666666666663</v>
      </c>
      <c r="S674" s="5">
        <v>70.05</v>
      </c>
      <c r="T674" s="5">
        <v>71.2</v>
      </c>
      <c r="U674" s="5">
        <v>68</v>
      </c>
      <c r="V674" s="5">
        <v>68.150000000000006</v>
      </c>
      <c r="W674" s="5">
        <v>217400</v>
      </c>
      <c r="Y674" s="6">
        <f t="shared" si="20"/>
        <v>40806</v>
      </c>
      <c r="Z674" s="5">
        <f t="shared" si="21"/>
        <v>5351.1899000000003</v>
      </c>
      <c r="AA674" s="5">
        <v>110.42</v>
      </c>
      <c r="AB674" s="5">
        <v>101.62</v>
      </c>
    </row>
    <row r="675" spans="1:28" x14ac:dyDescent="0.3">
      <c r="A675" s="6">
        <v>39171</v>
      </c>
      <c r="B675" s="7">
        <v>0.66666666666666663</v>
      </c>
      <c r="C675" s="5">
        <v>142.30000000000001</v>
      </c>
      <c r="D675" s="5">
        <v>142.30000000000001</v>
      </c>
      <c r="E675" s="5">
        <v>141.25</v>
      </c>
      <c r="F675" s="5">
        <v>141.9</v>
      </c>
      <c r="G675" s="5">
        <v>900</v>
      </c>
      <c r="I675" s="6">
        <v>40807</v>
      </c>
      <c r="J675" s="7">
        <v>0.66666666666666663</v>
      </c>
      <c r="K675" s="5">
        <v>5351.1899000000003</v>
      </c>
      <c r="L675" s="5">
        <v>5499</v>
      </c>
      <c r="M675" s="5">
        <v>5235.0897999999997</v>
      </c>
      <c r="N675" s="5">
        <v>5421.02</v>
      </c>
      <c r="O675" s="5">
        <v>105</v>
      </c>
      <c r="Q675" s="6">
        <v>39148</v>
      </c>
      <c r="R675" s="7">
        <v>0.66666666666666663</v>
      </c>
      <c r="S675" s="5">
        <v>68.349999999999994</v>
      </c>
      <c r="T675" s="5">
        <v>69.2</v>
      </c>
      <c r="U675" s="5">
        <v>68.349999999999994</v>
      </c>
      <c r="V675" s="5">
        <v>69</v>
      </c>
      <c r="W675" s="5">
        <v>155600</v>
      </c>
      <c r="Y675" s="6">
        <f t="shared" si="20"/>
        <v>40807</v>
      </c>
      <c r="Z675" s="5">
        <f t="shared" si="21"/>
        <v>5421.02</v>
      </c>
      <c r="AA675" s="5">
        <v>112.95</v>
      </c>
      <c r="AB675" s="5">
        <v>103.21</v>
      </c>
    </row>
    <row r="676" spans="1:28" x14ac:dyDescent="0.3">
      <c r="A676" s="6">
        <v>39174</v>
      </c>
      <c r="B676" s="7">
        <v>0.66666666666666663</v>
      </c>
      <c r="C676" s="5">
        <v>142</v>
      </c>
      <c r="D676" s="5">
        <v>142</v>
      </c>
      <c r="E676" s="5">
        <v>141.1</v>
      </c>
      <c r="F676" s="5">
        <v>141.94999999999999</v>
      </c>
      <c r="G676" s="5">
        <v>3000</v>
      </c>
      <c r="I676" s="6">
        <v>40809</v>
      </c>
      <c r="J676" s="7">
        <v>0.66666666666666663</v>
      </c>
      <c r="K676" s="5">
        <v>5421.02</v>
      </c>
      <c r="L676" s="5">
        <v>5549</v>
      </c>
      <c r="M676" s="5">
        <v>5285</v>
      </c>
      <c r="N676" s="5">
        <v>5544.3599000000004</v>
      </c>
      <c r="O676" s="5">
        <v>761</v>
      </c>
      <c r="Q676" s="6">
        <v>39149</v>
      </c>
      <c r="R676" s="7">
        <v>0.66666666666666663</v>
      </c>
      <c r="S676" s="5">
        <v>69</v>
      </c>
      <c r="T676" s="5">
        <v>72.45</v>
      </c>
      <c r="U676" s="5">
        <v>69</v>
      </c>
      <c r="V676" s="5">
        <v>72.45</v>
      </c>
      <c r="W676" s="5">
        <v>386900</v>
      </c>
      <c r="Y676" s="6">
        <f t="shared" si="20"/>
        <v>40809</v>
      </c>
      <c r="Z676" s="5">
        <f t="shared" si="21"/>
        <v>5544.3599000000004</v>
      </c>
      <c r="AA676" s="5">
        <v>109.32</v>
      </c>
      <c r="AB676" s="5">
        <v>101.08</v>
      </c>
    </row>
    <row r="677" spans="1:28" x14ac:dyDescent="0.3">
      <c r="A677" s="6">
        <v>39175</v>
      </c>
      <c r="B677" s="7">
        <v>0.66666666666666663</v>
      </c>
      <c r="C677" s="5">
        <v>141.9</v>
      </c>
      <c r="D677" s="5">
        <v>145</v>
      </c>
      <c r="E677" s="5">
        <v>141.9</v>
      </c>
      <c r="F677" s="5">
        <v>143.1</v>
      </c>
      <c r="G677" s="5">
        <v>14600</v>
      </c>
      <c r="I677" s="6">
        <v>40812</v>
      </c>
      <c r="J677" s="7">
        <v>0.66666666666666663</v>
      </c>
      <c r="K677" s="5">
        <v>5448</v>
      </c>
      <c r="L677" s="5">
        <v>5448</v>
      </c>
      <c r="M677" s="5">
        <v>5310</v>
      </c>
      <c r="N677" s="5">
        <v>5317.3999000000003</v>
      </c>
      <c r="O677" s="5">
        <v>350</v>
      </c>
      <c r="Q677" s="6">
        <v>39150</v>
      </c>
      <c r="R677" s="7">
        <v>0.66666666666666663</v>
      </c>
      <c r="S677" s="5">
        <v>73.2</v>
      </c>
      <c r="T677" s="5">
        <v>75.5</v>
      </c>
      <c r="U677" s="5">
        <v>73.2</v>
      </c>
      <c r="V677" s="5">
        <v>74</v>
      </c>
      <c r="W677" s="5">
        <v>414600</v>
      </c>
      <c r="Y677" s="6">
        <f t="shared" si="20"/>
        <v>40812</v>
      </c>
      <c r="Z677" s="5">
        <f t="shared" si="21"/>
        <v>5317.3999000000003</v>
      </c>
      <c r="AA677" s="5">
        <v>104.42</v>
      </c>
      <c r="AB677" s="5">
        <v>96.56</v>
      </c>
    </row>
    <row r="678" spans="1:28" x14ac:dyDescent="0.3">
      <c r="A678" s="6">
        <v>39176</v>
      </c>
      <c r="B678" s="7">
        <v>0.66666666666666663</v>
      </c>
      <c r="C678" s="5">
        <v>143.5</v>
      </c>
      <c r="D678" s="5">
        <v>145.5</v>
      </c>
      <c r="E678" s="5">
        <v>143.5</v>
      </c>
      <c r="F678" s="5">
        <v>144</v>
      </c>
      <c r="G678" s="5">
        <v>4800</v>
      </c>
      <c r="I678" s="6">
        <v>40813</v>
      </c>
      <c r="J678" s="7">
        <v>0.66666666666666663</v>
      </c>
      <c r="K678" s="5">
        <v>5317.3999000000003</v>
      </c>
      <c r="L678" s="5">
        <v>5425</v>
      </c>
      <c r="M678" s="5">
        <v>5300</v>
      </c>
      <c r="N678" s="5">
        <v>5425</v>
      </c>
      <c r="O678" s="5">
        <v>1661</v>
      </c>
      <c r="Q678" s="6">
        <v>39153</v>
      </c>
      <c r="R678" s="7">
        <v>0.66666666666666663</v>
      </c>
      <c r="S678" s="5">
        <v>74</v>
      </c>
      <c r="T678" s="5">
        <v>77.099999999999994</v>
      </c>
      <c r="U678" s="5">
        <v>71.150000000000006</v>
      </c>
      <c r="V678" s="5">
        <v>77</v>
      </c>
      <c r="W678" s="5">
        <v>536100</v>
      </c>
      <c r="Y678" s="6">
        <f t="shared" si="20"/>
        <v>40813</v>
      </c>
      <c r="Z678" s="5">
        <f t="shared" si="21"/>
        <v>5425</v>
      </c>
      <c r="AA678" s="5">
        <v>107.57</v>
      </c>
      <c r="AB678" s="5">
        <v>99</v>
      </c>
    </row>
    <row r="679" spans="1:28" x14ac:dyDescent="0.3">
      <c r="A679" s="6">
        <v>39177</v>
      </c>
      <c r="B679" s="7">
        <v>0.66666666666666663</v>
      </c>
      <c r="C679" s="5">
        <v>145.44999999999999</v>
      </c>
      <c r="D679" s="5">
        <v>149</v>
      </c>
      <c r="E679" s="5">
        <v>145</v>
      </c>
      <c r="F679" s="5">
        <v>148</v>
      </c>
      <c r="G679" s="5">
        <v>16700</v>
      </c>
      <c r="I679" s="6">
        <v>40814</v>
      </c>
      <c r="J679" s="7">
        <v>0.66666666666666663</v>
      </c>
      <c r="K679" s="5">
        <v>5425</v>
      </c>
      <c r="L679" s="5">
        <v>5505</v>
      </c>
      <c r="M679" s="5">
        <v>5325</v>
      </c>
      <c r="N679" s="5">
        <v>5505</v>
      </c>
      <c r="O679" s="5">
        <v>1154</v>
      </c>
      <c r="Q679" s="6">
        <v>39157</v>
      </c>
      <c r="R679" s="7">
        <v>0.66666666666666663</v>
      </c>
      <c r="S679" s="5">
        <v>77</v>
      </c>
      <c r="T679" s="5">
        <v>77.75</v>
      </c>
      <c r="U679" s="5">
        <v>76</v>
      </c>
      <c r="V679" s="5">
        <v>76.5</v>
      </c>
      <c r="W679" s="5">
        <v>94600</v>
      </c>
      <c r="Y679" s="6">
        <f t="shared" si="20"/>
        <v>40814</v>
      </c>
      <c r="Z679" s="5">
        <f t="shared" si="21"/>
        <v>5505</v>
      </c>
      <c r="AA679" s="5">
        <v>111.74</v>
      </c>
      <c r="AB679" s="5">
        <v>98.01</v>
      </c>
    </row>
    <row r="680" spans="1:28" x14ac:dyDescent="0.3">
      <c r="A680" s="6">
        <v>39178</v>
      </c>
      <c r="B680" s="7">
        <v>0.66666666666666663</v>
      </c>
      <c r="C680" s="5">
        <v>147.5</v>
      </c>
      <c r="D680" s="5">
        <v>149.5</v>
      </c>
      <c r="E680" s="5">
        <v>147</v>
      </c>
      <c r="F680" s="5">
        <v>147.30000000000001</v>
      </c>
      <c r="G680" s="5">
        <v>6800</v>
      </c>
      <c r="I680" s="6">
        <v>40815</v>
      </c>
      <c r="J680" s="7">
        <v>0.66666666666666663</v>
      </c>
      <c r="K680" s="5">
        <v>5489.8900999999996</v>
      </c>
      <c r="L680" s="5">
        <v>5489.8900999999996</v>
      </c>
      <c r="M680" s="5">
        <v>5421.02</v>
      </c>
      <c r="N680" s="5">
        <v>5456.9399000000003</v>
      </c>
      <c r="O680" s="5">
        <v>9</v>
      </c>
      <c r="Q680" s="6">
        <v>39160</v>
      </c>
      <c r="R680" s="7">
        <v>0.66666666666666663</v>
      </c>
      <c r="S680" s="5">
        <v>76.5</v>
      </c>
      <c r="T680" s="5">
        <v>78</v>
      </c>
      <c r="U680" s="5">
        <v>73</v>
      </c>
      <c r="V680" s="5">
        <v>74.650000000000006</v>
      </c>
      <c r="W680" s="5">
        <v>168200</v>
      </c>
      <c r="Y680" s="6">
        <f t="shared" si="20"/>
        <v>40815</v>
      </c>
      <c r="Z680" s="5">
        <f t="shared" si="21"/>
        <v>5456.9399000000003</v>
      </c>
      <c r="AA680" s="5">
        <v>109.61</v>
      </c>
      <c r="AB680" s="5">
        <v>98.96</v>
      </c>
    </row>
    <row r="681" spans="1:28" x14ac:dyDescent="0.3">
      <c r="A681" s="6">
        <v>39181</v>
      </c>
      <c r="B681" s="7">
        <v>0.66666666666666663</v>
      </c>
      <c r="C681" s="5">
        <v>147.55000000000001</v>
      </c>
      <c r="D681" s="5">
        <v>154.65</v>
      </c>
      <c r="E681" s="5">
        <v>147.1</v>
      </c>
      <c r="F681" s="5">
        <v>154.65</v>
      </c>
      <c r="G681" s="5">
        <v>24000</v>
      </c>
      <c r="I681" s="6">
        <v>40816</v>
      </c>
      <c r="J681" s="7">
        <v>0.66666666666666663</v>
      </c>
      <c r="K681" s="5">
        <v>5456.9399000000003</v>
      </c>
      <c r="L681" s="5">
        <v>5650</v>
      </c>
      <c r="M681" s="5">
        <v>5325</v>
      </c>
      <c r="N681" s="5">
        <v>5581.02</v>
      </c>
      <c r="O681" s="5">
        <v>10</v>
      </c>
      <c r="Q681" s="6">
        <v>39161</v>
      </c>
      <c r="R681" s="7">
        <v>0.66666666666666663</v>
      </c>
      <c r="S681" s="5">
        <v>74.650000000000006</v>
      </c>
      <c r="T681" s="5">
        <v>74.95</v>
      </c>
      <c r="U681" s="5">
        <v>73</v>
      </c>
      <c r="V681" s="5">
        <v>74.95</v>
      </c>
      <c r="W681" s="5">
        <v>173500</v>
      </c>
      <c r="Y681" s="6">
        <f t="shared" si="20"/>
        <v>40816</v>
      </c>
      <c r="Z681" s="5">
        <f t="shared" si="21"/>
        <v>5581.02</v>
      </c>
      <c r="AA681" s="5">
        <v>111.1</v>
      </c>
      <c r="AB681" s="5">
        <v>100.2</v>
      </c>
    </row>
    <row r="682" spans="1:28" x14ac:dyDescent="0.3">
      <c r="A682" s="6">
        <v>39182</v>
      </c>
      <c r="B682" s="7">
        <v>0.66666666666666663</v>
      </c>
      <c r="C682" s="5">
        <v>156.4</v>
      </c>
      <c r="D682" s="5">
        <v>161</v>
      </c>
      <c r="E682" s="5">
        <v>155</v>
      </c>
      <c r="F682" s="5">
        <v>155</v>
      </c>
      <c r="G682" s="5">
        <v>16000</v>
      </c>
      <c r="I682" s="6">
        <v>40819</v>
      </c>
      <c r="J682" s="7">
        <v>0.66666666666666663</v>
      </c>
      <c r="K682" s="5">
        <v>5581.02</v>
      </c>
      <c r="L682" s="5">
        <v>5677.9902000000002</v>
      </c>
      <c r="M682" s="5">
        <v>5480</v>
      </c>
      <c r="N682" s="5">
        <v>5611.2002000000002</v>
      </c>
      <c r="O682" s="5">
        <v>10</v>
      </c>
      <c r="Q682" s="6">
        <v>39162</v>
      </c>
      <c r="R682" s="7">
        <v>0.66666666666666663</v>
      </c>
      <c r="S682" s="5">
        <v>74.95</v>
      </c>
      <c r="T682" s="5">
        <v>75.8</v>
      </c>
      <c r="U682" s="5">
        <v>74.05</v>
      </c>
      <c r="V682" s="5">
        <v>74.45</v>
      </c>
      <c r="W682" s="5">
        <v>68800</v>
      </c>
      <c r="Y682" s="6">
        <f t="shared" si="20"/>
        <v>40819</v>
      </c>
      <c r="Z682" s="5">
        <f t="shared" si="21"/>
        <v>5611.2002000000002</v>
      </c>
      <c r="AA682" s="5">
        <v>110.96</v>
      </c>
      <c r="AB682" s="5">
        <v>98.81</v>
      </c>
    </row>
    <row r="683" spans="1:28" x14ac:dyDescent="0.3">
      <c r="A683" s="6">
        <v>39183</v>
      </c>
      <c r="B683" s="7">
        <v>0.66666666666666663</v>
      </c>
      <c r="C683" s="5">
        <v>155</v>
      </c>
      <c r="D683" s="5">
        <v>155.44999999999999</v>
      </c>
      <c r="E683" s="5">
        <v>153</v>
      </c>
      <c r="F683" s="5">
        <v>154.25</v>
      </c>
      <c r="G683" s="5">
        <v>7800</v>
      </c>
      <c r="I683" s="6">
        <v>40820</v>
      </c>
      <c r="J683" s="7">
        <v>0.66666666666666663</v>
      </c>
      <c r="K683" s="5">
        <v>5611.2002000000002</v>
      </c>
      <c r="L683" s="5">
        <v>5740</v>
      </c>
      <c r="M683" s="5">
        <v>5600</v>
      </c>
      <c r="N683" s="5">
        <v>5612.3999000000003</v>
      </c>
      <c r="O683" s="5">
        <v>54</v>
      </c>
      <c r="Q683" s="6">
        <v>39163</v>
      </c>
      <c r="R683" s="7">
        <v>0.66666666666666663</v>
      </c>
      <c r="S683" s="5">
        <v>74.45</v>
      </c>
      <c r="T683" s="5">
        <v>74.900000000000006</v>
      </c>
      <c r="U683" s="5">
        <v>72.05</v>
      </c>
      <c r="V683" s="5">
        <v>72.5</v>
      </c>
      <c r="W683" s="5">
        <v>213000</v>
      </c>
      <c r="Y683" s="6">
        <f t="shared" si="20"/>
        <v>40820</v>
      </c>
      <c r="Z683" s="5">
        <f t="shared" si="21"/>
        <v>5612.3999000000003</v>
      </c>
      <c r="AA683" s="5">
        <v>111.66</v>
      </c>
      <c r="AB683" s="5">
        <v>99</v>
      </c>
    </row>
    <row r="684" spans="1:28" x14ac:dyDescent="0.3">
      <c r="A684" s="6">
        <v>39184</v>
      </c>
      <c r="B684" s="7">
        <v>0.66666666666666663</v>
      </c>
      <c r="C684" s="5">
        <v>152.5</v>
      </c>
      <c r="D684" s="5">
        <v>158</v>
      </c>
      <c r="E684" s="5">
        <v>152.5</v>
      </c>
      <c r="F684" s="5">
        <v>153.5</v>
      </c>
      <c r="G684" s="5">
        <v>12700</v>
      </c>
      <c r="I684" s="6">
        <v>40821</v>
      </c>
      <c r="J684" s="7">
        <v>0.66666666666666663</v>
      </c>
      <c r="K684" s="5">
        <v>5612.3999000000003</v>
      </c>
      <c r="L684" s="5">
        <v>5799.8999000000003</v>
      </c>
      <c r="M684" s="5">
        <v>5501</v>
      </c>
      <c r="N684" s="5">
        <v>5636.3999000000003</v>
      </c>
      <c r="O684" s="5">
        <v>9</v>
      </c>
      <c r="Q684" s="6">
        <v>39167</v>
      </c>
      <c r="R684" s="7">
        <v>0.66666666666666663</v>
      </c>
      <c r="S684" s="5">
        <v>72.5</v>
      </c>
      <c r="T684" s="5">
        <v>73.349999999999994</v>
      </c>
      <c r="U684" s="5">
        <v>72.25</v>
      </c>
      <c r="V684" s="5">
        <v>72.75</v>
      </c>
      <c r="W684" s="5">
        <v>91800</v>
      </c>
      <c r="Y684" s="6">
        <f t="shared" si="20"/>
        <v>40821</v>
      </c>
      <c r="Z684" s="5">
        <f t="shared" si="21"/>
        <v>5636.3999000000003</v>
      </c>
      <c r="AA684" s="5">
        <v>111.02</v>
      </c>
      <c r="AB684" s="5" t="e">
        <v>#N/A</v>
      </c>
    </row>
    <row r="685" spans="1:28" x14ac:dyDescent="0.3">
      <c r="A685" s="6">
        <v>39185</v>
      </c>
      <c r="B685" s="7">
        <v>0.66666666666666663</v>
      </c>
      <c r="C685" s="5">
        <v>155.9</v>
      </c>
      <c r="D685" s="5">
        <v>155.9</v>
      </c>
      <c r="E685" s="5">
        <v>153.65</v>
      </c>
      <c r="F685" s="5">
        <v>154.30000000000001</v>
      </c>
      <c r="G685" s="5">
        <v>7100</v>
      </c>
      <c r="I685" s="6">
        <v>40822</v>
      </c>
      <c r="J685" s="7">
        <v>0.66666666666666663</v>
      </c>
      <c r="K685" s="5">
        <v>5636.3999000000003</v>
      </c>
      <c r="L685" s="5">
        <v>5764</v>
      </c>
      <c r="M685" s="5">
        <v>5577</v>
      </c>
      <c r="N685" s="5">
        <v>5699.3301000000001</v>
      </c>
      <c r="O685" s="5">
        <v>341</v>
      </c>
      <c r="Q685" s="6">
        <v>39168</v>
      </c>
      <c r="R685" s="7">
        <v>0.66666666666666663</v>
      </c>
      <c r="S685" s="5">
        <v>72.75</v>
      </c>
      <c r="T685" s="5">
        <v>73.8</v>
      </c>
      <c r="U685" s="5">
        <v>72.5</v>
      </c>
      <c r="V685" s="5">
        <v>73.599999999999994</v>
      </c>
      <c r="W685" s="5">
        <v>73100</v>
      </c>
      <c r="Y685" s="6">
        <f t="shared" si="20"/>
        <v>40822</v>
      </c>
      <c r="Z685" s="5">
        <f t="shared" si="21"/>
        <v>5699.3301000000001</v>
      </c>
      <c r="AA685" s="5">
        <v>111.07</v>
      </c>
      <c r="AB685" s="5">
        <v>100</v>
      </c>
    </row>
    <row r="686" spans="1:28" x14ac:dyDescent="0.3">
      <c r="A686" s="6">
        <v>39188</v>
      </c>
      <c r="B686" s="7">
        <v>0.66666666666666663</v>
      </c>
      <c r="C686" s="5">
        <v>152.5</v>
      </c>
      <c r="D686" s="5">
        <v>153.75</v>
      </c>
      <c r="E686" s="5">
        <v>151</v>
      </c>
      <c r="F686" s="5">
        <v>151.5</v>
      </c>
      <c r="G686" s="5">
        <v>9900</v>
      </c>
      <c r="I686" s="6">
        <v>40823</v>
      </c>
      <c r="J686" s="7">
        <v>0.66666666666666663</v>
      </c>
      <c r="K686" s="5">
        <v>5699.3301000000001</v>
      </c>
      <c r="L686" s="5">
        <v>5699.3301000000001</v>
      </c>
      <c r="M686" s="5">
        <v>5600</v>
      </c>
      <c r="N686" s="5">
        <v>5601.7597999999998</v>
      </c>
      <c r="O686" s="5">
        <v>54</v>
      </c>
      <c r="Q686" s="6">
        <v>39169</v>
      </c>
      <c r="R686" s="7">
        <v>0.66666666666666663</v>
      </c>
      <c r="S686" s="5">
        <v>73.599999999999994</v>
      </c>
      <c r="T686" s="5">
        <v>73.8</v>
      </c>
      <c r="U686" s="5">
        <v>72.25</v>
      </c>
      <c r="V686" s="5">
        <v>72.25</v>
      </c>
      <c r="W686" s="5">
        <v>65900</v>
      </c>
      <c r="Y686" s="6">
        <f t="shared" si="20"/>
        <v>40823</v>
      </c>
      <c r="Z686" s="5">
        <f t="shared" si="21"/>
        <v>5601.7597999999998</v>
      </c>
      <c r="AA686" s="5">
        <v>110.98</v>
      </c>
      <c r="AB686" s="5">
        <v>101.86</v>
      </c>
    </row>
    <row r="687" spans="1:28" x14ac:dyDescent="0.3">
      <c r="A687" s="6">
        <v>39189</v>
      </c>
      <c r="B687" s="7">
        <v>0.66666666666666663</v>
      </c>
      <c r="C687" s="5">
        <v>153.75</v>
      </c>
      <c r="D687" s="5">
        <v>155.9</v>
      </c>
      <c r="E687" s="5">
        <v>152.5</v>
      </c>
      <c r="F687" s="5">
        <v>153.5</v>
      </c>
      <c r="G687" s="5">
        <v>10700</v>
      </c>
      <c r="I687" s="6">
        <v>40826</v>
      </c>
      <c r="J687" s="7">
        <v>0.66666666666666663</v>
      </c>
      <c r="K687" s="5">
        <v>5601.7597999999998</v>
      </c>
      <c r="L687" s="5">
        <v>5800</v>
      </c>
      <c r="M687" s="5">
        <v>5360.0097999999998</v>
      </c>
      <c r="N687" s="5">
        <v>5633.2002000000002</v>
      </c>
      <c r="O687" s="5">
        <v>16</v>
      </c>
      <c r="Q687" s="6">
        <v>39170</v>
      </c>
      <c r="R687" s="7">
        <v>0.66666666666666663</v>
      </c>
      <c r="S687" s="5">
        <v>72.25</v>
      </c>
      <c r="T687" s="5">
        <v>72.650000000000006</v>
      </c>
      <c r="U687" s="5">
        <v>72.099999999999994</v>
      </c>
      <c r="V687" s="5">
        <v>72.5</v>
      </c>
      <c r="W687" s="5">
        <v>31100</v>
      </c>
      <c r="Y687" s="6">
        <f t="shared" si="20"/>
        <v>40826</v>
      </c>
      <c r="Z687" s="5">
        <f t="shared" si="21"/>
        <v>5633.2002000000002</v>
      </c>
      <c r="AA687" s="5">
        <v>111.19</v>
      </c>
      <c r="AB687" s="5">
        <v>102.15</v>
      </c>
    </row>
    <row r="688" spans="1:28" x14ac:dyDescent="0.3">
      <c r="A688" s="6">
        <v>39190</v>
      </c>
      <c r="B688" s="7">
        <v>0.66666666666666663</v>
      </c>
      <c r="C688" s="5">
        <v>153</v>
      </c>
      <c r="D688" s="5">
        <v>154.5</v>
      </c>
      <c r="E688" s="5">
        <v>152.05000000000001</v>
      </c>
      <c r="F688" s="5">
        <v>152.75</v>
      </c>
      <c r="G688" s="5">
        <v>5900</v>
      </c>
      <c r="I688" s="6">
        <v>40827</v>
      </c>
      <c r="J688" s="7">
        <v>0.66666666666666663</v>
      </c>
      <c r="K688" s="5">
        <v>5633.2002000000002</v>
      </c>
      <c r="L688" s="5">
        <v>5714</v>
      </c>
      <c r="M688" s="5">
        <v>5550</v>
      </c>
      <c r="N688" s="5">
        <v>5572.6899000000003</v>
      </c>
      <c r="O688" s="5">
        <v>64</v>
      </c>
      <c r="Q688" s="6">
        <v>39171</v>
      </c>
      <c r="R688" s="7">
        <v>0.66666666666666663</v>
      </c>
      <c r="S688" s="5">
        <v>72.5</v>
      </c>
      <c r="T688" s="5">
        <v>75.5</v>
      </c>
      <c r="U688" s="5">
        <v>72.5</v>
      </c>
      <c r="V688" s="5">
        <v>74.400000000000006</v>
      </c>
      <c r="W688" s="5">
        <v>344700</v>
      </c>
      <c r="Y688" s="6">
        <f t="shared" si="20"/>
        <v>40827</v>
      </c>
      <c r="Z688" s="5">
        <f t="shared" si="21"/>
        <v>5572.6899000000003</v>
      </c>
      <c r="AA688" s="5">
        <v>116.66</v>
      </c>
      <c r="AB688" s="5">
        <v>101.98</v>
      </c>
    </row>
    <row r="689" spans="1:28" x14ac:dyDescent="0.3">
      <c r="A689" s="6">
        <v>39191</v>
      </c>
      <c r="B689" s="7">
        <v>0.66666666666666663</v>
      </c>
      <c r="C689" s="5">
        <v>152</v>
      </c>
      <c r="D689" s="5">
        <v>152.5</v>
      </c>
      <c r="E689" s="5">
        <v>151.55000000000001</v>
      </c>
      <c r="F689" s="5">
        <v>152.5</v>
      </c>
      <c r="G689" s="5">
        <v>5200</v>
      </c>
      <c r="I689" s="6">
        <v>40828</v>
      </c>
      <c r="J689" s="7">
        <v>0.66666666666666663</v>
      </c>
      <c r="K689" s="5">
        <v>5572.6899000000003</v>
      </c>
      <c r="L689" s="5">
        <v>5600</v>
      </c>
      <c r="M689" s="5">
        <v>5560</v>
      </c>
      <c r="N689" s="5">
        <v>5569.7997999999998</v>
      </c>
      <c r="O689" s="5">
        <v>22</v>
      </c>
      <c r="Q689" s="6">
        <v>39174</v>
      </c>
      <c r="R689" s="7">
        <v>0.66666666666666663</v>
      </c>
      <c r="S689" s="5">
        <v>74.400000000000006</v>
      </c>
      <c r="T689" s="5">
        <v>74.900000000000006</v>
      </c>
      <c r="U689" s="5">
        <v>73.7</v>
      </c>
      <c r="V689" s="5">
        <v>73.849999999999994</v>
      </c>
      <c r="W689" s="5">
        <v>113400</v>
      </c>
      <c r="Y689" s="6">
        <f t="shared" si="20"/>
        <v>40828</v>
      </c>
      <c r="Z689" s="5">
        <f t="shared" si="21"/>
        <v>5569.7997999999998</v>
      </c>
      <c r="AA689" s="5">
        <v>117.35</v>
      </c>
      <c r="AB689" s="5">
        <v>103</v>
      </c>
    </row>
    <row r="690" spans="1:28" x14ac:dyDescent="0.3">
      <c r="A690" s="6">
        <v>39192</v>
      </c>
      <c r="B690" s="7">
        <v>0.66666666666666663</v>
      </c>
      <c r="C690" s="5">
        <v>152.5</v>
      </c>
      <c r="D690" s="5">
        <v>152.5</v>
      </c>
      <c r="E690" s="5">
        <v>151.5</v>
      </c>
      <c r="F690" s="5">
        <v>152.1</v>
      </c>
      <c r="G690" s="5">
        <v>3700</v>
      </c>
      <c r="I690" s="6">
        <v>40829</v>
      </c>
      <c r="J690" s="7">
        <v>0.66666666666666663</v>
      </c>
      <c r="K690" s="5">
        <v>5569.7997999999998</v>
      </c>
      <c r="L690" s="5">
        <v>5650</v>
      </c>
      <c r="M690" s="5">
        <v>5516</v>
      </c>
      <c r="N690" s="5">
        <v>5648.1298999999999</v>
      </c>
      <c r="O690" s="5">
        <v>11</v>
      </c>
      <c r="Q690" s="6">
        <v>39175</v>
      </c>
      <c r="R690" s="7">
        <v>0.66666666666666663</v>
      </c>
      <c r="S690" s="5">
        <v>73.95</v>
      </c>
      <c r="T690" s="5">
        <v>74.95</v>
      </c>
      <c r="U690" s="5">
        <v>73.95</v>
      </c>
      <c r="V690" s="5">
        <v>74.95</v>
      </c>
      <c r="W690" s="5">
        <v>152100</v>
      </c>
      <c r="Y690" s="6">
        <f t="shared" si="20"/>
        <v>40829</v>
      </c>
      <c r="Z690" s="5">
        <f t="shared" si="21"/>
        <v>5648.1298999999999</v>
      </c>
      <c r="AA690" s="5">
        <v>112.1</v>
      </c>
      <c r="AB690" s="5">
        <v>103</v>
      </c>
    </row>
    <row r="691" spans="1:28" x14ac:dyDescent="0.3">
      <c r="A691" s="6">
        <v>39195</v>
      </c>
      <c r="B691" s="7">
        <v>0.66666666666666663</v>
      </c>
      <c r="C691" s="5">
        <v>152</v>
      </c>
      <c r="D691" s="5">
        <v>152.5</v>
      </c>
      <c r="E691" s="5">
        <v>152</v>
      </c>
      <c r="F691" s="5">
        <v>152</v>
      </c>
      <c r="G691" s="5">
        <v>2600</v>
      </c>
      <c r="I691" s="6">
        <v>40830</v>
      </c>
      <c r="J691" s="7">
        <v>0.66666666666666663</v>
      </c>
      <c r="K691" s="5">
        <v>5630</v>
      </c>
      <c r="L691" s="5">
        <v>5630</v>
      </c>
      <c r="M691" s="5">
        <v>5535</v>
      </c>
      <c r="N691" s="5">
        <v>5559.8301000000001</v>
      </c>
      <c r="O691" s="5">
        <v>16</v>
      </c>
      <c r="Q691" s="6">
        <v>39176</v>
      </c>
      <c r="R691" s="7">
        <v>0.66666666666666663</v>
      </c>
      <c r="S691" s="5">
        <v>74.95</v>
      </c>
      <c r="T691" s="5">
        <v>75.8</v>
      </c>
      <c r="U691" s="5">
        <v>74</v>
      </c>
      <c r="V691" s="5">
        <v>74.849999999999994</v>
      </c>
      <c r="W691" s="5">
        <v>175400</v>
      </c>
      <c r="Y691" s="6">
        <f t="shared" si="20"/>
        <v>40830</v>
      </c>
      <c r="Z691" s="5">
        <f t="shared" si="21"/>
        <v>5559.8301000000001</v>
      </c>
      <c r="AA691" s="5">
        <v>113.66</v>
      </c>
      <c r="AB691" s="5">
        <v>102.99</v>
      </c>
    </row>
    <row r="692" spans="1:28" x14ac:dyDescent="0.3">
      <c r="A692" s="6">
        <v>39196</v>
      </c>
      <c r="B692" s="7">
        <v>0.66666666666666663</v>
      </c>
      <c r="C692" s="5">
        <v>151.55000000000001</v>
      </c>
      <c r="D692" s="5">
        <v>152.5</v>
      </c>
      <c r="E692" s="5">
        <v>151.5</v>
      </c>
      <c r="F692" s="5">
        <v>152.4</v>
      </c>
      <c r="G692" s="5">
        <v>4900</v>
      </c>
      <c r="I692" s="6">
        <v>40833</v>
      </c>
      <c r="J692" s="7">
        <v>0.66666666666666663</v>
      </c>
      <c r="K692" s="5">
        <v>5559.8301000000001</v>
      </c>
      <c r="L692" s="5">
        <v>5650</v>
      </c>
      <c r="M692" s="5">
        <v>5505</v>
      </c>
      <c r="N692" s="5">
        <v>5637.4198999999999</v>
      </c>
      <c r="O692" s="5">
        <v>222</v>
      </c>
      <c r="Q692" s="6">
        <v>39177</v>
      </c>
      <c r="R692" s="7">
        <v>0.66666666666666663</v>
      </c>
      <c r="S692" s="5">
        <v>74.849999999999994</v>
      </c>
      <c r="T692" s="5">
        <v>75</v>
      </c>
      <c r="U692" s="5">
        <v>74</v>
      </c>
      <c r="V692" s="5">
        <v>74.900000000000006</v>
      </c>
      <c r="W692" s="5">
        <v>102400</v>
      </c>
      <c r="Y692" s="6">
        <f t="shared" si="20"/>
        <v>40833</v>
      </c>
      <c r="Z692" s="5">
        <f t="shared" si="21"/>
        <v>5637.4198999999999</v>
      </c>
      <c r="AA692" s="5">
        <v>119.34</v>
      </c>
      <c r="AB692" s="5">
        <v>102.99</v>
      </c>
    </row>
    <row r="693" spans="1:28" x14ac:dyDescent="0.3">
      <c r="A693" s="6">
        <v>39197</v>
      </c>
      <c r="B693" s="7">
        <v>0.66666666666666663</v>
      </c>
      <c r="C693" s="5">
        <v>153.5</v>
      </c>
      <c r="D693" s="5">
        <v>154.9</v>
      </c>
      <c r="E693" s="5">
        <v>153</v>
      </c>
      <c r="F693" s="5">
        <v>154.30000000000001</v>
      </c>
      <c r="G693" s="5">
        <v>5600</v>
      </c>
      <c r="I693" s="6">
        <v>40834</v>
      </c>
      <c r="J693" s="7">
        <v>0.66666666666666663</v>
      </c>
      <c r="K693" s="5">
        <v>5637.4198999999999</v>
      </c>
      <c r="L693" s="5">
        <v>5687</v>
      </c>
      <c r="M693" s="5">
        <v>5356</v>
      </c>
      <c r="N693" s="5">
        <v>5642.1201000000001</v>
      </c>
      <c r="O693" s="5">
        <v>123</v>
      </c>
      <c r="Q693" s="6">
        <v>39178</v>
      </c>
      <c r="R693" s="7">
        <v>0.66666666666666663</v>
      </c>
      <c r="S693" s="5">
        <v>74.900000000000006</v>
      </c>
      <c r="T693" s="5">
        <v>75.45</v>
      </c>
      <c r="U693" s="5">
        <v>73.55</v>
      </c>
      <c r="V693" s="5">
        <v>75.05</v>
      </c>
      <c r="W693" s="5">
        <v>193300</v>
      </c>
      <c r="Y693" s="6">
        <f t="shared" si="20"/>
        <v>40834</v>
      </c>
      <c r="Z693" s="5">
        <f t="shared" si="21"/>
        <v>5642.1201000000001</v>
      </c>
      <c r="AA693" s="5">
        <v>124.2</v>
      </c>
      <c r="AB693" s="5">
        <v>103</v>
      </c>
    </row>
    <row r="694" spans="1:28" x14ac:dyDescent="0.3">
      <c r="A694" s="6">
        <v>39198</v>
      </c>
      <c r="B694" s="7">
        <v>0.66666666666666663</v>
      </c>
      <c r="C694" s="5">
        <v>154.94999999999999</v>
      </c>
      <c r="D694" s="5">
        <v>156</v>
      </c>
      <c r="E694" s="5">
        <v>153</v>
      </c>
      <c r="F694" s="5">
        <v>153</v>
      </c>
      <c r="G694" s="5">
        <v>14800</v>
      </c>
      <c r="I694" s="6">
        <v>40835</v>
      </c>
      <c r="J694" s="7">
        <v>0.66666666666666663</v>
      </c>
      <c r="K694" s="5">
        <v>5642.1201000000001</v>
      </c>
      <c r="L694" s="5">
        <v>5700</v>
      </c>
      <c r="M694" s="5">
        <v>5500</v>
      </c>
      <c r="N694" s="5">
        <v>5699.9102000000003</v>
      </c>
      <c r="O694" s="5">
        <v>1563</v>
      </c>
      <c r="Q694" s="6">
        <v>39181</v>
      </c>
      <c r="R694" s="7">
        <v>0.66666666666666663</v>
      </c>
      <c r="S694" s="5">
        <v>75.05</v>
      </c>
      <c r="T694" s="5">
        <v>78.8</v>
      </c>
      <c r="U694" s="5">
        <v>74.75</v>
      </c>
      <c r="V694" s="5">
        <v>78.8</v>
      </c>
      <c r="W694" s="5">
        <v>746700</v>
      </c>
      <c r="Y694" s="6">
        <f t="shared" si="20"/>
        <v>40835</v>
      </c>
      <c r="Z694" s="5">
        <f t="shared" si="21"/>
        <v>5699.9102000000003</v>
      </c>
      <c r="AA694" s="5">
        <v>120.92</v>
      </c>
      <c r="AB694" s="5">
        <v>104.1</v>
      </c>
    </row>
    <row r="695" spans="1:28" x14ac:dyDescent="0.3">
      <c r="A695" s="6">
        <v>39199</v>
      </c>
      <c r="B695" s="7">
        <v>0.66666666666666663</v>
      </c>
      <c r="C695" s="5">
        <v>154</v>
      </c>
      <c r="D695" s="5">
        <v>154</v>
      </c>
      <c r="E695" s="5">
        <v>152</v>
      </c>
      <c r="F695" s="5">
        <v>152</v>
      </c>
      <c r="G695" s="5">
        <v>4700</v>
      </c>
      <c r="I695" s="6">
        <v>40836</v>
      </c>
      <c r="J695" s="7">
        <v>0.66666666666666663</v>
      </c>
      <c r="K695" s="5">
        <v>5699.9102000000003</v>
      </c>
      <c r="L695" s="5">
        <v>5900</v>
      </c>
      <c r="M695" s="5">
        <v>5500</v>
      </c>
      <c r="N695" s="5">
        <v>5896.48</v>
      </c>
      <c r="O695" s="5">
        <v>1700</v>
      </c>
      <c r="Q695" s="6">
        <v>39182</v>
      </c>
      <c r="R695" s="7">
        <v>0.66666666666666663</v>
      </c>
      <c r="S695" s="5">
        <v>79.45</v>
      </c>
      <c r="T695" s="5">
        <v>82.7</v>
      </c>
      <c r="U695" s="5">
        <v>79.45</v>
      </c>
      <c r="V695" s="5">
        <v>81.900000000000006</v>
      </c>
      <c r="W695" s="5">
        <v>1147200</v>
      </c>
      <c r="Y695" s="6">
        <f t="shared" si="20"/>
        <v>40836</v>
      </c>
      <c r="Z695" s="5">
        <f t="shared" si="21"/>
        <v>5896.48</v>
      </c>
      <c r="AA695" s="5">
        <v>121.5</v>
      </c>
      <c r="AB695" s="5">
        <v>104.13</v>
      </c>
    </row>
    <row r="696" spans="1:28" x14ac:dyDescent="0.3">
      <c r="A696" s="6">
        <v>39202</v>
      </c>
      <c r="B696" s="7">
        <v>0.66666666666666663</v>
      </c>
      <c r="C696" s="5">
        <v>153</v>
      </c>
      <c r="D696" s="5">
        <v>153</v>
      </c>
      <c r="E696" s="5">
        <v>152</v>
      </c>
      <c r="F696" s="5">
        <v>152</v>
      </c>
      <c r="G696" s="5">
        <v>4400</v>
      </c>
      <c r="I696" s="6">
        <v>40837</v>
      </c>
      <c r="J696" s="7">
        <v>0.66666666666666663</v>
      </c>
      <c r="K696" s="5">
        <v>5889.9902000000002</v>
      </c>
      <c r="L696" s="5">
        <v>5889.9902000000002</v>
      </c>
      <c r="M696" s="5">
        <v>5700</v>
      </c>
      <c r="N696" s="5">
        <v>5820</v>
      </c>
      <c r="O696" s="5">
        <v>5</v>
      </c>
      <c r="Q696" s="6">
        <v>39183</v>
      </c>
      <c r="R696" s="7">
        <v>0.66666666666666663</v>
      </c>
      <c r="S696" s="5">
        <v>81.900000000000006</v>
      </c>
      <c r="T696" s="5">
        <v>82.45</v>
      </c>
      <c r="U696" s="5">
        <v>79.8</v>
      </c>
      <c r="V696" s="5">
        <v>81</v>
      </c>
      <c r="W696" s="5">
        <v>595300</v>
      </c>
      <c r="Y696" s="6">
        <f t="shared" si="20"/>
        <v>40837</v>
      </c>
      <c r="Z696" s="5">
        <f t="shared" si="21"/>
        <v>5820</v>
      </c>
      <c r="AA696" s="5">
        <v>118.9</v>
      </c>
      <c r="AB696" s="5">
        <v>103.01</v>
      </c>
    </row>
    <row r="697" spans="1:28" x14ac:dyDescent="0.3">
      <c r="A697" s="6">
        <v>39205</v>
      </c>
      <c r="B697" s="7">
        <v>0.66666666666666663</v>
      </c>
      <c r="C697" s="5">
        <v>153.5</v>
      </c>
      <c r="D697" s="5">
        <v>155</v>
      </c>
      <c r="E697" s="5">
        <v>153</v>
      </c>
      <c r="F697" s="5">
        <v>155</v>
      </c>
      <c r="G697" s="5">
        <v>21400</v>
      </c>
      <c r="I697" s="6">
        <v>40841</v>
      </c>
      <c r="J697" s="7">
        <v>0.66666666666666663</v>
      </c>
      <c r="K697" s="5">
        <v>5820</v>
      </c>
      <c r="L697" s="5">
        <v>5849</v>
      </c>
      <c r="M697" s="5">
        <v>5600</v>
      </c>
      <c r="N697" s="5">
        <v>5712.0097999999998</v>
      </c>
      <c r="O697" s="5">
        <v>110</v>
      </c>
      <c r="Q697" s="6">
        <v>39184</v>
      </c>
      <c r="R697" s="7">
        <v>0.66666666666666663</v>
      </c>
      <c r="S697" s="5">
        <v>81</v>
      </c>
      <c r="T697" s="5">
        <v>81.8</v>
      </c>
      <c r="U697" s="5">
        <v>79</v>
      </c>
      <c r="V697" s="5">
        <v>79.2</v>
      </c>
      <c r="W697" s="5">
        <v>245000</v>
      </c>
      <c r="Y697" s="6">
        <f t="shared" si="20"/>
        <v>40841</v>
      </c>
      <c r="Z697" s="5">
        <f t="shared" si="21"/>
        <v>5712.0097999999998</v>
      </c>
      <c r="AA697" s="5">
        <v>118.78</v>
      </c>
      <c r="AB697" s="5">
        <v>102.49</v>
      </c>
    </row>
    <row r="698" spans="1:28" x14ac:dyDescent="0.3">
      <c r="A698" s="6">
        <v>39206</v>
      </c>
      <c r="B698" s="7">
        <v>0.66666666666666663</v>
      </c>
      <c r="C698" s="5">
        <v>154</v>
      </c>
      <c r="D698" s="5">
        <v>156.85</v>
      </c>
      <c r="E698" s="5">
        <v>154</v>
      </c>
      <c r="F698" s="5">
        <v>156</v>
      </c>
      <c r="G698" s="5">
        <v>19500</v>
      </c>
      <c r="I698" s="6">
        <v>40842</v>
      </c>
      <c r="J698" s="7">
        <v>0.66666666666666663</v>
      </c>
      <c r="K698" s="5">
        <v>5712.0097999999998</v>
      </c>
      <c r="L698" s="5">
        <v>5810</v>
      </c>
      <c r="M698" s="5">
        <v>5527</v>
      </c>
      <c r="N698" s="5">
        <v>5656.1099000000004</v>
      </c>
      <c r="O698" s="5">
        <v>32</v>
      </c>
      <c r="Q698" s="6">
        <v>39185</v>
      </c>
      <c r="R698" s="7">
        <v>0.66666666666666663</v>
      </c>
      <c r="S698" s="5">
        <v>79.2</v>
      </c>
      <c r="T698" s="5">
        <v>80.5</v>
      </c>
      <c r="U698" s="5">
        <v>79.05</v>
      </c>
      <c r="V698" s="5">
        <v>79.75</v>
      </c>
      <c r="W698" s="5">
        <v>202300</v>
      </c>
      <c r="Y698" s="6">
        <f t="shared" si="20"/>
        <v>40842</v>
      </c>
      <c r="Z698" s="5">
        <f t="shared" si="21"/>
        <v>5656.1099000000004</v>
      </c>
      <c r="AA698" s="5">
        <v>117.57</v>
      </c>
      <c r="AB698" s="5">
        <v>102.1</v>
      </c>
    </row>
    <row r="699" spans="1:28" x14ac:dyDescent="0.3">
      <c r="A699" s="6">
        <v>39209</v>
      </c>
      <c r="B699" s="7">
        <v>0.66666666666666663</v>
      </c>
      <c r="C699" s="5">
        <v>157.94999999999999</v>
      </c>
      <c r="D699" s="5">
        <v>157.94999999999999</v>
      </c>
      <c r="E699" s="5">
        <v>155</v>
      </c>
      <c r="F699" s="5">
        <v>155</v>
      </c>
      <c r="G699" s="5">
        <v>13000</v>
      </c>
      <c r="I699" s="6">
        <v>40843</v>
      </c>
      <c r="J699" s="7">
        <v>0.66666666666666663</v>
      </c>
      <c r="K699" s="5">
        <v>5656.1099000000004</v>
      </c>
      <c r="L699" s="5">
        <v>5840</v>
      </c>
      <c r="M699" s="5">
        <v>5580.0097999999998</v>
      </c>
      <c r="N699" s="5">
        <v>5684.3900999999996</v>
      </c>
      <c r="O699" s="5">
        <v>37</v>
      </c>
      <c r="Q699" s="6">
        <v>39188</v>
      </c>
      <c r="R699" s="7">
        <v>0.66666666666666663</v>
      </c>
      <c r="S699" s="5">
        <v>79.75</v>
      </c>
      <c r="T699" s="5">
        <v>83.65</v>
      </c>
      <c r="U699" s="5">
        <v>79.599999999999994</v>
      </c>
      <c r="V699" s="5">
        <v>82.15</v>
      </c>
      <c r="W699" s="5">
        <v>849500</v>
      </c>
      <c r="Y699" s="6">
        <f t="shared" si="20"/>
        <v>40843</v>
      </c>
      <c r="Z699" s="5">
        <f t="shared" si="21"/>
        <v>5684.3900999999996</v>
      </c>
      <c r="AA699" s="5">
        <v>115.18</v>
      </c>
      <c r="AB699" s="5">
        <v>102.8</v>
      </c>
    </row>
    <row r="700" spans="1:28" x14ac:dyDescent="0.3">
      <c r="A700" s="6">
        <v>39210</v>
      </c>
      <c r="B700" s="7">
        <v>0.66666666666666663</v>
      </c>
      <c r="C700" s="5">
        <v>152.05000000000001</v>
      </c>
      <c r="D700" s="5">
        <v>156</v>
      </c>
      <c r="E700" s="5">
        <v>152.05000000000001</v>
      </c>
      <c r="F700" s="5">
        <v>156</v>
      </c>
      <c r="G700" s="5">
        <v>5300</v>
      </c>
      <c r="I700" s="6">
        <v>40844</v>
      </c>
      <c r="J700" s="7">
        <v>0.66666666666666663</v>
      </c>
      <c r="K700" s="5">
        <v>5684.3900999999996</v>
      </c>
      <c r="L700" s="5">
        <v>5949</v>
      </c>
      <c r="M700" s="5">
        <v>5600.02</v>
      </c>
      <c r="N700" s="5">
        <v>5831.9399000000003</v>
      </c>
      <c r="O700" s="5">
        <v>339</v>
      </c>
      <c r="Q700" s="6">
        <v>39189</v>
      </c>
      <c r="R700" s="7">
        <v>0.66666666666666663</v>
      </c>
      <c r="S700" s="5">
        <v>82.15</v>
      </c>
      <c r="T700" s="5">
        <v>84.95</v>
      </c>
      <c r="U700" s="5">
        <v>80.5</v>
      </c>
      <c r="V700" s="5">
        <v>83.8</v>
      </c>
      <c r="W700" s="5">
        <v>1135200</v>
      </c>
      <c r="Y700" s="6">
        <f t="shared" si="20"/>
        <v>40844</v>
      </c>
      <c r="Z700" s="5">
        <f t="shared" si="21"/>
        <v>5831.9399000000003</v>
      </c>
      <c r="AA700" s="5">
        <v>118.93</v>
      </c>
      <c r="AB700" s="5">
        <v>102.5</v>
      </c>
    </row>
    <row r="701" spans="1:28" x14ac:dyDescent="0.3">
      <c r="A701" s="6">
        <v>39211</v>
      </c>
      <c r="B701" s="7">
        <v>0.66666666666666663</v>
      </c>
      <c r="C701" s="5">
        <v>156.25</v>
      </c>
      <c r="D701" s="5">
        <v>157.75</v>
      </c>
      <c r="E701" s="5">
        <v>156</v>
      </c>
      <c r="F701" s="5">
        <v>157</v>
      </c>
      <c r="G701" s="5">
        <v>8600</v>
      </c>
      <c r="I701" s="6">
        <v>40847</v>
      </c>
      <c r="J701" s="7">
        <v>0.66666666666666663</v>
      </c>
      <c r="K701" s="5">
        <v>5829</v>
      </c>
      <c r="L701" s="5">
        <v>5829</v>
      </c>
      <c r="M701" s="5">
        <v>5625</v>
      </c>
      <c r="N701" s="5">
        <v>5734.6000999999997</v>
      </c>
      <c r="O701" s="5">
        <v>12</v>
      </c>
      <c r="Q701" s="6">
        <v>39190</v>
      </c>
      <c r="R701" s="7">
        <v>0.66666666666666663</v>
      </c>
      <c r="S701" s="5">
        <v>84</v>
      </c>
      <c r="T701" s="5">
        <v>87.95</v>
      </c>
      <c r="U701" s="5">
        <v>84</v>
      </c>
      <c r="V701" s="5">
        <v>87.95</v>
      </c>
      <c r="W701" s="5">
        <v>1536200</v>
      </c>
      <c r="Y701" s="6">
        <f t="shared" si="20"/>
        <v>40847</v>
      </c>
      <c r="Z701" s="5">
        <f t="shared" si="21"/>
        <v>5734.6000999999997</v>
      </c>
      <c r="AA701" s="5">
        <v>124.87</v>
      </c>
      <c r="AB701" s="5">
        <v>102.9</v>
      </c>
    </row>
    <row r="702" spans="1:28" x14ac:dyDescent="0.3">
      <c r="A702" s="6">
        <v>39212</v>
      </c>
      <c r="B702" s="7">
        <v>0.66666666666666663</v>
      </c>
      <c r="C702" s="5">
        <v>157</v>
      </c>
      <c r="D702" s="5">
        <v>164.85</v>
      </c>
      <c r="E702" s="5">
        <v>157</v>
      </c>
      <c r="F702" s="5">
        <v>164.85</v>
      </c>
      <c r="G702" s="5">
        <v>36400</v>
      </c>
      <c r="I702" s="6">
        <v>40848</v>
      </c>
      <c r="J702" s="7">
        <v>0.66666666666666663</v>
      </c>
      <c r="K702" s="5">
        <v>5734.6000999999997</v>
      </c>
      <c r="L702" s="5">
        <v>5839.9902000000002</v>
      </c>
      <c r="M702" s="5">
        <v>5555.0097999999998</v>
      </c>
      <c r="N702" s="5">
        <v>5737.7997999999998</v>
      </c>
      <c r="O702" s="5">
        <v>16</v>
      </c>
      <c r="Q702" s="6">
        <v>39191</v>
      </c>
      <c r="R702" s="7">
        <v>0.66666666666666663</v>
      </c>
      <c r="S702" s="5">
        <v>89.5</v>
      </c>
      <c r="T702" s="5">
        <v>92.3</v>
      </c>
      <c r="U702" s="5">
        <v>89.5</v>
      </c>
      <c r="V702" s="5">
        <v>92.3</v>
      </c>
      <c r="W702" s="5">
        <v>2173800</v>
      </c>
      <c r="Y702" s="6">
        <f t="shared" si="20"/>
        <v>40848</v>
      </c>
      <c r="Z702" s="5">
        <f t="shared" si="21"/>
        <v>5737.7997999999998</v>
      </c>
      <c r="AA702" s="5">
        <v>122.59</v>
      </c>
      <c r="AB702" s="5">
        <v>102.17</v>
      </c>
    </row>
    <row r="703" spans="1:28" x14ac:dyDescent="0.3">
      <c r="A703" s="6">
        <v>39213</v>
      </c>
      <c r="B703" s="7">
        <v>0.66666666666666663</v>
      </c>
      <c r="C703" s="5">
        <v>172</v>
      </c>
      <c r="D703" s="5">
        <v>172</v>
      </c>
      <c r="E703" s="5">
        <v>166.15</v>
      </c>
      <c r="F703" s="5">
        <v>166.25</v>
      </c>
      <c r="G703" s="5">
        <v>29500</v>
      </c>
      <c r="I703" s="6">
        <v>40849</v>
      </c>
      <c r="J703" s="7">
        <v>0.66666666666666663</v>
      </c>
      <c r="K703" s="5">
        <v>5737.7997999999998</v>
      </c>
      <c r="L703" s="5">
        <v>5794</v>
      </c>
      <c r="M703" s="5">
        <v>5680</v>
      </c>
      <c r="N703" s="5">
        <v>5733</v>
      </c>
      <c r="O703" s="5">
        <v>9</v>
      </c>
      <c r="Q703" s="6">
        <v>39192</v>
      </c>
      <c r="R703" s="7">
        <v>0.66666666666666663</v>
      </c>
      <c r="S703" s="5">
        <v>92.3</v>
      </c>
      <c r="T703" s="5">
        <v>96</v>
      </c>
      <c r="U703" s="5">
        <v>91</v>
      </c>
      <c r="V703" s="5">
        <v>92.6</v>
      </c>
      <c r="W703" s="5">
        <v>1467800</v>
      </c>
      <c r="Y703" s="6">
        <f t="shared" si="20"/>
        <v>40849</v>
      </c>
      <c r="Z703" s="5">
        <f t="shared" si="21"/>
        <v>5733</v>
      </c>
      <c r="AA703" s="5">
        <v>123.87</v>
      </c>
      <c r="AB703" s="5">
        <v>102</v>
      </c>
    </row>
    <row r="704" spans="1:28" x14ac:dyDescent="0.3">
      <c r="A704" s="6">
        <v>39216</v>
      </c>
      <c r="B704" s="7">
        <v>0.66666666666666663</v>
      </c>
      <c r="C704" s="5">
        <v>163.5</v>
      </c>
      <c r="D704" s="5">
        <v>169.95</v>
      </c>
      <c r="E704" s="5">
        <v>160</v>
      </c>
      <c r="F704" s="5">
        <v>167.1</v>
      </c>
      <c r="G704" s="5">
        <v>36600</v>
      </c>
      <c r="I704" s="6">
        <v>40850</v>
      </c>
      <c r="J704" s="7">
        <v>0.66666666666666663</v>
      </c>
      <c r="K704" s="5">
        <v>5733</v>
      </c>
      <c r="L704" s="5">
        <v>5800</v>
      </c>
      <c r="M704" s="5">
        <v>5560.6099000000004</v>
      </c>
      <c r="N704" s="5">
        <v>5611.3397999999997</v>
      </c>
      <c r="O704" s="5">
        <v>104</v>
      </c>
      <c r="Q704" s="6">
        <v>39195</v>
      </c>
      <c r="R704" s="7">
        <v>0.66666666666666663</v>
      </c>
      <c r="S704" s="5">
        <v>92.6</v>
      </c>
      <c r="T704" s="5">
        <v>93.4</v>
      </c>
      <c r="U704" s="5">
        <v>89.7</v>
      </c>
      <c r="V704" s="5">
        <v>90.4</v>
      </c>
      <c r="W704" s="5">
        <v>449100</v>
      </c>
      <c r="Y704" s="6">
        <f t="shared" si="20"/>
        <v>40850</v>
      </c>
      <c r="Z704" s="5">
        <f t="shared" si="21"/>
        <v>5611.3397999999997</v>
      </c>
      <c r="AA704" s="5">
        <v>125.33</v>
      </c>
      <c r="AB704" s="5">
        <v>101.92</v>
      </c>
    </row>
    <row r="705" spans="1:28" x14ac:dyDescent="0.3">
      <c r="A705" s="6">
        <v>39217</v>
      </c>
      <c r="B705" s="7">
        <v>0.66666666666666663</v>
      </c>
      <c r="C705" s="5">
        <v>169.85</v>
      </c>
      <c r="D705" s="5">
        <v>169.85</v>
      </c>
      <c r="E705" s="5">
        <v>165</v>
      </c>
      <c r="F705" s="5">
        <v>165</v>
      </c>
      <c r="G705" s="5">
        <v>8600</v>
      </c>
      <c r="I705" s="6">
        <v>40851</v>
      </c>
      <c r="J705" s="7">
        <v>0.66666666666666663</v>
      </c>
      <c r="K705" s="5">
        <v>5611.3397999999997</v>
      </c>
      <c r="L705" s="5">
        <v>5749.9902000000002</v>
      </c>
      <c r="M705" s="5">
        <v>5507</v>
      </c>
      <c r="N705" s="5">
        <v>5603.6000999999997</v>
      </c>
      <c r="O705" s="5">
        <v>12</v>
      </c>
      <c r="Q705" s="6">
        <v>39196</v>
      </c>
      <c r="R705" s="7">
        <v>0.66666666666666663</v>
      </c>
      <c r="S705" s="5">
        <v>90.4</v>
      </c>
      <c r="T705" s="5">
        <v>91.3</v>
      </c>
      <c r="U705" s="5">
        <v>89.25</v>
      </c>
      <c r="V705" s="5">
        <v>90.8</v>
      </c>
      <c r="W705" s="5">
        <v>482100</v>
      </c>
      <c r="Y705" s="6">
        <f t="shared" si="20"/>
        <v>40851</v>
      </c>
      <c r="Z705" s="5">
        <f t="shared" si="21"/>
        <v>5603.6000999999997</v>
      </c>
      <c r="AA705" s="5">
        <v>130.88</v>
      </c>
      <c r="AB705" s="5">
        <v>104.97</v>
      </c>
    </row>
    <row r="706" spans="1:28" x14ac:dyDescent="0.3">
      <c r="A706" s="6">
        <v>39218</v>
      </c>
      <c r="B706" s="7">
        <v>0.66666666666666663</v>
      </c>
      <c r="C706" s="5">
        <v>165</v>
      </c>
      <c r="D706" s="5">
        <v>165</v>
      </c>
      <c r="E706" s="5">
        <v>163</v>
      </c>
      <c r="F706" s="5">
        <v>164.5</v>
      </c>
      <c r="G706" s="5">
        <v>4900</v>
      </c>
      <c r="I706" s="6">
        <v>40857</v>
      </c>
      <c r="J706" s="7">
        <v>0.66666666666666663</v>
      </c>
      <c r="K706" s="5">
        <v>5603.6000999999997</v>
      </c>
      <c r="L706" s="5">
        <v>5850</v>
      </c>
      <c r="M706" s="5">
        <v>5328.0897999999997</v>
      </c>
      <c r="N706" s="5">
        <v>5624.9301999999998</v>
      </c>
      <c r="O706" s="5">
        <v>5</v>
      </c>
      <c r="Q706" s="6">
        <v>39197</v>
      </c>
      <c r="R706" s="7">
        <v>0.66666666666666663</v>
      </c>
      <c r="S706" s="5">
        <v>90.8</v>
      </c>
      <c r="T706" s="5">
        <v>91.7</v>
      </c>
      <c r="U706" s="5">
        <v>89.9</v>
      </c>
      <c r="V706" s="5">
        <v>90.7</v>
      </c>
      <c r="W706" s="5">
        <v>369500</v>
      </c>
      <c r="Y706" s="6">
        <f t="shared" si="20"/>
        <v>40857</v>
      </c>
      <c r="Z706" s="5">
        <f t="shared" si="21"/>
        <v>5624.9301999999998</v>
      </c>
      <c r="AA706" s="5">
        <v>128.16</v>
      </c>
      <c r="AB706" s="5">
        <v>103.95</v>
      </c>
    </row>
    <row r="707" spans="1:28" x14ac:dyDescent="0.3">
      <c r="A707" s="6">
        <v>39219</v>
      </c>
      <c r="B707" s="7">
        <v>0.66666666666666663</v>
      </c>
      <c r="C707" s="5">
        <v>163</v>
      </c>
      <c r="D707" s="5">
        <v>164</v>
      </c>
      <c r="E707" s="5">
        <v>160.05000000000001</v>
      </c>
      <c r="F707" s="5">
        <v>161.05000000000001</v>
      </c>
      <c r="G707" s="5">
        <v>7400</v>
      </c>
      <c r="I707" s="6">
        <v>40858</v>
      </c>
      <c r="J707" s="7">
        <v>0.66666666666666663</v>
      </c>
      <c r="K707" s="5">
        <v>5599</v>
      </c>
      <c r="L707" s="5">
        <v>5599</v>
      </c>
      <c r="M707" s="5">
        <v>5510.0097999999998</v>
      </c>
      <c r="N707" s="5">
        <v>5594.77</v>
      </c>
      <c r="O707" s="5">
        <v>23</v>
      </c>
      <c r="Q707" s="6">
        <v>39198</v>
      </c>
      <c r="R707" s="7">
        <v>0.66666666666666663</v>
      </c>
      <c r="S707" s="5">
        <v>90.7</v>
      </c>
      <c r="T707" s="5">
        <v>91.9</v>
      </c>
      <c r="U707" s="5">
        <v>89</v>
      </c>
      <c r="V707" s="5">
        <v>89.9</v>
      </c>
      <c r="W707" s="5">
        <v>592900</v>
      </c>
      <c r="Y707" s="6">
        <f t="shared" si="20"/>
        <v>40858</v>
      </c>
      <c r="Z707" s="5">
        <f t="shared" si="21"/>
        <v>5594.77</v>
      </c>
      <c r="AA707" s="5">
        <v>128.55000000000001</v>
      </c>
      <c r="AB707" s="5">
        <v>103.99</v>
      </c>
    </row>
    <row r="708" spans="1:28" x14ac:dyDescent="0.3">
      <c r="A708" s="6">
        <v>39220</v>
      </c>
      <c r="B708" s="7">
        <v>0.66666666666666663</v>
      </c>
      <c r="C708" s="5">
        <v>163.4</v>
      </c>
      <c r="D708" s="5">
        <v>163.9</v>
      </c>
      <c r="E708" s="5">
        <v>162</v>
      </c>
      <c r="F708" s="5">
        <v>162.1</v>
      </c>
      <c r="G708" s="5">
        <v>1900</v>
      </c>
      <c r="I708" s="6">
        <v>40861</v>
      </c>
      <c r="J708" s="7">
        <v>0.66666666666666663</v>
      </c>
      <c r="K708" s="5">
        <v>5594.77</v>
      </c>
      <c r="L708" s="5">
        <v>5790</v>
      </c>
      <c r="M708" s="5">
        <v>5390</v>
      </c>
      <c r="N708" s="5">
        <v>5646.3500999999997</v>
      </c>
      <c r="O708" s="5">
        <v>879</v>
      </c>
      <c r="Q708" s="6">
        <v>39199</v>
      </c>
      <c r="R708" s="7">
        <v>0.66666666666666663</v>
      </c>
      <c r="S708" s="5">
        <v>89.9</v>
      </c>
      <c r="T708" s="5">
        <v>91.45</v>
      </c>
      <c r="U708" s="5">
        <v>88</v>
      </c>
      <c r="V708" s="5">
        <v>89.9</v>
      </c>
      <c r="W708" s="5">
        <v>750400</v>
      </c>
      <c r="Y708" s="6">
        <f t="shared" ref="Y708:Y771" si="22">I708</f>
        <v>40861</v>
      </c>
      <c r="Z708" s="5">
        <f t="shared" ref="Z708:Z771" si="23">N708</f>
        <v>5646.3500999999997</v>
      </c>
      <c r="AA708" s="5">
        <v>127.23</v>
      </c>
      <c r="AB708" s="5">
        <v>102.05</v>
      </c>
    </row>
    <row r="709" spans="1:28" x14ac:dyDescent="0.3">
      <c r="A709" s="6">
        <v>39223</v>
      </c>
      <c r="B709" s="7">
        <v>0.66666666666666663</v>
      </c>
      <c r="C709" s="5">
        <v>164</v>
      </c>
      <c r="D709" s="5">
        <v>164.5</v>
      </c>
      <c r="E709" s="5">
        <v>162</v>
      </c>
      <c r="F709" s="5">
        <v>162</v>
      </c>
      <c r="G709" s="5">
        <v>1600</v>
      </c>
      <c r="I709" s="6">
        <v>40862</v>
      </c>
      <c r="J709" s="7">
        <v>0.66666666666666663</v>
      </c>
      <c r="K709" s="5">
        <v>5646.3500999999997</v>
      </c>
      <c r="L709" s="5">
        <v>5806</v>
      </c>
      <c r="M709" s="5">
        <v>5500.0097999999998</v>
      </c>
      <c r="N709" s="5">
        <v>5581.9399000000003</v>
      </c>
      <c r="O709" s="5">
        <v>9</v>
      </c>
      <c r="Q709" s="6">
        <v>39202</v>
      </c>
      <c r="R709" s="7">
        <v>0.66666666666666663</v>
      </c>
      <c r="S709" s="5">
        <v>89.9</v>
      </c>
      <c r="T709" s="5">
        <v>91</v>
      </c>
      <c r="U709" s="5">
        <v>85.45</v>
      </c>
      <c r="V709" s="5">
        <v>85.45</v>
      </c>
      <c r="W709" s="5">
        <v>581000</v>
      </c>
      <c r="Y709" s="6">
        <f t="shared" si="22"/>
        <v>40862</v>
      </c>
      <c r="Z709" s="5">
        <f t="shared" si="23"/>
        <v>5581.9399000000003</v>
      </c>
      <c r="AA709" s="5">
        <v>126.55</v>
      </c>
      <c r="AB709" s="5">
        <v>102.05</v>
      </c>
    </row>
    <row r="710" spans="1:28" x14ac:dyDescent="0.3">
      <c r="A710" s="6">
        <v>39224</v>
      </c>
      <c r="B710" s="7">
        <v>0.66666666666666663</v>
      </c>
      <c r="C710" s="5">
        <v>162</v>
      </c>
      <c r="D710" s="5">
        <v>163.5</v>
      </c>
      <c r="E710" s="5">
        <v>162</v>
      </c>
      <c r="F710" s="5">
        <v>162.30000000000001</v>
      </c>
      <c r="G710" s="5">
        <v>9700</v>
      </c>
      <c r="I710" s="6">
        <v>40863</v>
      </c>
      <c r="J710" s="7">
        <v>0.66666666666666663</v>
      </c>
      <c r="K710" s="5">
        <v>5581.9399000000003</v>
      </c>
      <c r="L710" s="5">
        <v>5648.9902000000002</v>
      </c>
      <c r="M710" s="5">
        <v>5560</v>
      </c>
      <c r="N710" s="5">
        <v>5592</v>
      </c>
      <c r="O710" s="5">
        <v>7</v>
      </c>
      <c r="Q710" s="6">
        <v>39205</v>
      </c>
      <c r="R710" s="7">
        <v>0.66666666666666663</v>
      </c>
      <c r="S710" s="5">
        <v>85.45</v>
      </c>
      <c r="T710" s="5">
        <v>88.3</v>
      </c>
      <c r="U710" s="5">
        <v>83.25</v>
      </c>
      <c r="V710" s="5">
        <v>88.3</v>
      </c>
      <c r="W710" s="5">
        <v>1720800</v>
      </c>
      <c r="Y710" s="6">
        <f t="shared" si="22"/>
        <v>40863</v>
      </c>
      <c r="Z710" s="5">
        <f t="shared" si="23"/>
        <v>5592</v>
      </c>
      <c r="AA710" s="5">
        <v>127.1</v>
      </c>
      <c r="AB710" s="5">
        <v>103.78</v>
      </c>
    </row>
    <row r="711" spans="1:28" x14ac:dyDescent="0.3">
      <c r="A711" s="6">
        <v>39225</v>
      </c>
      <c r="B711" s="7">
        <v>0.66666666666666663</v>
      </c>
      <c r="C711" s="5">
        <v>161.5</v>
      </c>
      <c r="D711" s="5">
        <v>162</v>
      </c>
      <c r="E711" s="5">
        <v>160.6</v>
      </c>
      <c r="F711" s="5">
        <v>161</v>
      </c>
      <c r="G711" s="5">
        <v>10300</v>
      </c>
      <c r="I711" s="6">
        <v>40864</v>
      </c>
      <c r="J711" s="7">
        <v>0.66666666666666663</v>
      </c>
      <c r="K711" s="5">
        <v>5592</v>
      </c>
      <c r="L711" s="5">
        <v>5675</v>
      </c>
      <c r="M711" s="5">
        <v>5501</v>
      </c>
      <c r="N711" s="5">
        <v>5527.6000999999997</v>
      </c>
      <c r="O711" s="5">
        <v>17</v>
      </c>
      <c r="Q711" s="6">
        <v>39206</v>
      </c>
      <c r="R711" s="7">
        <v>0.66666666666666663</v>
      </c>
      <c r="S711" s="5">
        <v>89.25</v>
      </c>
      <c r="T711" s="5">
        <v>92.7</v>
      </c>
      <c r="U711" s="5">
        <v>89.25</v>
      </c>
      <c r="V711" s="5">
        <v>92.7</v>
      </c>
      <c r="W711" s="5">
        <v>1784900</v>
      </c>
      <c r="Y711" s="6">
        <f t="shared" si="22"/>
        <v>40864</v>
      </c>
      <c r="Z711" s="5">
        <f t="shared" si="23"/>
        <v>5527.6000999999997</v>
      </c>
      <c r="AA711" s="5">
        <v>125.63</v>
      </c>
      <c r="AB711" s="5">
        <v>103</v>
      </c>
    </row>
    <row r="712" spans="1:28" x14ac:dyDescent="0.3">
      <c r="A712" s="6">
        <v>39226</v>
      </c>
      <c r="B712" s="7">
        <v>0.66666666666666663</v>
      </c>
      <c r="C712" s="5">
        <v>162</v>
      </c>
      <c r="D712" s="5">
        <v>163</v>
      </c>
      <c r="E712" s="5">
        <v>161.80000000000001</v>
      </c>
      <c r="F712" s="5">
        <v>162.5</v>
      </c>
      <c r="G712" s="5">
        <v>5600</v>
      </c>
      <c r="I712" s="6">
        <v>40865</v>
      </c>
      <c r="J712" s="7">
        <v>0.66666666666666663</v>
      </c>
      <c r="K712" s="5">
        <v>5527.6000999999997</v>
      </c>
      <c r="L712" s="5">
        <v>5600</v>
      </c>
      <c r="M712" s="5">
        <v>5252</v>
      </c>
      <c r="N712" s="5">
        <v>5479.96</v>
      </c>
      <c r="O712" s="5">
        <v>5</v>
      </c>
      <c r="Q712" s="6">
        <v>39209</v>
      </c>
      <c r="R712" s="7">
        <v>0.66666666666666663</v>
      </c>
      <c r="S712" s="5">
        <v>92.7</v>
      </c>
      <c r="T712" s="5">
        <v>93</v>
      </c>
      <c r="U712" s="5">
        <v>88.1</v>
      </c>
      <c r="V712" s="5">
        <v>88.5</v>
      </c>
      <c r="W712" s="5">
        <v>1365800</v>
      </c>
      <c r="Y712" s="6">
        <f t="shared" si="22"/>
        <v>40865</v>
      </c>
      <c r="Z712" s="5">
        <f t="shared" si="23"/>
        <v>5479.96</v>
      </c>
      <c r="AA712" s="5">
        <v>126.72</v>
      </c>
      <c r="AB712" s="5">
        <v>102.51</v>
      </c>
    </row>
    <row r="713" spans="1:28" x14ac:dyDescent="0.3">
      <c r="A713" s="6">
        <v>39227</v>
      </c>
      <c r="B713" s="7">
        <v>0.66666666666666663</v>
      </c>
      <c r="C713" s="5">
        <v>162.55000000000001</v>
      </c>
      <c r="D713" s="5">
        <v>164.5</v>
      </c>
      <c r="E713" s="5">
        <v>162</v>
      </c>
      <c r="F713" s="5">
        <v>162.5</v>
      </c>
      <c r="G713" s="5">
        <v>3600</v>
      </c>
      <c r="I713" s="6">
        <v>40868</v>
      </c>
      <c r="J713" s="7">
        <v>0.66666666666666663</v>
      </c>
      <c r="K713" s="5">
        <v>5479.96</v>
      </c>
      <c r="L713" s="5">
        <v>5597.9902000000002</v>
      </c>
      <c r="M713" s="5">
        <v>5250</v>
      </c>
      <c r="N713" s="5">
        <v>5362.3999000000003</v>
      </c>
      <c r="O713" s="5">
        <v>62</v>
      </c>
      <c r="Q713" s="6">
        <v>39210</v>
      </c>
      <c r="R713" s="7">
        <v>0.66666666666666663</v>
      </c>
      <c r="S713" s="5">
        <v>88.5</v>
      </c>
      <c r="T713" s="5">
        <v>92.9</v>
      </c>
      <c r="U713" s="5">
        <v>88.25</v>
      </c>
      <c r="V713" s="5">
        <v>92.9</v>
      </c>
      <c r="W713" s="5">
        <v>1600500</v>
      </c>
      <c r="Y713" s="6">
        <f t="shared" si="22"/>
        <v>40868</v>
      </c>
      <c r="Z713" s="5">
        <f t="shared" si="23"/>
        <v>5362.3999000000003</v>
      </c>
      <c r="AA713" s="5">
        <v>125.37</v>
      </c>
      <c r="AB713" s="5">
        <v>102.74</v>
      </c>
    </row>
    <row r="714" spans="1:28" x14ac:dyDescent="0.3">
      <c r="A714" s="6">
        <v>39230</v>
      </c>
      <c r="B714" s="7">
        <v>0.66666666666666663</v>
      </c>
      <c r="C714" s="5">
        <v>163</v>
      </c>
      <c r="D714" s="5">
        <v>163</v>
      </c>
      <c r="E714" s="5">
        <v>161.55000000000001</v>
      </c>
      <c r="F714" s="5">
        <v>162.1</v>
      </c>
      <c r="G714" s="5">
        <v>8700</v>
      </c>
      <c r="I714" s="6">
        <v>40869</v>
      </c>
      <c r="J714" s="7">
        <v>0.66666666666666663</v>
      </c>
      <c r="K714" s="5">
        <v>5362.3999000000003</v>
      </c>
      <c r="L714" s="5">
        <v>5449.9902000000002</v>
      </c>
      <c r="M714" s="5">
        <v>5250</v>
      </c>
      <c r="N714" s="5">
        <v>5399.7002000000002</v>
      </c>
      <c r="O714" s="5">
        <v>826</v>
      </c>
      <c r="Q714" s="6">
        <v>39211</v>
      </c>
      <c r="R714" s="7">
        <v>0.66666666666666663</v>
      </c>
      <c r="S714" s="5">
        <v>93.25</v>
      </c>
      <c r="T714" s="5">
        <v>97.5</v>
      </c>
      <c r="U714" s="5">
        <v>93.25</v>
      </c>
      <c r="V714" s="5">
        <v>97.5</v>
      </c>
      <c r="W714" s="5">
        <v>2397500</v>
      </c>
      <c r="Y714" s="6">
        <f t="shared" si="22"/>
        <v>40869</v>
      </c>
      <c r="Z714" s="5">
        <f t="shared" si="23"/>
        <v>5399.7002000000002</v>
      </c>
      <c r="AA714" s="5">
        <v>122.61</v>
      </c>
      <c r="AB714" s="5">
        <v>102</v>
      </c>
    </row>
    <row r="715" spans="1:28" x14ac:dyDescent="0.3">
      <c r="A715" s="6">
        <v>39231</v>
      </c>
      <c r="B715" s="7">
        <v>0.66666666666666663</v>
      </c>
      <c r="C715" s="5">
        <v>161</v>
      </c>
      <c r="D715" s="5">
        <v>165</v>
      </c>
      <c r="E715" s="5">
        <v>160</v>
      </c>
      <c r="F715" s="5">
        <v>162</v>
      </c>
      <c r="G715" s="5">
        <v>17000</v>
      </c>
      <c r="I715" s="6">
        <v>40870</v>
      </c>
      <c r="J715" s="7">
        <v>0.66666666666666663</v>
      </c>
      <c r="K715" s="5">
        <v>5399.7002000000002</v>
      </c>
      <c r="L715" s="5">
        <v>5600</v>
      </c>
      <c r="M715" s="5">
        <v>5361</v>
      </c>
      <c r="N715" s="5">
        <v>5440</v>
      </c>
      <c r="O715" s="5">
        <v>879</v>
      </c>
      <c r="Q715" s="6">
        <v>39212</v>
      </c>
      <c r="R715" s="7">
        <v>0.66666666666666663</v>
      </c>
      <c r="S715" s="5">
        <v>98.6</v>
      </c>
      <c r="T715" s="5">
        <v>102.35</v>
      </c>
      <c r="U715" s="5">
        <v>98.6</v>
      </c>
      <c r="V715" s="5">
        <v>102.35</v>
      </c>
      <c r="W715" s="5">
        <v>1729000</v>
      </c>
      <c r="Y715" s="6">
        <f t="shared" si="22"/>
        <v>40870</v>
      </c>
      <c r="Z715" s="5">
        <f t="shared" si="23"/>
        <v>5440</v>
      </c>
      <c r="AA715" s="5">
        <v>119.97</v>
      </c>
      <c r="AB715" s="5">
        <v>101.24</v>
      </c>
    </row>
    <row r="716" spans="1:28" x14ac:dyDescent="0.3">
      <c r="A716" s="6">
        <v>39232</v>
      </c>
      <c r="B716" s="7">
        <v>0.66666666666666663</v>
      </c>
      <c r="C716" s="5">
        <v>159</v>
      </c>
      <c r="D716" s="5">
        <v>162.5</v>
      </c>
      <c r="E716" s="5">
        <v>159</v>
      </c>
      <c r="F716" s="5">
        <v>161</v>
      </c>
      <c r="G716" s="5">
        <v>5300</v>
      </c>
      <c r="I716" s="6">
        <v>40871</v>
      </c>
      <c r="J716" s="7">
        <v>0.66666666666666663</v>
      </c>
      <c r="K716" s="5">
        <v>5440</v>
      </c>
      <c r="L716" s="5">
        <v>5649</v>
      </c>
      <c r="M716" s="5">
        <v>5351</v>
      </c>
      <c r="N716" s="5">
        <v>5444.4198999999999</v>
      </c>
      <c r="O716" s="5">
        <v>50</v>
      </c>
      <c r="Q716" s="6">
        <v>39213</v>
      </c>
      <c r="R716" s="7">
        <v>0.66666666666666663</v>
      </c>
      <c r="S716" s="5">
        <v>105.2</v>
      </c>
      <c r="T716" s="5">
        <v>107.45</v>
      </c>
      <c r="U716" s="5">
        <v>105.2</v>
      </c>
      <c r="V716" s="5">
        <v>107.45</v>
      </c>
      <c r="W716" s="5">
        <v>756400</v>
      </c>
      <c r="Y716" s="6">
        <f t="shared" si="22"/>
        <v>40871</v>
      </c>
      <c r="Z716" s="5">
        <f t="shared" si="23"/>
        <v>5444.4198999999999</v>
      </c>
      <c r="AA716" s="5">
        <v>123.03</v>
      </c>
      <c r="AB716" s="5">
        <v>100.31</v>
      </c>
    </row>
    <row r="717" spans="1:28" x14ac:dyDescent="0.3">
      <c r="A717" s="6">
        <v>39233</v>
      </c>
      <c r="B717" s="7">
        <v>0.66666666666666663</v>
      </c>
      <c r="C717" s="5">
        <v>162.94999999999999</v>
      </c>
      <c r="D717" s="5">
        <v>162.94999999999999</v>
      </c>
      <c r="E717" s="5">
        <v>161</v>
      </c>
      <c r="F717" s="5">
        <v>162.5</v>
      </c>
      <c r="G717" s="5">
        <v>2400</v>
      </c>
      <c r="I717" s="6">
        <v>40872</v>
      </c>
      <c r="J717" s="7">
        <v>0.66666666666666663</v>
      </c>
      <c r="K717" s="5">
        <v>5444.4198999999999</v>
      </c>
      <c r="L717" s="5">
        <v>5550</v>
      </c>
      <c r="M717" s="5">
        <v>5400</v>
      </c>
      <c r="N717" s="5">
        <v>5440.2002000000002</v>
      </c>
      <c r="O717" s="5">
        <v>7</v>
      </c>
      <c r="Q717" s="6">
        <v>39216</v>
      </c>
      <c r="R717" s="7">
        <v>0.66666666666666663</v>
      </c>
      <c r="S717" s="5">
        <v>107.45</v>
      </c>
      <c r="T717" s="5">
        <v>112.8</v>
      </c>
      <c r="U717" s="5">
        <v>102.15</v>
      </c>
      <c r="V717" s="5">
        <v>112.8</v>
      </c>
      <c r="W717" s="5">
        <v>1666400</v>
      </c>
      <c r="Y717" s="6">
        <f t="shared" si="22"/>
        <v>40872</v>
      </c>
      <c r="Z717" s="5">
        <f t="shared" si="23"/>
        <v>5440.2002000000002</v>
      </c>
      <c r="AA717" s="5">
        <v>120.13</v>
      </c>
      <c r="AB717" s="5">
        <v>100.37</v>
      </c>
    </row>
    <row r="718" spans="1:28" x14ac:dyDescent="0.3">
      <c r="A718" s="6">
        <v>39234</v>
      </c>
      <c r="B718" s="7">
        <v>0.66666666666666663</v>
      </c>
      <c r="C718" s="5">
        <v>163</v>
      </c>
      <c r="D718" s="5">
        <v>164.25</v>
      </c>
      <c r="E718" s="5">
        <v>163</v>
      </c>
      <c r="F718" s="5">
        <v>163.5</v>
      </c>
      <c r="G718" s="5">
        <v>9900</v>
      </c>
      <c r="I718" s="6">
        <v>40875</v>
      </c>
      <c r="J718" s="7">
        <v>0.66666666666666663</v>
      </c>
      <c r="K718" s="5">
        <v>5440.2002000000002</v>
      </c>
      <c r="L718" s="5">
        <v>5700</v>
      </c>
      <c r="M718" s="5">
        <v>5202.0097999999998</v>
      </c>
      <c r="N718" s="5">
        <v>5493.2201999999997</v>
      </c>
      <c r="O718" s="5">
        <v>114</v>
      </c>
      <c r="Q718" s="6">
        <v>39217</v>
      </c>
      <c r="R718" s="7">
        <v>0.66666666666666663</v>
      </c>
      <c r="S718" s="5">
        <v>112.8</v>
      </c>
      <c r="T718" s="5">
        <v>118.4</v>
      </c>
      <c r="U718" s="5">
        <v>112.5</v>
      </c>
      <c r="V718" s="5">
        <v>116.1</v>
      </c>
      <c r="W718" s="5">
        <v>2988400</v>
      </c>
      <c r="Y718" s="6">
        <f t="shared" si="22"/>
        <v>40875</v>
      </c>
      <c r="Z718" s="5">
        <f t="shared" si="23"/>
        <v>5493.2201999999997</v>
      </c>
      <c r="AA718" s="5">
        <v>115.99</v>
      </c>
      <c r="AB718" s="5">
        <v>100</v>
      </c>
    </row>
    <row r="719" spans="1:28" x14ac:dyDescent="0.3">
      <c r="A719" s="6">
        <v>39237</v>
      </c>
      <c r="B719" s="7">
        <v>0.66666666666666663</v>
      </c>
      <c r="C719" s="5">
        <v>162.5</v>
      </c>
      <c r="D719" s="5">
        <v>163.5</v>
      </c>
      <c r="E719" s="5">
        <v>161.25</v>
      </c>
      <c r="F719" s="5">
        <v>161.25</v>
      </c>
      <c r="G719" s="5">
        <v>3100</v>
      </c>
      <c r="I719" s="6">
        <v>40876</v>
      </c>
      <c r="J719" s="7">
        <v>0.66666666666666663</v>
      </c>
      <c r="K719" s="5">
        <v>5493.2201999999997</v>
      </c>
      <c r="L719" s="5">
        <v>5748.9902000000002</v>
      </c>
      <c r="M719" s="5">
        <v>5465</v>
      </c>
      <c r="N719" s="5">
        <v>5518.6000999999997</v>
      </c>
      <c r="O719" s="5">
        <v>8</v>
      </c>
      <c r="Q719" s="6">
        <v>39218</v>
      </c>
      <c r="R719" s="7">
        <v>0.66666666666666663</v>
      </c>
      <c r="S719" s="5">
        <v>116.1</v>
      </c>
      <c r="T719" s="5">
        <v>118.25</v>
      </c>
      <c r="U719" s="5">
        <v>110.3</v>
      </c>
      <c r="V719" s="5">
        <v>110.35</v>
      </c>
      <c r="W719" s="5">
        <v>1545000</v>
      </c>
      <c r="Y719" s="6">
        <f t="shared" si="22"/>
        <v>40876</v>
      </c>
      <c r="Z719" s="5">
        <f t="shared" si="23"/>
        <v>5518.6000999999997</v>
      </c>
      <c r="AA719" s="5">
        <v>119.18</v>
      </c>
      <c r="AB719" s="5">
        <v>99.52</v>
      </c>
    </row>
    <row r="720" spans="1:28" x14ac:dyDescent="0.3">
      <c r="A720" s="6">
        <v>39238</v>
      </c>
      <c r="B720" s="7">
        <v>0.66666666666666663</v>
      </c>
      <c r="C720" s="5">
        <v>162</v>
      </c>
      <c r="D720" s="5">
        <v>162.85</v>
      </c>
      <c r="E720" s="5">
        <v>161.5</v>
      </c>
      <c r="F720" s="5">
        <v>162.19999999999999</v>
      </c>
      <c r="G720" s="5">
        <v>2200</v>
      </c>
      <c r="I720" s="6">
        <v>40877</v>
      </c>
      <c r="J720" s="7">
        <v>0.66666666666666663</v>
      </c>
      <c r="K720" s="5">
        <v>5518.6000999999997</v>
      </c>
      <c r="L720" s="5">
        <v>5547</v>
      </c>
      <c r="M720" s="5">
        <v>5400</v>
      </c>
      <c r="N720" s="5">
        <v>5528.3999000000003</v>
      </c>
      <c r="O720" s="5">
        <v>7</v>
      </c>
      <c r="Q720" s="6">
        <v>39219</v>
      </c>
      <c r="R720" s="7">
        <v>0.66666666666666663</v>
      </c>
      <c r="S720" s="5">
        <v>110.35</v>
      </c>
      <c r="T720" s="5">
        <v>112.5</v>
      </c>
      <c r="U720" s="5">
        <v>106.25</v>
      </c>
      <c r="V720" s="5">
        <v>109.95</v>
      </c>
      <c r="W720" s="5">
        <v>1761200</v>
      </c>
      <c r="Y720" s="6">
        <f t="shared" si="22"/>
        <v>40877</v>
      </c>
      <c r="Z720" s="5">
        <f t="shared" si="23"/>
        <v>5528.3999000000003</v>
      </c>
      <c r="AA720" s="5">
        <v>119.32</v>
      </c>
      <c r="AB720" s="5">
        <v>102.5</v>
      </c>
    </row>
    <row r="721" spans="1:28" x14ac:dyDescent="0.3">
      <c r="A721" s="6">
        <v>39239</v>
      </c>
      <c r="B721" s="7">
        <v>0.66666666666666663</v>
      </c>
      <c r="C721" s="5">
        <v>162.30000000000001</v>
      </c>
      <c r="D721" s="5">
        <v>164.5</v>
      </c>
      <c r="E721" s="5">
        <v>162.30000000000001</v>
      </c>
      <c r="F721" s="5">
        <v>162.94999999999999</v>
      </c>
      <c r="G721" s="5">
        <v>6700</v>
      </c>
      <c r="I721" s="6">
        <v>40878</v>
      </c>
      <c r="J721" s="7">
        <v>0.66666666666666663</v>
      </c>
      <c r="K721" s="5">
        <v>5528.3999000000003</v>
      </c>
      <c r="L721" s="5">
        <v>5539</v>
      </c>
      <c r="M721" s="5">
        <v>5410.0097999999998</v>
      </c>
      <c r="N721" s="5">
        <v>5474.7997999999998</v>
      </c>
      <c r="O721" s="5">
        <v>8</v>
      </c>
      <c r="Q721" s="6">
        <v>39220</v>
      </c>
      <c r="R721" s="7">
        <v>0.66666666666666663</v>
      </c>
      <c r="S721" s="5">
        <v>110</v>
      </c>
      <c r="T721" s="5">
        <v>112.7</v>
      </c>
      <c r="U721" s="5">
        <v>110</v>
      </c>
      <c r="V721" s="5">
        <v>110.75</v>
      </c>
      <c r="W721" s="5">
        <v>994600</v>
      </c>
      <c r="Y721" s="6">
        <f t="shared" si="22"/>
        <v>40878</v>
      </c>
      <c r="Z721" s="5">
        <f t="shared" si="23"/>
        <v>5474.7997999999998</v>
      </c>
      <c r="AA721" s="5">
        <v>118.26</v>
      </c>
      <c r="AB721" s="5">
        <v>100.75</v>
      </c>
    </row>
    <row r="722" spans="1:28" x14ac:dyDescent="0.3">
      <c r="A722" s="6">
        <v>39240</v>
      </c>
      <c r="B722" s="7">
        <v>0.66666666666666663</v>
      </c>
      <c r="C722" s="5">
        <v>163.9</v>
      </c>
      <c r="D722" s="5">
        <v>163.9</v>
      </c>
      <c r="E722" s="5">
        <v>161.80000000000001</v>
      </c>
      <c r="F722" s="5">
        <v>163.75</v>
      </c>
      <c r="G722" s="5">
        <v>7900</v>
      </c>
      <c r="I722" s="6">
        <v>40879</v>
      </c>
      <c r="J722" s="7">
        <v>0.66666666666666663</v>
      </c>
      <c r="K722" s="5">
        <v>5474.7997999999998</v>
      </c>
      <c r="L722" s="5">
        <v>5698</v>
      </c>
      <c r="M722" s="5">
        <v>5255</v>
      </c>
      <c r="N722" s="5">
        <v>5495.7997999999998</v>
      </c>
      <c r="O722" s="5">
        <v>33</v>
      </c>
      <c r="Q722" s="6">
        <v>39223</v>
      </c>
      <c r="R722" s="7">
        <v>0.66666666666666663</v>
      </c>
      <c r="S722" s="5">
        <v>110.5</v>
      </c>
      <c r="T722" s="5">
        <v>110.5</v>
      </c>
      <c r="U722" s="5">
        <v>108.5</v>
      </c>
      <c r="V722" s="5">
        <v>109.35</v>
      </c>
      <c r="W722" s="5">
        <v>614700</v>
      </c>
      <c r="Y722" s="6">
        <f t="shared" si="22"/>
        <v>40879</v>
      </c>
      <c r="Z722" s="5">
        <f t="shared" si="23"/>
        <v>5495.7997999999998</v>
      </c>
      <c r="AA722" s="5">
        <v>115.44</v>
      </c>
      <c r="AB722" s="5">
        <v>100.63</v>
      </c>
    </row>
    <row r="723" spans="1:28" x14ac:dyDescent="0.3">
      <c r="A723" s="6">
        <v>39241</v>
      </c>
      <c r="B723" s="7">
        <v>0.66666666666666663</v>
      </c>
      <c r="C723" s="5">
        <v>164</v>
      </c>
      <c r="D723" s="5">
        <v>168</v>
      </c>
      <c r="E723" s="5">
        <v>163.5</v>
      </c>
      <c r="F723" s="5">
        <v>167</v>
      </c>
      <c r="G723" s="5">
        <v>21100</v>
      </c>
      <c r="I723" s="6">
        <v>40884</v>
      </c>
      <c r="J723" s="7">
        <v>0.66666666666666663</v>
      </c>
      <c r="K723" s="5">
        <v>5455.5497999999998</v>
      </c>
      <c r="L723" s="5">
        <v>5455.5497999999998</v>
      </c>
      <c r="M723" s="5">
        <v>5376.1499000000003</v>
      </c>
      <c r="N723" s="5">
        <v>5412.8397999999997</v>
      </c>
      <c r="O723" s="5">
        <v>187</v>
      </c>
      <c r="Q723" s="6">
        <v>39224</v>
      </c>
      <c r="R723" s="7">
        <v>0.66666666666666663</v>
      </c>
      <c r="S723" s="5">
        <v>109.35</v>
      </c>
      <c r="T723" s="5">
        <v>112.9</v>
      </c>
      <c r="U723" s="5">
        <v>109</v>
      </c>
      <c r="V723" s="5">
        <v>110.8</v>
      </c>
      <c r="W723" s="5">
        <v>921500</v>
      </c>
      <c r="Y723" s="6">
        <f t="shared" si="22"/>
        <v>40884</v>
      </c>
      <c r="Z723" s="5">
        <f t="shared" si="23"/>
        <v>5412.8397999999997</v>
      </c>
      <c r="AA723" s="5">
        <v>110.95</v>
      </c>
      <c r="AB723" s="5">
        <v>100.63</v>
      </c>
    </row>
    <row r="724" spans="1:28" x14ac:dyDescent="0.3">
      <c r="A724" s="6">
        <v>39244</v>
      </c>
      <c r="B724" s="7">
        <v>0.66666666666666663</v>
      </c>
      <c r="C724" s="5">
        <v>169.7</v>
      </c>
      <c r="D724" s="5">
        <v>172</v>
      </c>
      <c r="E724" s="5">
        <v>168</v>
      </c>
      <c r="F724" s="5">
        <v>168.5</v>
      </c>
      <c r="G724" s="5">
        <v>33900</v>
      </c>
      <c r="I724" s="6">
        <v>40885</v>
      </c>
      <c r="J724" s="7">
        <v>0.66666666666666663</v>
      </c>
      <c r="K724" s="5">
        <v>5412.8397999999997</v>
      </c>
      <c r="L724" s="5">
        <v>5475</v>
      </c>
      <c r="M724" s="5">
        <v>5351</v>
      </c>
      <c r="N724" s="5">
        <v>5445</v>
      </c>
      <c r="O724" s="5">
        <v>27</v>
      </c>
      <c r="Q724" s="6">
        <v>39225</v>
      </c>
      <c r="R724" s="7">
        <v>0.66666666666666663</v>
      </c>
      <c r="S724" s="5">
        <v>110.8</v>
      </c>
      <c r="T724" s="5">
        <v>113.8</v>
      </c>
      <c r="U724" s="5">
        <v>110.2</v>
      </c>
      <c r="V724" s="5">
        <v>111.1</v>
      </c>
      <c r="W724" s="5">
        <v>839900</v>
      </c>
      <c r="Y724" s="6">
        <f t="shared" si="22"/>
        <v>40885</v>
      </c>
      <c r="Z724" s="5">
        <f t="shared" si="23"/>
        <v>5445</v>
      </c>
      <c r="AA724" s="5">
        <v>115.68</v>
      </c>
      <c r="AB724" s="5">
        <v>101.11</v>
      </c>
    </row>
    <row r="725" spans="1:28" x14ac:dyDescent="0.3">
      <c r="A725" s="6">
        <v>39245</v>
      </c>
      <c r="B725" s="7">
        <v>0.66666666666666663</v>
      </c>
      <c r="C725" s="5">
        <v>171</v>
      </c>
      <c r="D725" s="5">
        <v>174</v>
      </c>
      <c r="E725" s="5">
        <v>170.1</v>
      </c>
      <c r="F725" s="5">
        <v>174</v>
      </c>
      <c r="G725" s="5">
        <v>17000</v>
      </c>
      <c r="I725" s="6">
        <v>40886</v>
      </c>
      <c r="J725" s="7">
        <v>0.66666666666666663</v>
      </c>
      <c r="K725" s="5">
        <v>5445</v>
      </c>
      <c r="L725" s="5">
        <v>5600</v>
      </c>
      <c r="M725" s="5">
        <v>5380</v>
      </c>
      <c r="N725" s="5">
        <v>5434.7997999999998</v>
      </c>
      <c r="O725" s="5">
        <v>7</v>
      </c>
      <c r="Q725" s="6">
        <v>39226</v>
      </c>
      <c r="R725" s="7">
        <v>0.66666666666666663</v>
      </c>
      <c r="S725" s="5">
        <v>112</v>
      </c>
      <c r="T725" s="5">
        <v>114.7</v>
      </c>
      <c r="U725" s="5">
        <v>112</v>
      </c>
      <c r="V725" s="5">
        <v>113.2</v>
      </c>
      <c r="W725" s="5">
        <v>1477900</v>
      </c>
      <c r="Y725" s="6">
        <f t="shared" si="22"/>
        <v>40886</v>
      </c>
      <c r="Z725" s="5">
        <f t="shared" si="23"/>
        <v>5434.7997999999998</v>
      </c>
      <c r="AA725" s="5">
        <v>115.05</v>
      </c>
      <c r="AB725" s="5">
        <v>101.11</v>
      </c>
    </row>
    <row r="726" spans="1:28" x14ac:dyDescent="0.3">
      <c r="A726" s="6">
        <v>39246</v>
      </c>
      <c r="B726" s="7">
        <v>0.66666666666666663</v>
      </c>
      <c r="C726" s="5">
        <v>175</v>
      </c>
      <c r="D726" s="5">
        <v>182.7</v>
      </c>
      <c r="E726" s="5">
        <v>175</v>
      </c>
      <c r="F726" s="5">
        <v>182.7</v>
      </c>
      <c r="G726" s="5">
        <v>85700</v>
      </c>
      <c r="I726" s="6">
        <v>40889</v>
      </c>
      <c r="J726" s="7">
        <v>0.66666666666666663</v>
      </c>
      <c r="K726" s="5">
        <v>5434.7997999999998</v>
      </c>
      <c r="L726" s="5">
        <v>5475</v>
      </c>
      <c r="M726" s="5">
        <v>5381.1000999999997</v>
      </c>
      <c r="N726" s="5">
        <v>5385.04</v>
      </c>
      <c r="O726" s="5">
        <v>8</v>
      </c>
      <c r="Q726" s="6">
        <v>39227</v>
      </c>
      <c r="R726" s="7">
        <v>0.66666666666666663</v>
      </c>
      <c r="S726" s="5">
        <v>114</v>
      </c>
      <c r="T726" s="5">
        <v>118.85</v>
      </c>
      <c r="U726" s="5">
        <v>114</v>
      </c>
      <c r="V726" s="5">
        <v>118.85</v>
      </c>
      <c r="W726" s="5">
        <v>1981500</v>
      </c>
      <c r="Y726" s="6">
        <f t="shared" si="22"/>
        <v>40889</v>
      </c>
      <c r="Z726" s="5">
        <f t="shared" si="23"/>
        <v>5385.04</v>
      </c>
      <c r="AA726" s="5">
        <v>113.11</v>
      </c>
      <c r="AB726" s="5">
        <v>101.11</v>
      </c>
    </row>
    <row r="727" spans="1:28" x14ac:dyDescent="0.3">
      <c r="A727" s="6">
        <v>39247</v>
      </c>
      <c r="B727" s="7">
        <v>0.66666666666666663</v>
      </c>
      <c r="C727" s="5">
        <v>185.5</v>
      </c>
      <c r="D727" s="5">
        <v>189.85</v>
      </c>
      <c r="E727" s="5">
        <v>181</v>
      </c>
      <c r="F727" s="5">
        <v>181.7</v>
      </c>
      <c r="G727" s="5">
        <v>83300</v>
      </c>
      <c r="I727" s="6">
        <v>40890</v>
      </c>
      <c r="J727" s="7">
        <v>0.66666666666666663</v>
      </c>
      <c r="K727" s="5">
        <v>5385.04</v>
      </c>
      <c r="L727" s="5">
        <v>5465</v>
      </c>
      <c r="M727" s="5">
        <v>5340.02</v>
      </c>
      <c r="N727" s="5">
        <v>5416.5801000000001</v>
      </c>
      <c r="O727" s="5">
        <v>8</v>
      </c>
      <c r="Q727" s="6">
        <v>39230</v>
      </c>
      <c r="R727" s="7">
        <v>0.66666666666666663</v>
      </c>
      <c r="S727" s="5">
        <v>120.2</v>
      </c>
      <c r="T727" s="5">
        <v>124.75</v>
      </c>
      <c r="U727" s="5">
        <v>120.2</v>
      </c>
      <c r="V727" s="5">
        <v>123.8</v>
      </c>
      <c r="W727" s="5">
        <v>1889900</v>
      </c>
      <c r="Y727" s="6">
        <f t="shared" si="22"/>
        <v>40890</v>
      </c>
      <c r="Z727" s="5">
        <f t="shared" si="23"/>
        <v>5416.5801000000001</v>
      </c>
      <c r="AA727" s="5">
        <v>112.51</v>
      </c>
      <c r="AB727" s="5" t="e">
        <v>#N/A</v>
      </c>
    </row>
    <row r="728" spans="1:28" x14ac:dyDescent="0.3">
      <c r="A728" s="6">
        <v>39248</v>
      </c>
      <c r="B728" s="7">
        <v>0.66666666666666663</v>
      </c>
      <c r="C728" s="5">
        <v>178.6</v>
      </c>
      <c r="D728" s="5">
        <v>185</v>
      </c>
      <c r="E728" s="5">
        <v>177.05</v>
      </c>
      <c r="F728" s="5">
        <v>181.45</v>
      </c>
      <c r="G728" s="5">
        <v>38800</v>
      </c>
      <c r="I728" s="6">
        <v>40891</v>
      </c>
      <c r="J728" s="7">
        <v>0.66666666666666663</v>
      </c>
      <c r="K728" s="5">
        <v>5416.5801000000001</v>
      </c>
      <c r="L728" s="5">
        <v>5440</v>
      </c>
      <c r="M728" s="5">
        <v>5395</v>
      </c>
      <c r="N728" s="5">
        <v>5406.6698999999999</v>
      </c>
      <c r="O728" s="5">
        <v>13</v>
      </c>
      <c r="Q728" s="6">
        <v>39231</v>
      </c>
      <c r="R728" s="7">
        <v>0.66666666666666663</v>
      </c>
      <c r="S728" s="5">
        <v>123.8</v>
      </c>
      <c r="T728" s="5">
        <v>125.5</v>
      </c>
      <c r="U728" s="5">
        <v>121.5</v>
      </c>
      <c r="V728" s="5">
        <v>122.25</v>
      </c>
      <c r="W728" s="5">
        <v>1129600</v>
      </c>
      <c r="Y728" s="6">
        <f t="shared" si="22"/>
        <v>40891</v>
      </c>
      <c r="Z728" s="5">
        <f t="shared" si="23"/>
        <v>5406.6698999999999</v>
      </c>
      <c r="AA728" s="5">
        <v>111.08</v>
      </c>
      <c r="AB728" s="5">
        <v>100.83</v>
      </c>
    </row>
    <row r="729" spans="1:28" x14ac:dyDescent="0.3">
      <c r="A729" s="6">
        <v>39251</v>
      </c>
      <c r="B729" s="7">
        <v>0.66666666666666663</v>
      </c>
      <c r="C729" s="5">
        <v>183</v>
      </c>
      <c r="D729" s="5">
        <v>183.5</v>
      </c>
      <c r="E729" s="5">
        <v>181</v>
      </c>
      <c r="F729" s="5">
        <v>182.9</v>
      </c>
      <c r="G729" s="5">
        <v>20900</v>
      </c>
      <c r="I729" s="6">
        <v>40892</v>
      </c>
      <c r="J729" s="7">
        <v>0.66666666666666663</v>
      </c>
      <c r="K729" s="5">
        <v>5406.6698999999999</v>
      </c>
      <c r="L729" s="5">
        <v>5443.9902000000002</v>
      </c>
      <c r="M729" s="5">
        <v>5200</v>
      </c>
      <c r="N729" s="5">
        <v>5329.7997999999998</v>
      </c>
      <c r="O729" s="5">
        <v>208</v>
      </c>
      <c r="Q729" s="6">
        <v>39232</v>
      </c>
      <c r="R729" s="7">
        <v>0.66666666666666663</v>
      </c>
      <c r="S729" s="5">
        <v>122.25</v>
      </c>
      <c r="T729" s="5">
        <v>124.4</v>
      </c>
      <c r="U729" s="5">
        <v>121.05</v>
      </c>
      <c r="V729" s="5">
        <v>121.7</v>
      </c>
      <c r="W729" s="5">
        <v>1019200</v>
      </c>
      <c r="Y729" s="6">
        <f t="shared" si="22"/>
        <v>40892</v>
      </c>
      <c r="Z729" s="5">
        <f t="shared" si="23"/>
        <v>5329.7997999999998</v>
      </c>
      <c r="AA729" s="5">
        <v>107.86</v>
      </c>
      <c r="AB729" s="5">
        <v>99.3</v>
      </c>
    </row>
    <row r="730" spans="1:28" x14ac:dyDescent="0.3">
      <c r="A730" s="6">
        <v>39252</v>
      </c>
      <c r="B730" s="7">
        <v>0.66666666666666663</v>
      </c>
      <c r="C730" s="5">
        <v>181</v>
      </c>
      <c r="D730" s="5">
        <v>181</v>
      </c>
      <c r="E730" s="5">
        <v>178</v>
      </c>
      <c r="F730" s="5">
        <v>179.5</v>
      </c>
      <c r="G730" s="5">
        <v>9100</v>
      </c>
      <c r="I730" s="6">
        <v>40893</v>
      </c>
      <c r="J730" s="7">
        <v>0.66666666666666663</v>
      </c>
      <c r="K730" s="5">
        <v>5329.7997999999998</v>
      </c>
      <c r="L730" s="5">
        <v>5590</v>
      </c>
      <c r="M730" s="5">
        <v>5200.0097999999998</v>
      </c>
      <c r="N730" s="5">
        <v>5327.6000999999997</v>
      </c>
      <c r="O730" s="5">
        <v>12</v>
      </c>
      <c r="Q730" s="6">
        <v>39233</v>
      </c>
      <c r="R730" s="7">
        <v>0.66666666666666663</v>
      </c>
      <c r="S730" s="5">
        <v>121.7</v>
      </c>
      <c r="T730" s="5">
        <v>123.3</v>
      </c>
      <c r="U730" s="5">
        <v>119.6</v>
      </c>
      <c r="V730" s="5">
        <v>119.8</v>
      </c>
      <c r="W730" s="5">
        <v>864100</v>
      </c>
      <c r="Y730" s="6">
        <f t="shared" si="22"/>
        <v>40893</v>
      </c>
      <c r="Z730" s="5">
        <f t="shared" si="23"/>
        <v>5327.6000999999997</v>
      </c>
      <c r="AA730" s="5">
        <v>106.21</v>
      </c>
      <c r="AB730" s="5">
        <v>99.97</v>
      </c>
    </row>
    <row r="731" spans="1:28" x14ac:dyDescent="0.3">
      <c r="A731" s="6">
        <v>39253</v>
      </c>
      <c r="B731" s="7">
        <v>0.66666666666666663</v>
      </c>
      <c r="C731" s="5">
        <v>178.2</v>
      </c>
      <c r="D731" s="5">
        <v>179</v>
      </c>
      <c r="E731" s="5">
        <v>175</v>
      </c>
      <c r="F731" s="5">
        <v>177.7</v>
      </c>
      <c r="G731" s="5">
        <v>12000</v>
      </c>
      <c r="I731" s="6">
        <v>40896</v>
      </c>
      <c r="J731" s="7">
        <v>0.66666666666666663</v>
      </c>
      <c r="K731" s="5">
        <v>5327.6000999999997</v>
      </c>
      <c r="L731" s="5">
        <v>5480</v>
      </c>
      <c r="M731" s="5">
        <v>5276.02</v>
      </c>
      <c r="N731" s="5">
        <v>5387.25</v>
      </c>
      <c r="O731" s="5">
        <v>43</v>
      </c>
      <c r="Q731" s="6">
        <v>39234</v>
      </c>
      <c r="R731" s="7">
        <v>0.66666666666666663</v>
      </c>
      <c r="S731" s="5">
        <v>119.8</v>
      </c>
      <c r="T731" s="5">
        <v>121.5</v>
      </c>
      <c r="U731" s="5">
        <v>116.5</v>
      </c>
      <c r="V731" s="5">
        <v>116.55</v>
      </c>
      <c r="W731" s="5">
        <v>486000</v>
      </c>
      <c r="Y731" s="6">
        <f t="shared" si="22"/>
        <v>40896</v>
      </c>
      <c r="Z731" s="5">
        <f t="shared" si="23"/>
        <v>5387.25</v>
      </c>
      <c r="AA731" s="5">
        <v>107.92</v>
      </c>
      <c r="AB731" s="5">
        <v>100.8</v>
      </c>
    </row>
    <row r="732" spans="1:28" x14ac:dyDescent="0.3">
      <c r="A732" s="6">
        <v>39254</v>
      </c>
      <c r="B732" s="7">
        <v>0.66666666666666663</v>
      </c>
      <c r="C732" s="5">
        <v>178</v>
      </c>
      <c r="D732" s="5">
        <v>180</v>
      </c>
      <c r="E732" s="5">
        <v>176.5</v>
      </c>
      <c r="F732" s="5">
        <v>176.7</v>
      </c>
      <c r="G732" s="5">
        <v>13400</v>
      </c>
      <c r="I732" s="6">
        <v>40897</v>
      </c>
      <c r="J732" s="7">
        <v>0.66666666666666663</v>
      </c>
      <c r="K732" s="5">
        <v>5387.25</v>
      </c>
      <c r="L732" s="5">
        <v>5424</v>
      </c>
      <c r="M732" s="5">
        <v>5260</v>
      </c>
      <c r="N732" s="5">
        <v>5399.96</v>
      </c>
      <c r="O732" s="5">
        <v>371</v>
      </c>
      <c r="Q732" s="6">
        <v>39237</v>
      </c>
      <c r="R732" s="7">
        <v>0.66666666666666663</v>
      </c>
      <c r="S732" s="5">
        <v>116.55</v>
      </c>
      <c r="T732" s="5">
        <v>117.75</v>
      </c>
      <c r="U732" s="5">
        <v>114</v>
      </c>
      <c r="V732" s="5">
        <v>115.5</v>
      </c>
      <c r="W732" s="5">
        <v>453800</v>
      </c>
      <c r="Y732" s="6">
        <f t="shared" si="22"/>
        <v>40897</v>
      </c>
      <c r="Z732" s="5">
        <f t="shared" si="23"/>
        <v>5399.96</v>
      </c>
      <c r="AA732" s="5">
        <v>111.52</v>
      </c>
      <c r="AB732" s="5">
        <v>99</v>
      </c>
    </row>
    <row r="733" spans="1:28" x14ac:dyDescent="0.3">
      <c r="A733" s="6">
        <v>39255</v>
      </c>
      <c r="B733" s="7">
        <v>0.66666666666666663</v>
      </c>
      <c r="C733" s="5">
        <v>176.5</v>
      </c>
      <c r="D733" s="5">
        <v>179</v>
      </c>
      <c r="E733" s="5">
        <v>174</v>
      </c>
      <c r="F733" s="5">
        <v>178.5</v>
      </c>
      <c r="G733" s="5">
        <v>23800</v>
      </c>
      <c r="I733" s="6">
        <v>40898</v>
      </c>
      <c r="J733" s="7">
        <v>0.66666666666666663</v>
      </c>
      <c r="K733" s="5">
        <v>5400</v>
      </c>
      <c r="L733" s="5">
        <v>5440</v>
      </c>
      <c r="M733" s="5">
        <v>5400</v>
      </c>
      <c r="N733" s="5">
        <v>5400.5698000000002</v>
      </c>
      <c r="O733" s="5">
        <v>80</v>
      </c>
      <c r="Q733" s="6">
        <v>39238</v>
      </c>
      <c r="R733" s="7">
        <v>0.66666666666666663</v>
      </c>
      <c r="S733" s="5">
        <v>115.5</v>
      </c>
      <c r="T733" s="5">
        <v>121</v>
      </c>
      <c r="U733" s="5">
        <v>115.25</v>
      </c>
      <c r="V733" s="5">
        <v>120</v>
      </c>
      <c r="W733" s="5">
        <v>1089700</v>
      </c>
      <c r="Y733" s="6">
        <f t="shared" si="22"/>
        <v>40898</v>
      </c>
      <c r="Z733" s="5">
        <f t="shared" si="23"/>
        <v>5400.5698000000002</v>
      </c>
      <c r="AA733" s="5">
        <v>109.78</v>
      </c>
      <c r="AB733" s="5">
        <v>99.54</v>
      </c>
    </row>
    <row r="734" spans="1:28" x14ac:dyDescent="0.3">
      <c r="A734" s="6">
        <v>39258</v>
      </c>
      <c r="B734" s="7">
        <v>0.66666666666666663</v>
      </c>
      <c r="C734" s="5">
        <v>175.5</v>
      </c>
      <c r="D734" s="5">
        <v>182.5</v>
      </c>
      <c r="E734" s="5">
        <v>175.05</v>
      </c>
      <c r="F734" s="5">
        <v>178</v>
      </c>
      <c r="G734" s="5">
        <v>23400</v>
      </c>
      <c r="I734" s="6">
        <v>40899</v>
      </c>
      <c r="J734" s="7">
        <v>0.66666666666666663</v>
      </c>
      <c r="K734" s="5">
        <v>5400.5698000000002</v>
      </c>
      <c r="L734" s="5">
        <v>5550</v>
      </c>
      <c r="M734" s="5">
        <v>5302.1099000000004</v>
      </c>
      <c r="N734" s="5">
        <v>5547.5</v>
      </c>
      <c r="O734" s="5">
        <v>132</v>
      </c>
      <c r="Q734" s="6">
        <v>39239</v>
      </c>
      <c r="R734" s="7">
        <v>0.66666666666666663</v>
      </c>
      <c r="S734" s="5">
        <v>120</v>
      </c>
      <c r="T734" s="5">
        <v>120.3</v>
      </c>
      <c r="U734" s="5">
        <v>115.2</v>
      </c>
      <c r="V734" s="5">
        <v>115.85</v>
      </c>
      <c r="W734" s="5">
        <v>444800</v>
      </c>
      <c r="Y734" s="6">
        <f t="shared" si="22"/>
        <v>40899</v>
      </c>
      <c r="Z734" s="5">
        <f t="shared" si="23"/>
        <v>5547.5</v>
      </c>
      <c r="AA734" s="5">
        <v>110.08</v>
      </c>
      <c r="AB734" s="5">
        <v>99.54</v>
      </c>
    </row>
    <row r="735" spans="1:28" x14ac:dyDescent="0.3">
      <c r="A735" s="6">
        <v>39259</v>
      </c>
      <c r="B735" s="7">
        <v>0.66666666666666663</v>
      </c>
      <c r="C735" s="5">
        <v>180</v>
      </c>
      <c r="D735" s="5">
        <v>181.9</v>
      </c>
      <c r="E735" s="5">
        <v>178</v>
      </c>
      <c r="F735" s="5">
        <v>181</v>
      </c>
      <c r="G735" s="5">
        <v>14000</v>
      </c>
      <c r="I735" s="6">
        <v>40900</v>
      </c>
      <c r="J735" s="7">
        <v>0.66666666666666663</v>
      </c>
      <c r="K735" s="5">
        <v>5547.5</v>
      </c>
      <c r="L735" s="5">
        <v>5790</v>
      </c>
      <c r="M735" s="5">
        <v>5500</v>
      </c>
      <c r="N735" s="5">
        <v>5524.1698999999999</v>
      </c>
      <c r="O735" s="5">
        <v>231</v>
      </c>
      <c r="Q735" s="6">
        <v>39240</v>
      </c>
      <c r="R735" s="7">
        <v>0.66666666666666663</v>
      </c>
      <c r="S735" s="5">
        <v>115.85</v>
      </c>
      <c r="T735" s="5">
        <v>119</v>
      </c>
      <c r="U735" s="5">
        <v>115.2</v>
      </c>
      <c r="V735" s="5">
        <v>117.25</v>
      </c>
      <c r="W735" s="5">
        <v>566200</v>
      </c>
      <c r="Y735" s="6">
        <f t="shared" si="22"/>
        <v>40900</v>
      </c>
      <c r="Z735" s="5">
        <f t="shared" si="23"/>
        <v>5524.1698999999999</v>
      </c>
      <c r="AA735" s="5">
        <v>109.2</v>
      </c>
      <c r="AB735" s="5">
        <v>99.77</v>
      </c>
    </row>
    <row r="736" spans="1:28" x14ac:dyDescent="0.3">
      <c r="A736" s="6">
        <v>39260</v>
      </c>
      <c r="B736" s="7">
        <v>0.66666666666666663</v>
      </c>
      <c r="C736" s="5">
        <v>181</v>
      </c>
      <c r="D736" s="5">
        <v>190.05</v>
      </c>
      <c r="E736" s="5">
        <v>181</v>
      </c>
      <c r="F736" s="5">
        <v>188</v>
      </c>
      <c r="G736" s="5">
        <v>97300</v>
      </c>
      <c r="I736" s="6">
        <v>40903</v>
      </c>
      <c r="J736" s="7">
        <v>0.66666666666666663</v>
      </c>
      <c r="K736" s="5">
        <v>5524.1698999999999</v>
      </c>
      <c r="L736" s="5">
        <v>5600</v>
      </c>
      <c r="M736" s="5">
        <v>5500</v>
      </c>
      <c r="N736" s="5">
        <v>5502.8198000000002</v>
      </c>
      <c r="O736" s="5">
        <v>71</v>
      </c>
      <c r="Q736" s="6">
        <v>39241</v>
      </c>
      <c r="R736" s="7">
        <v>0.66666666666666663</v>
      </c>
      <c r="S736" s="5">
        <v>117.25</v>
      </c>
      <c r="T736" s="5">
        <v>117.85</v>
      </c>
      <c r="U736" s="5">
        <v>115</v>
      </c>
      <c r="V736" s="5">
        <v>115.7</v>
      </c>
      <c r="W736" s="5">
        <v>250900</v>
      </c>
      <c r="Y736" s="6">
        <f t="shared" si="22"/>
        <v>40903</v>
      </c>
      <c r="Z736" s="5">
        <f t="shared" si="23"/>
        <v>5502.8198000000002</v>
      </c>
      <c r="AA736" s="5">
        <v>109.17</v>
      </c>
      <c r="AB736" s="5">
        <v>99.95</v>
      </c>
    </row>
    <row r="737" spans="1:28" x14ac:dyDescent="0.3">
      <c r="A737" s="6">
        <v>39261</v>
      </c>
      <c r="B737" s="7">
        <v>0.66666666666666663</v>
      </c>
      <c r="C737" s="5">
        <v>189</v>
      </c>
      <c r="D737" s="5">
        <v>189.8</v>
      </c>
      <c r="E737" s="5">
        <v>184.25</v>
      </c>
      <c r="F737" s="5">
        <v>185.5</v>
      </c>
      <c r="G737" s="5">
        <v>17500</v>
      </c>
      <c r="I737" s="6">
        <v>40904</v>
      </c>
      <c r="J737" s="7">
        <v>0.66666666666666663</v>
      </c>
      <c r="K737" s="5">
        <v>5555</v>
      </c>
      <c r="L737" s="5">
        <v>5700</v>
      </c>
      <c r="M737" s="5">
        <v>5555</v>
      </c>
      <c r="N737" s="5">
        <v>5649.6201000000001</v>
      </c>
      <c r="O737" s="5">
        <v>891</v>
      </c>
      <c r="Q737" s="6">
        <v>39244</v>
      </c>
      <c r="R737" s="7">
        <v>0.66666666666666663</v>
      </c>
      <c r="S737" s="5">
        <v>115.7</v>
      </c>
      <c r="T737" s="5">
        <v>117.65</v>
      </c>
      <c r="U737" s="5">
        <v>112.65</v>
      </c>
      <c r="V737" s="5">
        <v>113</v>
      </c>
      <c r="W737" s="5">
        <v>219300</v>
      </c>
      <c r="Y737" s="6">
        <f t="shared" si="22"/>
        <v>40904</v>
      </c>
      <c r="Z737" s="5">
        <f t="shared" si="23"/>
        <v>5649.6201000000001</v>
      </c>
      <c r="AA737" s="5">
        <v>108.56</v>
      </c>
      <c r="AB737" s="5">
        <v>100</v>
      </c>
    </row>
    <row r="738" spans="1:28" x14ac:dyDescent="0.3">
      <c r="A738" s="6">
        <v>39262</v>
      </c>
      <c r="B738" s="7">
        <v>0.66666666666666663</v>
      </c>
      <c r="C738" s="5">
        <v>186.7</v>
      </c>
      <c r="D738" s="5">
        <v>188</v>
      </c>
      <c r="E738" s="5">
        <v>185.1</v>
      </c>
      <c r="F738" s="5">
        <v>186</v>
      </c>
      <c r="G738" s="5">
        <v>8400</v>
      </c>
      <c r="I738" s="6">
        <v>40905</v>
      </c>
      <c r="J738" s="7">
        <v>0.66666666666666663</v>
      </c>
      <c r="K738" s="5">
        <v>5649.6201000000001</v>
      </c>
      <c r="L738" s="5">
        <v>5920</v>
      </c>
      <c r="M738" s="5">
        <v>5600</v>
      </c>
      <c r="N738" s="5">
        <v>5729.8500999999997</v>
      </c>
      <c r="O738" s="5">
        <v>965</v>
      </c>
      <c r="Q738" s="6">
        <v>39245</v>
      </c>
      <c r="R738" s="7">
        <v>0.66666666666666663</v>
      </c>
      <c r="S738" s="5">
        <v>113</v>
      </c>
      <c r="T738" s="5">
        <v>114</v>
      </c>
      <c r="U738" s="5">
        <v>111</v>
      </c>
      <c r="V738" s="5">
        <v>112.5</v>
      </c>
      <c r="W738" s="5">
        <v>258100</v>
      </c>
      <c r="Y738" s="6">
        <f t="shared" si="22"/>
        <v>40905</v>
      </c>
      <c r="Z738" s="5">
        <f t="shared" si="23"/>
        <v>5729.8500999999997</v>
      </c>
      <c r="AA738" s="5">
        <v>109.12</v>
      </c>
      <c r="AB738" s="5">
        <v>98.1</v>
      </c>
    </row>
    <row r="739" spans="1:28" x14ac:dyDescent="0.3">
      <c r="A739" s="6">
        <v>39265</v>
      </c>
      <c r="B739" s="7">
        <v>0.66666666666666663</v>
      </c>
      <c r="C739" s="5">
        <v>185.5</v>
      </c>
      <c r="D739" s="5">
        <v>187</v>
      </c>
      <c r="E739" s="5">
        <v>185</v>
      </c>
      <c r="F739" s="5">
        <v>185</v>
      </c>
      <c r="G739" s="5">
        <v>6200</v>
      </c>
      <c r="I739" s="6">
        <v>40907</v>
      </c>
      <c r="J739" s="7">
        <v>0.66666666666666663</v>
      </c>
      <c r="K739" s="5">
        <v>5725</v>
      </c>
      <c r="L739" s="5">
        <v>5725</v>
      </c>
      <c r="M739" s="5">
        <v>5460</v>
      </c>
      <c r="N739" s="5">
        <v>5565.7997999999998</v>
      </c>
      <c r="O739" s="5">
        <v>8</v>
      </c>
      <c r="Q739" s="6">
        <v>39246</v>
      </c>
      <c r="R739" s="7">
        <v>0.66666666666666663</v>
      </c>
      <c r="S739" s="5">
        <v>112.5</v>
      </c>
      <c r="T739" s="5">
        <v>116.4</v>
      </c>
      <c r="U739" s="5">
        <v>112.2</v>
      </c>
      <c r="V739" s="5">
        <v>115.2</v>
      </c>
      <c r="W739" s="5">
        <v>701200</v>
      </c>
      <c r="Y739" s="6">
        <f t="shared" si="22"/>
        <v>40907</v>
      </c>
      <c r="Z739" s="5">
        <f t="shared" si="23"/>
        <v>5565.7997999999998</v>
      </c>
      <c r="AA739" s="5">
        <v>107.65</v>
      </c>
      <c r="AB739" s="5">
        <v>99.79</v>
      </c>
    </row>
    <row r="740" spans="1:28" x14ac:dyDescent="0.3">
      <c r="A740" s="6">
        <v>39266</v>
      </c>
      <c r="B740" s="7">
        <v>0.66666666666666663</v>
      </c>
      <c r="C740" s="5">
        <v>185.5</v>
      </c>
      <c r="D740" s="5">
        <v>186</v>
      </c>
      <c r="E740" s="5">
        <v>183</v>
      </c>
      <c r="F740" s="5">
        <v>184.5</v>
      </c>
      <c r="G740" s="5">
        <v>5800</v>
      </c>
      <c r="I740" s="6">
        <v>40910</v>
      </c>
      <c r="J740" s="7">
        <v>0.66666666666666663</v>
      </c>
      <c r="K740" s="5">
        <v>5570</v>
      </c>
      <c r="L740" s="5">
        <v>5570</v>
      </c>
      <c r="M740" s="5">
        <v>5570</v>
      </c>
      <c r="N740" s="5">
        <v>5570</v>
      </c>
      <c r="O740" s="5">
        <v>39</v>
      </c>
      <c r="Q740" s="6">
        <v>39247</v>
      </c>
      <c r="R740" s="7">
        <v>0.66666666666666663</v>
      </c>
      <c r="S740" s="5">
        <v>115.2</v>
      </c>
      <c r="T740" s="5">
        <v>116.9</v>
      </c>
      <c r="U740" s="5">
        <v>112</v>
      </c>
      <c r="V740" s="5">
        <v>112.85</v>
      </c>
      <c r="W740" s="5">
        <v>302400</v>
      </c>
      <c r="Y740" s="6">
        <f t="shared" si="22"/>
        <v>40910</v>
      </c>
      <c r="Z740" s="5">
        <f t="shared" si="23"/>
        <v>5570</v>
      </c>
      <c r="AA740" s="5">
        <v>107.72</v>
      </c>
      <c r="AB740" s="5">
        <v>99.73</v>
      </c>
    </row>
    <row r="741" spans="1:28" x14ac:dyDescent="0.3">
      <c r="A741" s="6">
        <v>39267</v>
      </c>
      <c r="B741" s="7">
        <v>0.66666666666666663</v>
      </c>
      <c r="C741" s="5">
        <v>182.2</v>
      </c>
      <c r="D741" s="5">
        <v>184</v>
      </c>
      <c r="E741" s="5">
        <v>180</v>
      </c>
      <c r="F741" s="5">
        <v>181.1</v>
      </c>
      <c r="G741" s="5">
        <v>4800</v>
      </c>
      <c r="I741" s="6">
        <v>40911</v>
      </c>
      <c r="J741" s="7">
        <v>0.66666666666666663</v>
      </c>
      <c r="K741" s="5">
        <v>5570</v>
      </c>
      <c r="L741" s="5">
        <v>5600</v>
      </c>
      <c r="M741" s="5">
        <v>5460</v>
      </c>
      <c r="N741" s="5">
        <v>5569.1298999999999</v>
      </c>
      <c r="O741" s="5">
        <v>18</v>
      </c>
      <c r="Q741" s="6">
        <v>39248</v>
      </c>
      <c r="R741" s="7">
        <v>0.66666666666666663</v>
      </c>
      <c r="S741" s="5">
        <v>112.85</v>
      </c>
      <c r="T741" s="5">
        <v>117.65</v>
      </c>
      <c r="U741" s="5">
        <v>112</v>
      </c>
      <c r="V741" s="5">
        <v>115.5</v>
      </c>
      <c r="W741" s="5">
        <v>2242300</v>
      </c>
      <c r="Y741" s="6">
        <f t="shared" si="22"/>
        <v>40911</v>
      </c>
      <c r="Z741" s="5">
        <f t="shared" si="23"/>
        <v>5569.1298999999999</v>
      </c>
      <c r="AA741" s="5">
        <v>111.37</v>
      </c>
      <c r="AB741" s="5">
        <v>100.12</v>
      </c>
    </row>
    <row r="742" spans="1:28" x14ac:dyDescent="0.3">
      <c r="A742" s="6">
        <v>39268</v>
      </c>
      <c r="B742" s="7">
        <v>0.66666666666666663</v>
      </c>
      <c r="C742" s="5">
        <v>181.5</v>
      </c>
      <c r="D742" s="5">
        <v>186.5</v>
      </c>
      <c r="E742" s="5">
        <v>181.5</v>
      </c>
      <c r="F742" s="5">
        <v>184</v>
      </c>
      <c r="G742" s="5">
        <v>4000</v>
      </c>
      <c r="I742" s="6">
        <v>40912</v>
      </c>
      <c r="J742" s="7">
        <v>0.66666666666666663</v>
      </c>
      <c r="K742" s="5">
        <v>5569.1298999999999</v>
      </c>
      <c r="L742" s="5">
        <v>5569.1298999999999</v>
      </c>
      <c r="M742" s="5">
        <v>5371.1000999999997</v>
      </c>
      <c r="N742" s="5">
        <v>5397.4198999999999</v>
      </c>
      <c r="O742" s="5">
        <v>59</v>
      </c>
      <c r="Q742" s="6">
        <v>39251</v>
      </c>
      <c r="R742" s="7">
        <v>0.66666666666666663</v>
      </c>
      <c r="S742" s="5">
        <v>115.5</v>
      </c>
      <c r="T742" s="5">
        <v>117.1</v>
      </c>
      <c r="U742" s="5">
        <v>109.75</v>
      </c>
      <c r="V742" s="5">
        <v>109.75</v>
      </c>
      <c r="W742" s="5">
        <v>2234800</v>
      </c>
      <c r="Y742" s="6">
        <f t="shared" si="22"/>
        <v>40912</v>
      </c>
      <c r="Z742" s="5">
        <f t="shared" si="23"/>
        <v>5397.4198999999999</v>
      </c>
      <c r="AA742" s="5">
        <v>111.59</v>
      </c>
      <c r="AB742" s="5">
        <v>100</v>
      </c>
    </row>
    <row r="743" spans="1:28" x14ac:dyDescent="0.3">
      <c r="A743" s="6">
        <v>39269</v>
      </c>
      <c r="B743" s="7">
        <v>0.66666666666666663</v>
      </c>
      <c r="C743" s="5">
        <v>182.5</v>
      </c>
      <c r="D743" s="5">
        <v>184.5</v>
      </c>
      <c r="E743" s="5">
        <v>182</v>
      </c>
      <c r="F743" s="5">
        <v>184.5</v>
      </c>
      <c r="G743" s="5">
        <v>5300</v>
      </c>
      <c r="I743" s="6">
        <v>40913</v>
      </c>
      <c r="J743" s="7">
        <v>0.66666666666666663</v>
      </c>
      <c r="K743" s="5">
        <v>5397.4198999999999</v>
      </c>
      <c r="L743" s="5">
        <v>5397.4198999999999</v>
      </c>
      <c r="M743" s="5">
        <v>5202</v>
      </c>
      <c r="N743" s="5">
        <v>5226.1000999999997</v>
      </c>
      <c r="O743" s="5">
        <v>202</v>
      </c>
      <c r="Q743" s="6">
        <v>39252</v>
      </c>
      <c r="R743" s="7">
        <v>0.66666666666666663</v>
      </c>
      <c r="S743" s="5">
        <v>109.75</v>
      </c>
      <c r="T743" s="5">
        <v>110</v>
      </c>
      <c r="U743" s="5">
        <v>105</v>
      </c>
      <c r="V743" s="5">
        <v>106.1</v>
      </c>
      <c r="W743" s="5">
        <v>971300</v>
      </c>
      <c r="Y743" s="6">
        <f t="shared" si="22"/>
        <v>40913</v>
      </c>
      <c r="Z743" s="5">
        <f t="shared" si="23"/>
        <v>5226.1000999999997</v>
      </c>
      <c r="AA743" s="5">
        <v>110.01</v>
      </c>
      <c r="AB743" s="5">
        <v>101.5</v>
      </c>
    </row>
    <row r="744" spans="1:28" x14ac:dyDescent="0.3">
      <c r="A744" s="6">
        <v>39272</v>
      </c>
      <c r="B744" s="7">
        <v>0.66666666666666663</v>
      </c>
      <c r="C744" s="5">
        <v>186.5</v>
      </c>
      <c r="D744" s="5">
        <v>189</v>
      </c>
      <c r="E744" s="5">
        <v>186.5</v>
      </c>
      <c r="F744" s="5">
        <v>188.95</v>
      </c>
      <c r="G744" s="5">
        <v>21700</v>
      </c>
      <c r="I744" s="6">
        <v>40914</v>
      </c>
      <c r="J744" s="7">
        <v>0.66666666666666663</v>
      </c>
      <c r="K744" s="5">
        <v>5226.1000999999997</v>
      </c>
      <c r="L744" s="5">
        <v>5425</v>
      </c>
      <c r="M744" s="5">
        <v>4965</v>
      </c>
      <c r="N744" s="5">
        <v>5283</v>
      </c>
      <c r="O744" s="5">
        <v>56</v>
      </c>
      <c r="Q744" s="6">
        <v>39253</v>
      </c>
      <c r="R744" s="7">
        <v>0.66666666666666663</v>
      </c>
      <c r="S744" s="5">
        <v>106.1</v>
      </c>
      <c r="T744" s="5">
        <v>108.3</v>
      </c>
      <c r="U744" s="5">
        <v>105.1</v>
      </c>
      <c r="V744" s="5">
        <v>106.1</v>
      </c>
      <c r="W744" s="5">
        <v>884200</v>
      </c>
      <c r="Y744" s="6">
        <f t="shared" si="22"/>
        <v>40914</v>
      </c>
      <c r="Z744" s="5">
        <f t="shared" si="23"/>
        <v>5283</v>
      </c>
      <c r="AA744" s="5">
        <v>108.99</v>
      </c>
      <c r="AB744" s="5">
        <v>102</v>
      </c>
    </row>
    <row r="745" spans="1:28" x14ac:dyDescent="0.3">
      <c r="A745" s="6">
        <v>39273</v>
      </c>
      <c r="B745" s="7">
        <v>0.66666666666666663</v>
      </c>
      <c r="C745" s="5">
        <v>188.5</v>
      </c>
      <c r="D745" s="5">
        <v>188.5</v>
      </c>
      <c r="E745" s="5">
        <v>185</v>
      </c>
      <c r="F745" s="5">
        <v>185</v>
      </c>
      <c r="G745" s="5">
        <v>9100</v>
      </c>
      <c r="I745" s="6">
        <v>40917</v>
      </c>
      <c r="J745" s="7">
        <v>0.66666666666666663</v>
      </c>
      <c r="K745" s="5">
        <v>5350</v>
      </c>
      <c r="L745" s="5">
        <v>5430</v>
      </c>
      <c r="M745" s="5">
        <v>5350</v>
      </c>
      <c r="N745" s="5">
        <v>5381.6698999999999</v>
      </c>
      <c r="O745" s="5">
        <v>31</v>
      </c>
      <c r="Q745" s="6">
        <v>39254</v>
      </c>
      <c r="R745" s="7">
        <v>0.66666666666666663</v>
      </c>
      <c r="S745" s="5">
        <v>106.1</v>
      </c>
      <c r="T745" s="5">
        <v>107.25</v>
      </c>
      <c r="U745" s="5">
        <v>104.55</v>
      </c>
      <c r="V745" s="5">
        <v>105</v>
      </c>
      <c r="W745" s="5">
        <v>597900</v>
      </c>
      <c r="Y745" s="6">
        <f t="shared" si="22"/>
        <v>40917</v>
      </c>
      <c r="Z745" s="5">
        <f t="shared" si="23"/>
        <v>5381.6698999999999</v>
      </c>
      <c r="AA745" s="5">
        <v>108.88</v>
      </c>
      <c r="AB745" s="5">
        <v>101.02</v>
      </c>
    </row>
    <row r="746" spans="1:28" x14ac:dyDescent="0.3">
      <c r="A746" s="6">
        <v>39274</v>
      </c>
      <c r="B746" s="7">
        <v>0.66666666666666663</v>
      </c>
      <c r="C746" s="5">
        <v>185.5</v>
      </c>
      <c r="D746" s="5">
        <v>185.5</v>
      </c>
      <c r="E746" s="5">
        <v>183.8</v>
      </c>
      <c r="F746" s="5">
        <v>183.8</v>
      </c>
      <c r="G746" s="5">
        <v>5000</v>
      </c>
      <c r="I746" s="6">
        <v>40918</v>
      </c>
      <c r="J746" s="7">
        <v>0.66666666666666663</v>
      </c>
      <c r="K746" s="5">
        <v>5381.6698999999999</v>
      </c>
      <c r="L746" s="5">
        <v>5400</v>
      </c>
      <c r="M746" s="5">
        <v>5250.0097999999998</v>
      </c>
      <c r="N746" s="5">
        <v>5308.5698000000002</v>
      </c>
      <c r="O746" s="5">
        <v>31</v>
      </c>
      <c r="Q746" s="6">
        <v>39255</v>
      </c>
      <c r="R746" s="7">
        <v>0.66666666666666663</v>
      </c>
      <c r="S746" s="5">
        <v>105</v>
      </c>
      <c r="T746" s="5">
        <v>106.35</v>
      </c>
      <c r="U746" s="5">
        <v>102</v>
      </c>
      <c r="V746" s="5">
        <v>102.9</v>
      </c>
      <c r="W746" s="5">
        <v>708300</v>
      </c>
      <c r="Y746" s="6">
        <f t="shared" si="22"/>
        <v>40918</v>
      </c>
      <c r="Z746" s="5">
        <f t="shared" si="23"/>
        <v>5308.5698000000002</v>
      </c>
      <c r="AA746" s="5">
        <v>107.37</v>
      </c>
      <c r="AB746" s="5">
        <v>100.32</v>
      </c>
    </row>
    <row r="747" spans="1:28" x14ac:dyDescent="0.3">
      <c r="A747" s="6">
        <v>39275</v>
      </c>
      <c r="B747" s="7">
        <v>0.66666666666666663</v>
      </c>
      <c r="C747" s="5">
        <v>185.45</v>
      </c>
      <c r="D747" s="5">
        <v>190</v>
      </c>
      <c r="E747" s="5">
        <v>185</v>
      </c>
      <c r="F747" s="5">
        <v>189</v>
      </c>
      <c r="G747" s="5">
        <v>25600</v>
      </c>
      <c r="I747" s="6">
        <v>40919</v>
      </c>
      <c r="J747" s="7">
        <v>0.66666666666666663</v>
      </c>
      <c r="K747" s="5">
        <v>5308.5698000000002</v>
      </c>
      <c r="L747" s="5">
        <v>5311</v>
      </c>
      <c r="M747" s="5">
        <v>5180</v>
      </c>
      <c r="N747" s="5">
        <v>5188.0497999999998</v>
      </c>
      <c r="O747" s="5">
        <v>92</v>
      </c>
      <c r="Q747" s="6">
        <v>39258</v>
      </c>
      <c r="R747" s="7">
        <v>0.66666666666666663</v>
      </c>
      <c r="S747" s="5">
        <v>102.9</v>
      </c>
      <c r="T747" s="5">
        <v>106.5</v>
      </c>
      <c r="U747" s="5">
        <v>102.75</v>
      </c>
      <c r="V747" s="5">
        <v>104.35</v>
      </c>
      <c r="W747" s="5">
        <v>1034300</v>
      </c>
      <c r="Y747" s="6">
        <f t="shared" si="22"/>
        <v>40919</v>
      </c>
      <c r="Z747" s="5">
        <f t="shared" si="23"/>
        <v>5188.0497999999998</v>
      </c>
      <c r="AA747" s="5">
        <v>107.66</v>
      </c>
      <c r="AB747" s="5">
        <v>101.5</v>
      </c>
    </row>
    <row r="748" spans="1:28" x14ac:dyDescent="0.3">
      <c r="A748" s="6">
        <v>39276</v>
      </c>
      <c r="B748" s="7">
        <v>0.66666666666666663</v>
      </c>
      <c r="C748" s="5">
        <v>190</v>
      </c>
      <c r="D748" s="5">
        <v>195</v>
      </c>
      <c r="E748" s="5">
        <v>189.5</v>
      </c>
      <c r="F748" s="5">
        <v>192.95</v>
      </c>
      <c r="G748" s="5">
        <v>56600</v>
      </c>
      <c r="I748" s="6">
        <v>40920</v>
      </c>
      <c r="J748" s="7">
        <v>0.66666666666666663</v>
      </c>
      <c r="K748" s="5">
        <v>5188.0497999999998</v>
      </c>
      <c r="L748" s="5">
        <v>5200</v>
      </c>
      <c r="M748" s="5">
        <v>5188.0497999999998</v>
      </c>
      <c r="N748" s="5">
        <v>5188.0497999999998</v>
      </c>
      <c r="O748" s="5">
        <v>1</v>
      </c>
      <c r="Q748" s="6">
        <v>39259</v>
      </c>
      <c r="R748" s="7">
        <v>0.66666666666666663</v>
      </c>
      <c r="S748" s="5">
        <v>104.35</v>
      </c>
      <c r="T748" s="5">
        <v>105.9</v>
      </c>
      <c r="U748" s="5">
        <v>103.6</v>
      </c>
      <c r="V748" s="5">
        <v>104.2</v>
      </c>
      <c r="W748" s="5">
        <v>440600</v>
      </c>
      <c r="Y748" s="6">
        <f t="shared" si="22"/>
        <v>40920</v>
      </c>
      <c r="Z748" s="5">
        <f t="shared" si="23"/>
        <v>5188.0497999999998</v>
      </c>
      <c r="AA748" s="5">
        <v>106.78</v>
      </c>
      <c r="AB748" s="5">
        <v>101</v>
      </c>
    </row>
    <row r="749" spans="1:28" x14ac:dyDescent="0.3">
      <c r="A749" s="6">
        <v>39279</v>
      </c>
      <c r="B749" s="7">
        <v>0.66666666666666663</v>
      </c>
      <c r="C749" s="5">
        <v>191</v>
      </c>
      <c r="D749" s="5">
        <v>195</v>
      </c>
      <c r="E749" s="5">
        <v>190</v>
      </c>
      <c r="F749" s="5">
        <v>190</v>
      </c>
      <c r="G749" s="5">
        <v>47800</v>
      </c>
      <c r="I749" s="6">
        <v>40921</v>
      </c>
      <c r="J749" s="7">
        <v>0.66666666666666663</v>
      </c>
      <c r="K749" s="5">
        <v>5188.0497999999998</v>
      </c>
      <c r="L749" s="5">
        <v>5250</v>
      </c>
      <c r="M749" s="5">
        <v>5180</v>
      </c>
      <c r="N749" s="5">
        <v>5188.0497999999998</v>
      </c>
      <c r="O749" s="5">
        <v>4</v>
      </c>
      <c r="Q749" s="6">
        <v>39260</v>
      </c>
      <c r="R749" s="7">
        <v>0.66666666666666663</v>
      </c>
      <c r="S749" s="5">
        <v>104.5</v>
      </c>
      <c r="T749" s="5">
        <v>109.4</v>
      </c>
      <c r="U749" s="5">
        <v>104.5</v>
      </c>
      <c r="V749" s="5">
        <v>109.4</v>
      </c>
      <c r="W749" s="5">
        <v>1872400</v>
      </c>
      <c r="Y749" s="6">
        <f t="shared" si="22"/>
        <v>40921</v>
      </c>
      <c r="Z749" s="5">
        <f t="shared" si="23"/>
        <v>5188.0497999999998</v>
      </c>
      <c r="AA749" s="5">
        <v>107.79</v>
      </c>
      <c r="AB749" s="5" t="e">
        <v>#N/A</v>
      </c>
    </row>
    <row r="750" spans="1:28" x14ac:dyDescent="0.3">
      <c r="A750" s="6">
        <v>39280</v>
      </c>
      <c r="B750" s="7">
        <v>0.66666666666666663</v>
      </c>
      <c r="C750" s="5">
        <v>180.5</v>
      </c>
      <c r="D750" s="5">
        <v>182.95</v>
      </c>
      <c r="E750" s="5">
        <v>180.5</v>
      </c>
      <c r="F750" s="5">
        <v>180.5</v>
      </c>
      <c r="G750" s="5">
        <v>55600</v>
      </c>
      <c r="I750" s="6">
        <v>40924</v>
      </c>
      <c r="J750" s="7">
        <v>0.66666666666666663</v>
      </c>
      <c r="K750" s="5">
        <v>5188.0497999999998</v>
      </c>
      <c r="L750" s="5">
        <v>5299</v>
      </c>
      <c r="M750" s="5">
        <v>5115</v>
      </c>
      <c r="N750" s="5">
        <v>5201.1602000000003</v>
      </c>
      <c r="O750" s="5">
        <v>51</v>
      </c>
      <c r="Q750" s="6">
        <v>39261</v>
      </c>
      <c r="R750" s="7">
        <v>0.66666666666666663</v>
      </c>
      <c r="S750" s="5">
        <v>110.5</v>
      </c>
      <c r="T750" s="5">
        <v>114.85</v>
      </c>
      <c r="U750" s="5">
        <v>110.5</v>
      </c>
      <c r="V750" s="5">
        <v>114.85</v>
      </c>
      <c r="W750" s="5">
        <v>2628400</v>
      </c>
      <c r="Y750" s="6">
        <f t="shared" si="22"/>
        <v>40924</v>
      </c>
      <c r="Z750" s="5">
        <f t="shared" si="23"/>
        <v>5201.1602000000003</v>
      </c>
      <c r="AA750" s="5">
        <v>108.07</v>
      </c>
      <c r="AB750" s="5">
        <v>99.48</v>
      </c>
    </row>
    <row r="751" spans="1:28" x14ac:dyDescent="0.3">
      <c r="A751" s="6">
        <v>39281</v>
      </c>
      <c r="B751" s="7">
        <v>0.66666666666666663</v>
      </c>
      <c r="C751" s="5">
        <v>175.05</v>
      </c>
      <c r="D751" s="5">
        <v>177</v>
      </c>
      <c r="E751" s="5">
        <v>171.5</v>
      </c>
      <c r="F751" s="5">
        <v>172</v>
      </c>
      <c r="G751" s="5">
        <v>83700</v>
      </c>
      <c r="I751" s="6">
        <v>40925</v>
      </c>
      <c r="J751" s="7">
        <v>0.66666666666666663</v>
      </c>
      <c r="K751" s="5">
        <v>5200</v>
      </c>
      <c r="L751" s="5">
        <v>5200</v>
      </c>
      <c r="M751" s="5">
        <v>5122</v>
      </c>
      <c r="N751" s="5">
        <v>5199.9902000000002</v>
      </c>
      <c r="O751" s="5">
        <v>190</v>
      </c>
      <c r="Q751" s="6">
        <v>39262</v>
      </c>
      <c r="R751" s="7">
        <v>0.66666666666666663</v>
      </c>
      <c r="S751" s="5">
        <v>115</v>
      </c>
      <c r="T751" s="5">
        <v>119.8</v>
      </c>
      <c r="U751" s="5">
        <v>115</v>
      </c>
      <c r="V751" s="5">
        <v>116.55</v>
      </c>
      <c r="W751" s="5">
        <v>1876900</v>
      </c>
      <c r="Y751" s="6">
        <f t="shared" si="22"/>
        <v>40925</v>
      </c>
      <c r="Z751" s="5">
        <f t="shared" si="23"/>
        <v>5199.9902000000002</v>
      </c>
      <c r="AA751" s="5">
        <v>109.24</v>
      </c>
      <c r="AB751" s="5">
        <v>100</v>
      </c>
    </row>
    <row r="752" spans="1:28" x14ac:dyDescent="0.3">
      <c r="A752" s="6">
        <v>39282</v>
      </c>
      <c r="B752" s="7">
        <v>0.66666666666666663</v>
      </c>
      <c r="C752" s="5">
        <v>166</v>
      </c>
      <c r="D752" s="5">
        <v>169</v>
      </c>
      <c r="E752" s="5">
        <v>163.4</v>
      </c>
      <c r="F752" s="5">
        <v>163.4</v>
      </c>
      <c r="G752" s="5">
        <v>18400</v>
      </c>
      <c r="I752" s="6">
        <v>40926</v>
      </c>
      <c r="J752" s="7">
        <v>0.66666666666666663</v>
      </c>
      <c r="K752" s="5">
        <v>5199.9902000000002</v>
      </c>
      <c r="L752" s="5">
        <v>5450</v>
      </c>
      <c r="M752" s="5">
        <v>5199.9902000000002</v>
      </c>
      <c r="N752" s="5">
        <v>5443.48</v>
      </c>
      <c r="O752" s="5">
        <v>984</v>
      </c>
      <c r="Q752" s="6">
        <v>39265</v>
      </c>
      <c r="R752" s="7">
        <v>0.66666666666666663</v>
      </c>
      <c r="S752" s="5">
        <v>117.4</v>
      </c>
      <c r="T752" s="5">
        <v>122.35</v>
      </c>
      <c r="U752" s="5">
        <v>117.4</v>
      </c>
      <c r="V752" s="5">
        <v>122.35</v>
      </c>
      <c r="W752" s="5">
        <v>2449700</v>
      </c>
      <c r="Y752" s="6">
        <f t="shared" si="22"/>
        <v>40926</v>
      </c>
      <c r="Z752" s="5">
        <f t="shared" si="23"/>
        <v>5443.48</v>
      </c>
      <c r="AA752" s="5">
        <v>109.72</v>
      </c>
      <c r="AB752" s="5">
        <v>101.47</v>
      </c>
    </row>
    <row r="753" spans="1:28" x14ac:dyDescent="0.3">
      <c r="A753" s="6">
        <v>39283</v>
      </c>
      <c r="B753" s="7">
        <v>0.66666666666666663</v>
      </c>
      <c r="C753" s="5">
        <v>158.1</v>
      </c>
      <c r="D753" s="5">
        <v>165</v>
      </c>
      <c r="E753" s="5">
        <v>158.1</v>
      </c>
      <c r="F753" s="5">
        <v>165</v>
      </c>
      <c r="G753" s="5">
        <v>6700</v>
      </c>
      <c r="I753" s="6">
        <v>40927</v>
      </c>
      <c r="J753" s="7">
        <v>0.66666666666666663</v>
      </c>
      <c r="K753" s="5">
        <v>5443.48</v>
      </c>
      <c r="L753" s="5">
        <v>5550</v>
      </c>
      <c r="M753" s="5">
        <v>5400</v>
      </c>
      <c r="N753" s="5">
        <v>5516.6000999999997</v>
      </c>
      <c r="O753" s="5">
        <v>109</v>
      </c>
      <c r="Q753" s="6">
        <v>39266</v>
      </c>
      <c r="R753" s="7">
        <v>0.66666666666666663</v>
      </c>
      <c r="S753" s="5">
        <v>124.25</v>
      </c>
      <c r="T753" s="5">
        <v>128.44999999999999</v>
      </c>
      <c r="U753" s="5">
        <v>124.25</v>
      </c>
      <c r="V753" s="5">
        <v>126.3</v>
      </c>
      <c r="W753" s="5">
        <v>2836300</v>
      </c>
      <c r="Y753" s="6">
        <f t="shared" si="22"/>
        <v>40927</v>
      </c>
      <c r="Z753" s="5">
        <f t="shared" si="23"/>
        <v>5516.6000999999997</v>
      </c>
      <c r="AA753" s="5">
        <v>111.65</v>
      </c>
      <c r="AB753" s="5">
        <v>101.5</v>
      </c>
    </row>
    <row r="754" spans="1:28" x14ac:dyDescent="0.3">
      <c r="A754" s="6">
        <v>39286</v>
      </c>
      <c r="B754" s="7">
        <v>0.66666666666666663</v>
      </c>
      <c r="C754" s="5">
        <v>168</v>
      </c>
      <c r="D754" s="5">
        <v>173.2</v>
      </c>
      <c r="E754" s="5">
        <v>168</v>
      </c>
      <c r="F754" s="5">
        <v>172.5</v>
      </c>
      <c r="G754" s="5">
        <v>19300</v>
      </c>
      <c r="I754" s="6">
        <v>40928</v>
      </c>
      <c r="J754" s="7">
        <v>0.66666666666666663</v>
      </c>
      <c r="K754" s="5">
        <v>5516.6000999999997</v>
      </c>
      <c r="L754" s="5">
        <v>5534</v>
      </c>
      <c r="M754" s="5">
        <v>5425</v>
      </c>
      <c r="N754" s="5">
        <v>5458.3999000000003</v>
      </c>
      <c r="O754" s="5">
        <v>69</v>
      </c>
      <c r="Q754" s="6">
        <v>39267</v>
      </c>
      <c r="R754" s="7">
        <v>0.66666666666666663</v>
      </c>
      <c r="S754" s="5">
        <v>126.3</v>
      </c>
      <c r="T754" s="5">
        <v>130.80000000000001</v>
      </c>
      <c r="U754" s="5">
        <v>125.25</v>
      </c>
      <c r="V754" s="5">
        <v>129.05000000000001</v>
      </c>
      <c r="W754" s="5">
        <v>2143000</v>
      </c>
      <c r="Y754" s="6">
        <f t="shared" si="22"/>
        <v>40928</v>
      </c>
      <c r="Z754" s="5">
        <f t="shared" si="23"/>
        <v>5458.3999000000003</v>
      </c>
      <c r="AA754" s="5">
        <v>116.95</v>
      </c>
      <c r="AB754" s="5">
        <v>101.51</v>
      </c>
    </row>
    <row r="755" spans="1:28" x14ac:dyDescent="0.3">
      <c r="A755" s="6">
        <v>39287</v>
      </c>
      <c r="B755" s="7">
        <v>0.66666666666666663</v>
      </c>
      <c r="C755" s="5">
        <v>172.5</v>
      </c>
      <c r="D755" s="5">
        <v>175</v>
      </c>
      <c r="E755" s="5">
        <v>168.5</v>
      </c>
      <c r="F755" s="5">
        <v>168.5</v>
      </c>
      <c r="G755" s="5">
        <v>8200</v>
      </c>
      <c r="I755" s="6">
        <v>40931</v>
      </c>
      <c r="J755" s="7">
        <v>0.66666666666666663</v>
      </c>
      <c r="K755" s="5">
        <v>5458.3999000000003</v>
      </c>
      <c r="L755" s="5">
        <v>5550</v>
      </c>
      <c r="M755" s="5">
        <v>5405</v>
      </c>
      <c r="N755" s="5">
        <v>5458.3999000000003</v>
      </c>
      <c r="O755" s="5">
        <v>2</v>
      </c>
      <c r="Q755" s="6">
        <v>39268</v>
      </c>
      <c r="R755" s="7">
        <v>0.66666666666666663</v>
      </c>
      <c r="S755" s="5">
        <v>129.05000000000001</v>
      </c>
      <c r="T755" s="5">
        <v>131.9</v>
      </c>
      <c r="U755" s="5">
        <v>126.65</v>
      </c>
      <c r="V755" s="5">
        <v>126.7</v>
      </c>
      <c r="W755" s="5">
        <v>1345800</v>
      </c>
      <c r="Y755" s="6">
        <f t="shared" si="22"/>
        <v>40931</v>
      </c>
      <c r="Z755" s="5">
        <f t="shared" si="23"/>
        <v>5458.3999000000003</v>
      </c>
      <c r="AA755" s="5">
        <v>122.79</v>
      </c>
      <c r="AB755" s="5">
        <v>105</v>
      </c>
    </row>
    <row r="756" spans="1:28" x14ac:dyDescent="0.3">
      <c r="A756" s="6">
        <v>39288</v>
      </c>
      <c r="B756" s="7">
        <v>0.66666666666666663</v>
      </c>
      <c r="C756" s="5">
        <v>166.2</v>
      </c>
      <c r="D756" s="5">
        <v>166.75</v>
      </c>
      <c r="E756" s="5">
        <v>165</v>
      </c>
      <c r="F756" s="5">
        <v>166.5</v>
      </c>
      <c r="G756" s="5">
        <v>7500</v>
      </c>
      <c r="I756" s="6">
        <v>40932</v>
      </c>
      <c r="J756" s="7">
        <v>0.66666666666666663</v>
      </c>
      <c r="K756" s="5">
        <v>5458.3999000000003</v>
      </c>
      <c r="L756" s="5">
        <v>5483.8500999999997</v>
      </c>
      <c r="M756" s="5">
        <v>5400</v>
      </c>
      <c r="N756" s="5">
        <v>5458.3999000000003</v>
      </c>
      <c r="O756" s="5">
        <v>4</v>
      </c>
      <c r="Q756" s="6">
        <v>39269</v>
      </c>
      <c r="R756" s="7">
        <v>0.66666666666666663</v>
      </c>
      <c r="S756" s="5">
        <v>126.7</v>
      </c>
      <c r="T756" s="5">
        <v>128.5</v>
      </c>
      <c r="U756" s="5">
        <v>124.5</v>
      </c>
      <c r="V756" s="5">
        <v>126.5</v>
      </c>
      <c r="W756" s="5">
        <v>1035200</v>
      </c>
      <c r="Y756" s="6">
        <f t="shared" si="22"/>
        <v>40932</v>
      </c>
      <c r="Z756" s="5">
        <f t="shared" si="23"/>
        <v>5458.3999000000003</v>
      </c>
      <c r="AA756" s="5">
        <v>121.81</v>
      </c>
      <c r="AB756" s="5">
        <v>104</v>
      </c>
    </row>
    <row r="757" spans="1:28" x14ac:dyDescent="0.3">
      <c r="A757" s="6">
        <v>39289</v>
      </c>
      <c r="B757" s="7">
        <v>0.66666666666666663</v>
      </c>
      <c r="C757" s="5">
        <v>165</v>
      </c>
      <c r="D757" s="5">
        <v>166.5</v>
      </c>
      <c r="E757" s="5">
        <v>164.5</v>
      </c>
      <c r="F757" s="5">
        <v>166.5</v>
      </c>
      <c r="G757" s="5">
        <v>4500</v>
      </c>
      <c r="I757" s="6">
        <v>40933</v>
      </c>
      <c r="J757" s="7">
        <v>0.66666666666666663</v>
      </c>
      <c r="K757" s="5">
        <v>5458.3999000000003</v>
      </c>
      <c r="L757" s="5">
        <v>5458.3999000000003</v>
      </c>
      <c r="M757" s="5">
        <v>5458.3999000000003</v>
      </c>
      <c r="N757" s="5">
        <v>5458.3999000000003</v>
      </c>
      <c r="O757" s="5">
        <v>2</v>
      </c>
      <c r="Q757" s="6">
        <v>39272</v>
      </c>
      <c r="R757" s="7">
        <v>0.66666666666666663</v>
      </c>
      <c r="S757" s="5">
        <v>126.5</v>
      </c>
      <c r="T757" s="5">
        <v>128</v>
      </c>
      <c r="U757" s="5">
        <v>124.5</v>
      </c>
      <c r="V757" s="5">
        <v>124.5</v>
      </c>
      <c r="W757" s="5">
        <v>439400</v>
      </c>
      <c r="Y757" s="6">
        <f t="shared" si="22"/>
        <v>40933</v>
      </c>
      <c r="Z757" s="5">
        <f t="shared" si="23"/>
        <v>5458.3999000000003</v>
      </c>
      <c r="AA757" s="5">
        <v>122.37</v>
      </c>
      <c r="AB757" s="5">
        <v>104.95</v>
      </c>
    </row>
    <row r="758" spans="1:28" x14ac:dyDescent="0.3">
      <c r="A758" s="6">
        <v>39290</v>
      </c>
      <c r="B758" s="7">
        <v>0.66666666666666663</v>
      </c>
      <c r="C758" s="5">
        <v>164.5</v>
      </c>
      <c r="D758" s="5">
        <v>165</v>
      </c>
      <c r="E758" s="5">
        <v>163.5</v>
      </c>
      <c r="F758" s="5">
        <v>163.5</v>
      </c>
      <c r="G758" s="5">
        <v>4700</v>
      </c>
      <c r="I758" s="6">
        <v>40934</v>
      </c>
      <c r="J758" s="7">
        <v>0.66666666666666663</v>
      </c>
      <c r="K758" s="5">
        <v>5458.3999000000003</v>
      </c>
      <c r="L758" s="5">
        <v>5550</v>
      </c>
      <c r="M758" s="5">
        <v>5300.02</v>
      </c>
      <c r="N758" s="5">
        <v>5385.2002000000002</v>
      </c>
      <c r="O758" s="5">
        <v>41</v>
      </c>
      <c r="Q758" s="6">
        <v>39273</v>
      </c>
      <c r="R758" s="7">
        <v>0.66666666666666663</v>
      </c>
      <c r="S758" s="5">
        <v>124.5</v>
      </c>
      <c r="T758" s="5">
        <v>126</v>
      </c>
      <c r="U758" s="5">
        <v>120.15</v>
      </c>
      <c r="V758" s="5">
        <v>121.3</v>
      </c>
      <c r="W758" s="5">
        <v>613400</v>
      </c>
      <c r="Y758" s="6">
        <f t="shared" si="22"/>
        <v>40934</v>
      </c>
      <c r="Z758" s="5">
        <f t="shared" si="23"/>
        <v>5385.2002000000002</v>
      </c>
      <c r="AA758" s="5">
        <v>121.11</v>
      </c>
      <c r="AB758" s="5">
        <v>104.38</v>
      </c>
    </row>
    <row r="759" spans="1:28" x14ac:dyDescent="0.3">
      <c r="A759" s="6">
        <v>39293</v>
      </c>
      <c r="B759" s="7">
        <v>0.66666666666666663</v>
      </c>
      <c r="C759" s="5">
        <v>165</v>
      </c>
      <c r="D759" s="5">
        <v>165</v>
      </c>
      <c r="E759" s="5">
        <v>161.25</v>
      </c>
      <c r="F759" s="5">
        <v>164.7</v>
      </c>
      <c r="G759" s="5">
        <v>8200</v>
      </c>
      <c r="I759" s="6">
        <v>40935</v>
      </c>
      <c r="J759" s="7">
        <v>0.66666666666666663</v>
      </c>
      <c r="K759" s="5">
        <v>5400</v>
      </c>
      <c r="L759" s="5">
        <v>5450</v>
      </c>
      <c r="M759" s="5">
        <v>5400</v>
      </c>
      <c r="N759" s="5">
        <v>5400</v>
      </c>
      <c r="O759" s="5">
        <v>14</v>
      </c>
      <c r="Q759" s="6">
        <v>39274</v>
      </c>
      <c r="R759" s="7">
        <v>0.66666666666666663</v>
      </c>
      <c r="S759" s="5">
        <v>121.3</v>
      </c>
      <c r="T759" s="5">
        <v>123.4</v>
      </c>
      <c r="U759" s="5">
        <v>118.5</v>
      </c>
      <c r="V759" s="5">
        <v>120</v>
      </c>
      <c r="W759" s="5">
        <v>481700</v>
      </c>
      <c r="Y759" s="6">
        <f t="shared" si="22"/>
        <v>40935</v>
      </c>
      <c r="Z759" s="5">
        <f t="shared" si="23"/>
        <v>5400</v>
      </c>
      <c r="AA759" s="5">
        <v>120.96</v>
      </c>
      <c r="AB759" s="5">
        <v>102.06</v>
      </c>
    </row>
    <row r="760" spans="1:28" x14ac:dyDescent="0.3">
      <c r="A760" s="6">
        <v>39294</v>
      </c>
      <c r="B760" s="7">
        <v>0.66666666666666663</v>
      </c>
      <c r="C760" s="5">
        <v>162.05000000000001</v>
      </c>
      <c r="D760" s="5">
        <v>169</v>
      </c>
      <c r="E760" s="5">
        <v>162.05000000000001</v>
      </c>
      <c r="F760" s="5">
        <v>167</v>
      </c>
      <c r="G760" s="5">
        <v>14200</v>
      </c>
      <c r="I760" s="6">
        <v>40938</v>
      </c>
      <c r="J760" s="7">
        <v>0.66666666666666663</v>
      </c>
      <c r="K760" s="5">
        <v>5400</v>
      </c>
      <c r="L760" s="5">
        <v>5400</v>
      </c>
      <c r="M760" s="5">
        <v>5300</v>
      </c>
      <c r="N760" s="5">
        <v>5393.5600999999997</v>
      </c>
      <c r="O760" s="5">
        <v>104</v>
      </c>
      <c r="Q760" s="6">
        <v>39275</v>
      </c>
      <c r="R760" s="7">
        <v>0.66666666666666663</v>
      </c>
      <c r="S760" s="5">
        <v>120.25</v>
      </c>
      <c r="T760" s="5">
        <v>126</v>
      </c>
      <c r="U760" s="5">
        <v>120.25</v>
      </c>
      <c r="V760" s="5">
        <v>126</v>
      </c>
      <c r="W760" s="5">
        <v>1059200</v>
      </c>
      <c r="Y760" s="6">
        <f t="shared" si="22"/>
        <v>40938</v>
      </c>
      <c r="Z760" s="5">
        <f t="shared" si="23"/>
        <v>5393.5600999999997</v>
      </c>
      <c r="AA760" s="5">
        <v>117.34</v>
      </c>
      <c r="AB760" s="5">
        <v>102</v>
      </c>
    </row>
    <row r="761" spans="1:28" x14ac:dyDescent="0.3">
      <c r="A761" s="6">
        <v>39295</v>
      </c>
      <c r="B761" s="7">
        <v>0.66666666666666663</v>
      </c>
      <c r="C761" s="5">
        <v>167</v>
      </c>
      <c r="D761" s="5">
        <v>169.85</v>
      </c>
      <c r="E761" s="5">
        <v>166.5</v>
      </c>
      <c r="F761" s="5">
        <v>169.85</v>
      </c>
      <c r="G761" s="5">
        <v>5000</v>
      </c>
      <c r="I761" s="6">
        <v>40939</v>
      </c>
      <c r="J761" s="7">
        <v>0.66666666666666663</v>
      </c>
      <c r="K761" s="5">
        <v>5393.5600999999997</v>
      </c>
      <c r="L761" s="5">
        <v>5400</v>
      </c>
      <c r="M761" s="5">
        <v>5350</v>
      </c>
      <c r="N761" s="5">
        <v>5394.9502000000002</v>
      </c>
      <c r="O761" s="5">
        <v>203</v>
      </c>
      <c r="Q761" s="6">
        <v>39276</v>
      </c>
      <c r="R761" s="7">
        <v>0.66666666666666663</v>
      </c>
      <c r="S761" s="5">
        <v>126</v>
      </c>
      <c r="T761" s="5">
        <v>132.30000000000001</v>
      </c>
      <c r="U761" s="5">
        <v>125</v>
      </c>
      <c r="V761" s="5">
        <v>132.30000000000001</v>
      </c>
      <c r="W761" s="5">
        <v>3192600</v>
      </c>
      <c r="Y761" s="6">
        <f t="shared" si="22"/>
        <v>40939</v>
      </c>
      <c r="Z761" s="5">
        <f t="shared" si="23"/>
        <v>5394.9502000000002</v>
      </c>
      <c r="AA761" s="5">
        <v>120.69</v>
      </c>
      <c r="AB761" s="5">
        <v>101.33</v>
      </c>
    </row>
    <row r="762" spans="1:28" x14ac:dyDescent="0.3">
      <c r="A762" s="6">
        <v>39296</v>
      </c>
      <c r="B762" s="7">
        <v>0.66666666666666663</v>
      </c>
      <c r="C762" s="5">
        <v>173</v>
      </c>
      <c r="D762" s="5">
        <v>173</v>
      </c>
      <c r="E762" s="5">
        <v>170</v>
      </c>
      <c r="F762" s="5">
        <v>170</v>
      </c>
      <c r="G762" s="5">
        <v>16400</v>
      </c>
      <c r="I762" s="6">
        <v>40940</v>
      </c>
      <c r="J762" s="7">
        <v>0.66666666666666663</v>
      </c>
      <c r="K762" s="5">
        <v>5394.9502000000002</v>
      </c>
      <c r="L762" s="5">
        <v>5400</v>
      </c>
      <c r="M762" s="5">
        <v>5392.73</v>
      </c>
      <c r="N762" s="5">
        <v>5392.73</v>
      </c>
      <c r="O762" s="5">
        <v>91</v>
      </c>
      <c r="Q762" s="6">
        <v>39279</v>
      </c>
      <c r="R762" s="7">
        <v>0.66666666666666663</v>
      </c>
      <c r="S762" s="5">
        <v>132.30000000000001</v>
      </c>
      <c r="T762" s="5">
        <v>138.9</v>
      </c>
      <c r="U762" s="5">
        <v>131.15</v>
      </c>
      <c r="V762" s="5">
        <v>138.9</v>
      </c>
      <c r="W762" s="5">
        <v>3265600</v>
      </c>
      <c r="Y762" s="6">
        <f t="shared" si="22"/>
        <v>40940</v>
      </c>
      <c r="Z762" s="5">
        <f t="shared" si="23"/>
        <v>5392.73</v>
      </c>
      <c r="AA762" s="5">
        <v>120.55</v>
      </c>
      <c r="AB762" s="5">
        <v>102</v>
      </c>
    </row>
    <row r="763" spans="1:28" x14ac:dyDescent="0.3">
      <c r="A763" s="6">
        <v>39297</v>
      </c>
      <c r="B763" s="7">
        <v>0.66666666666666663</v>
      </c>
      <c r="C763" s="5">
        <v>167</v>
      </c>
      <c r="D763" s="5">
        <v>170</v>
      </c>
      <c r="E763" s="5">
        <v>167</v>
      </c>
      <c r="F763" s="5">
        <v>167</v>
      </c>
      <c r="G763" s="5">
        <v>7100</v>
      </c>
      <c r="I763" s="6">
        <v>40941</v>
      </c>
      <c r="J763" s="7">
        <v>0.66666666666666663</v>
      </c>
      <c r="K763" s="5">
        <v>5392.73</v>
      </c>
      <c r="L763" s="5">
        <v>5490</v>
      </c>
      <c r="M763" s="5">
        <v>5370</v>
      </c>
      <c r="N763" s="5">
        <v>5392.73</v>
      </c>
      <c r="O763" s="5">
        <v>3</v>
      </c>
      <c r="Q763" s="6">
        <v>39280</v>
      </c>
      <c r="R763" s="7">
        <v>0.66666666666666663</v>
      </c>
      <c r="S763" s="5">
        <v>140.05000000000001</v>
      </c>
      <c r="T763" s="5">
        <v>145.80000000000001</v>
      </c>
      <c r="U763" s="5">
        <v>140.05000000000001</v>
      </c>
      <c r="V763" s="5">
        <v>145.80000000000001</v>
      </c>
      <c r="W763" s="5">
        <v>2608100</v>
      </c>
      <c r="Y763" s="6">
        <f t="shared" si="22"/>
        <v>40941</v>
      </c>
      <c r="Z763" s="5">
        <f t="shared" si="23"/>
        <v>5392.73</v>
      </c>
      <c r="AA763" s="5">
        <v>121.51</v>
      </c>
      <c r="AB763" s="5">
        <v>101.88</v>
      </c>
    </row>
    <row r="764" spans="1:28" x14ac:dyDescent="0.3">
      <c r="A764" s="6">
        <v>39300</v>
      </c>
      <c r="B764" s="7">
        <v>0.66666666666666663</v>
      </c>
      <c r="C764" s="5">
        <v>166.1</v>
      </c>
      <c r="D764" s="5">
        <v>175</v>
      </c>
      <c r="E764" s="5">
        <v>164.5</v>
      </c>
      <c r="F764" s="5">
        <v>168.5</v>
      </c>
      <c r="G764" s="5">
        <v>31700</v>
      </c>
      <c r="I764" s="6">
        <v>40942</v>
      </c>
      <c r="J764" s="7">
        <v>0.66666666666666663</v>
      </c>
      <c r="K764" s="5">
        <v>5392.73</v>
      </c>
      <c r="L764" s="5">
        <v>5489</v>
      </c>
      <c r="M764" s="5">
        <v>5312</v>
      </c>
      <c r="N764" s="5">
        <v>5316.5</v>
      </c>
      <c r="O764" s="5">
        <v>42</v>
      </c>
      <c r="Q764" s="6">
        <v>39281</v>
      </c>
      <c r="R764" s="7">
        <v>0.66666666666666663</v>
      </c>
      <c r="S764" s="5">
        <v>145.80000000000001</v>
      </c>
      <c r="T764" s="5">
        <v>153.05000000000001</v>
      </c>
      <c r="U764" s="5">
        <v>138.55000000000001</v>
      </c>
      <c r="V764" s="5">
        <v>146.94999999999999</v>
      </c>
      <c r="W764" s="5">
        <v>4249600</v>
      </c>
      <c r="Y764" s="6">
        <f t="shared" si="22"/>
        <v>40942</v>
      </c>
      <c r="Z764" s="5">
        <f t="shared" si="23"/>
        <v>5316.5</v>
      </c>
      <c r="AA764" s="5">
        <v>126.19</v>
      </c>
      <c r="AB764" s="5">
        <v>101.14</v>
      </c>
    </row>
    <row r="765" spans="1:28" x14ac:dyDescent="0.3">
      <c r="A765" s="6">
        <v>39301</v>
      </c>
      <c r="B765" s="7">
        <v>0.66666666666666663</v>
      </c>
      <c r="C765" s="5">
        <v>167</v>
      </c>
      <c r="D765" s="5">
        <v>173</v>
      </c>
      <c r="E765" s="5">
        <v>166</v>
      </c>
      <c r="F765" s="5">
        <v>173</v>
      </c>
      <c r="G765" s="5">
        <v>30800</v>
      </c>
      <c r="I765" s="6">
        <v>40945</v>
      </c>
      <c r="J765" s="7">
        <v>0.66666666666666663</v>
      </c>
      <c r="K765" s="5">
        <v>5316.5</v>
      </c>
      <c r="L765" s="5">
        <v>5374</v>
      </c>
      <c r="M765" s="5">
        <v>5266</v>
      </c>
      <c r="N765" s="5">
        <v>5297.5600999999997</v>
      </c>
      <c r="O765" s="5">
        <v>14</v>
      </c>
      <c r="Q765" s="6">
        <v>39282</v>
      </c>
      <c r="R765" s="7">
        <v>0.66666666666666663</v>
      </c>
      <c r="S765" s="5">
        <v>146.94999999999999</v>
      </c>
      <c r="T765" s="5">
        <v>151</v>
      </c>
      <c r="U765" s="5">
        <v>139.65</v>
      </c>
      <c r="V765" s="5">
        <v>139.65</v>
      </c>
      <c r="W765" s="5">
        <v>1909800</v>
      </c>
      <c r="Y765" s="6">
        <f t="shared" si="22"/>
        <v>40945</v>
      </c>
      <c r="Z765" s="5">
        <f t="shared" si="23"/>
        <v>5297.5600999999997</v>
      </c>
      <c r="AA765" s="5">
        <v>123.24</v>
      </c>
      <c r="AB765" s="5">
        <v>101.5</v>
      </c>
    </row>
    <row r="766" spans="1:28" x14ac:dyDescent="0.3">
      <c r="A766" s="6">
        <v>39302</v>
      </c>
      <c r="B766" s="7">
        <v>0.66666666666666663</v>
      </c>
      <c r="C766" s="5">
        <v>166</v>
      </c>
      <c r="D766" s="5">
        <v>169</v>
      </c>
      <c r="E766" s="5">
        <v>165</v>
      </c>
      <c r="F766" s="5">
        <v>168.45</v>
      </c>
      <c r="G766" s="5">
        <v>11400</v>
      </c>
      <c r="I766" s="6">
        <v>40946</v>
      </c>
      <c r="J766" s="7">
        <v>0.66666666666666663</v>
      </c>
      <c r="K766" s="5">
        <v>5299</v>
      </c>
      <c r="L766" s="5">
        <v>5350</v>
      </c>
      <c r="M766" s="5">
        <v>5299</v>
      </c>
      <c r="N766" s="5">
        <v>5300</v>
      </c>
      <c r="O766" s="5">
        <v>50</v>
      </c>
      <c r="Q766" s="6">
        <v>39283</v>
      </c>
      <c r="R766" s="7">
        <v>0.66666666666666663</v>
      </c>
      <c r="S766" s="5">
        <v>139.65</v>
      </c>
      <c r="T766" s="5">
        <v>146.6</v>
      </c>
      <c r="U766" s="5">
        <v>135.5</v>
      </c>
      <c r="V766" s="5">
        <v>146.6</v>
      </c>
      <c r="W766" s="5">
        <v>2714800</v>
      </c>
      <c r="Y766" s="6">
        <f t="shared" si="22"/>
        <v>40946</v>
      </c>
      <c r="Z766" s="5">
        <f t="shared" si="23"/>
        <v>5300</v>
      </c>
      <c r="AA766" s="5">
        <v>123.45</v>
      </c>
      <c r="AB766" s="5">
        <v>105.47</v>
      </c>
    </row>
    <row r="767" spans="1:28" x14ac:dyDescent="0.3">
      <c r="A767" s="6">
        <v>39303</v>
      </c>
      <c r="B767" s="7">
        <v>0.66666666666666663</v>
      </c>
      <c r="C767" s="5">
        <v>161</v>
      </c>
      <c r="D767" s="5">
        <v>162.5</v>
      </c>
      <c r="E767" s="5">
        <v>160.05000000000001</v>
      </c>
      <c r="F767" s="5">
        <v>162.5</v>
      </c>
      <c r="G767" s="5">
        <v>24900</v>
      </c>
      <c r="I767" s="6">
        <v>40947</v>
      </c>
      <c r="J767" s="7">
        <v>0.66666666666666663</v>
      </c>
      <c r="K767" s="5">
        <v>5300</v>
      </c>
      <c r="L767" s="5">
        <v>5348</v>
      </c>
      <c r="M767" s="5">
        <v>5275</v>
      </c>
      <c r="N767" s="5">
        <v>5299</v>
      </c>
      <c r="O767" s="5">
        <v>32</v>
      </c>
      <c r="Q767" s="6">
        <v>39286</v>
      </c>
      <c r="R767" s="7">
        <v>0.66666666666666663</v>
      </c>
      <c r="S767" s="5">
        <v>151.6</v>
      </c>
      <c r="T767" s="5">
        <v>153.9</v>
      </c>
      <c r="U767" s="5">
        <v>151.6</v>
      </c>
      <c r="V767" s="5">
        <v>153.9</v>
      </c>
      <c r="W767" s="5">
        <v>1882400</v>
      </c>
      <c r="Y767" s="6">
        <f t="shared" si="22"/>
        <v>40947</v>
      </c>
      <c r="Z767" s="5">
        <f t="shared" si="23"/>
        <v>5299</v>
      </c>
      <c r="AA767" s="5">
        <v>124.16</v>
      </c>
      <c r="AB767" s="5">
        <v>103.54</v>
      </c>
    </row>
    <row r="768" spans="1:28" x14ac:dyDescent="0.3">
      <c r="A768" s="6">
        <v>39304</v>
      </c>
      <c r="B768" s="7">
        <v>0.66666666666666663</v>
      </c>
      <c r="C768" s="5">
        <v>157</v>
      </c>
      <c r="D768" s="5">
        <v>164</v>
      </c>
      <c r="E768" s="5">
        <v>157</v>
      </c>
      <c r="F768" s="5">
        <v>161.1</v>
      </c>
      <c r="G768" s="5">
        <v>2500</v>
      </c>
      <c r="I768" s="6">
        <v>40948</v>
      </c>
      <c r="J768" s="7">
        <v>0.66666666666666663</v>
      </c>
      <c r="K768" s="5">
        <v>5299</v>
      </c>
      <c r="L768" s="5">
        <v>5300</v>
      </c>
      <c r="M768" s="5">
        <v>5299</v>
      </c>
      <c r="N768" s="5">
        <v>5299.8301000000001</v>
      </c>
      <c r="O768" s="5">
        <v>9</v>
      </c>
      <c r="Q768" s="6">
        <v>39287</v>
      </c>
      <c r="R768" s="7">
        <v>0.66666666666666663</v>
      </c>
      <c r="S768" s="5">
        <v>157.5</v>
      </c>
      <c r="T768" s="5">
        <v>161.55000000000001</v>
      </c>
      <c r="U768" s="5">
        <v>157.5</v>
      </c>
      <c r="V768" s="5">
        <v>161.55000000000001</v>
      </c>
      <c r="W768" s="5">
        <v>4299900</v>
      </c>
      <c r="Y768" s="6">
        <f t="shared" si="22"/>
        <v>40948</v>
      </c>
      <c r="Z768" s="5">
        <f t="shared" si="23"/>
        <v>5299.8301000000001</v>
      </c>
      <c r="AA768" s="5">
        <v>122.73</v>
      </c>
      <c r="AB768" s="5">
        <v>104.02</v>
      </c>
    </row>
    <row r="769" spans="1:28" x14ac:dyDescent="0.3">
      <c r="A769" s="6">
        <v>39307</v>
      </c>
      <c r="B769" s="7">
        <v>0.66666666666666663</v>
      </c>
      <c r="C769" s="5">
        <v>160.05000000000001</v>
      </c>
      <c r="D769" s="5">
        <v>160.05000000000001</v>
      </c>
      <c r="E769" s="5">
        <v>157.19999999999999</v>
      </c>
      <c r="F769" s="5">
        <v>157.19999999999999</v>
      </c>
      <c r="G769" s="5">
        <v>8300</v>
      </c>
      <c r="I769" s="6">
        <v>40949</v>
      </c>
      <c r="J769" s="7">
        <v>0.66666666666666663</v>
      </c>
      <c r="K769" s="5">
        <v>5300</v>
      </c>
      <c r="L769" s="5">
        <v>5350</v>
      </c>
      <c r="M769" s="5">
        <v>5300</v>
      </c>
      <c r="N769" s="5">
        <v>5312.77</v>
      </c>
      <c r="O769" s="5">
        <v>254</v>
      </c>
      <c r="Q769" s="6">
        <v>39288</v>
      </c>
      <c r="R769" s="7">
        <v>0.66666666666666663</v>
      </c>
      <c r="S769" s="5">
        <v>161.4</v>
      </c>
      <c r="T769" s="5">
        <v>161.4</v>
      </c>
      <c r="U769" s="5">
        <v>153.5</v>
      </c>
      <c r="V769" s="5">
        <v>158.4</v>
      </c>
      <c r="W769" s="5">
        <v>5042600</v>
      </c>
      <c r="Y769" s="6">
        <f t="shared" si="22"/>
        <v>40949</v>
      </c>
      <c r="Z769" s="5">
        <f t="shared" si="23"/>
        <v>5312.77</v>
      </c>
      <c r="AA769" s="5">
        <v>120.39</v>
      </c>
      <c r="AB769" s="5">
        <v>103.54</v>
      </c>
    </row>
    <row r="770" spans="1:28" x14ac:dyDescent="0.3">
      <c r="A770" s="6">
        <v>39309</v>
      </c>
      <c r="B770" s="7">
        <v>0.66666666666666663</v>
      </c>
      <c r="C770" s="5">
        <v>155</v>
      </c>
      <c r="D770" s="5">
        <v>158</v>
      </c>
      <c r="E770" s="5">
        <v>152.5</v>
      </c>
      <c r="F770" s="5">
        <v>157</v>
      </c>
      <c r="G770" s="5">
        <v>10000</v>
      </c>
      <c r="I770" s="6">
        <v>40952</v>
      </c>
      <c r="J770" s="7">
        <v>0.66666666666666663</v>
      </c>
      <c r="K770" s="5">
        <v>5312.77</v>
      </c>
      <c r="L770" s="5">
        <v>5578.3999000000003</v>
      </c>
      <c r="M770" s="5">
        <v>5211</v>
      </c>
      <c r="N770" s="5">
        <v>5553.4701999999997</v>
      </c>
      <c r="O770" s="5">
        <v>2988</v>
      </c>
      <c r="Q770" s="6">
        <v>39289</v>
      </c>
      <c r="R770" s="7">
        <v>0.66666666666666663</v>
      </c>
      <c r="S770" s="5">
        <v>158.4</v>
      </c>
      <c r="T770" s="5">
        <v>164.75</v>
      </c>
      <c r="U770" s="5">
        <v>155.5</v>
      </c>
      <c r="V770" s="5">
        <v>159</v>
      </c>
      <c r="W770" s="5">
        <v>4109800</v>
      </c>
      <c r="Y770" s="6">
        <f t="shared" si="22"/>
        <v>40952</v>
      </c>
      <c r="Z770" s="5">
        <f t="shared" si="23"/>
        <v>5553.4701999999997</v>
      </c>
      <c r="AA770" s="5">
        <v>120.45</v>
      </c>
      <c r="AB770" s="5">
        <v>103.99</v>
      </c>
    </row>
    <row r="771" spans="1:28" x14ac:dyDescent="0.3">
      <c r="A771" s="6">
        <v>39310</v>
      </c>
      <c r="B771" s="7">
        <v>0.66666666666666663</v>
      </c>
      <c r="C771" s="5">
        <v>154</v>
      </c>
      <c r="D771" s="5">
        <v>156</v>
      </c>
      <c r="E771" s="5">
        <v>153.4</v>
      </c>
      <c r="F771" s="5">
        <v>155</v>
      </c>
      <c r="G771" s="5">
        <v>4500</v>
      </c>
      <c r="I771" s="6">
        <v>40953</v>
      </c>
      <c r="J771" s="7">
        <v>0.66666666666666663</v>
      </c>
      <c r="K771" s="5">
        <v>5553.4701999999997</v>
      </c>
      <c r="L771" s="5">
        <v>5600</v>
      </c>
      <c r="M771" s="5">
        <v>5450</v>
      </c>
      <c r="N771" s="5">
        <v>5589.2002000000002</v>
      </c>
      <c r="O771" s="5">
        <v>101</v>
      </c>
      <c r="Q771" s="6">
        <v>39290</v>
      </c>
      <c r="R771" s="7">
        <v>0.66666666666666663</v>
      </c>
      <c r="S771" s="5">
        <v>159</v>
      </c>
      <c r="T771" s="5">
        <v>160.80000000000001</v>
      </c>
      <c r="U771" s="5">
        <v>152.55000000000001</v>
      </c>
      <c r="V771" s="5">
        <v>153.5</v>
      </c>
      <c r="W771" s="5">
        <v>1695500</v>
      </c>
      <c r="Y771" s="6">
        <f t="shared" si="22"/>
        <v>40953</v>
      </c>
      <c r="Z771" s="5">
        <f t="shared" si="23"/>
        <v>5589.2002000000002</v>
      </c>
      <c r="AA771" s="5">
        <v>120.34</v>
      </c>
      <c r="AB771" s="5">
        <v>100.92</v>
      </c>
    </row>
    <row r="772" spans="1:28" x14ac:dyDescent="0.3">
      <c r="A772" s="6">
        <v>39311</v>
      </c>
      <c r="B772" s="7">
        <v>0.66666666666666663</v>
      </c>
      <c r="C772" s="5">
        <v>155.94999999999999</v>
      </c>
      <c r="D772" s="5">
        <v>156</v>
      </c>
      <c r="E772" s="5">
        <v>155</v>
      </c>
      <c r="F772" s="5">
        <v>155.94999999999999</v>
      </c>
      <c r="G772" s="5">
        <v>3200</v>
      </c>
      <c r="I772" s="6">
        <v>40954</v>
      </c>
      <c r="J772" s="7">
        <v>0.66666666666666663</v>
      </c>
      <c r="K772" s="5">
        <v>5550</v>
      </c>
      <c r="L772" s="5">
        <v>5550</v>
      </c>
      <c r="M772" s="5">
        <v>5400</v>
      </c>
      <c r="N772" s="5">
        <v>5425</v>
      </c>
      <c r="O772" s="5">
        <v>546</v>
      </c>
      <c r="Q772" s="6">
        <v>39293</v>
      </c>
      <c r="R772" s="7">
        <v>0.66666666666666663</v>
      </c>
      <c r="S772" s="5">
        <v>153.5</v>
      </c>
      <c r="T772" s="5">
        <v>161.15</v>
      </c>
      <c r="U772" s="5">
        <v>151.1</v>
      </c>
      <c r="V772" s="5">
        <v>161.15</v>
      </c>
      <c r="W772" s="5">
        <v>2807800</v>
      </c>
      <c r="Y772" s="6">
        <f t="shared" ref="Y772:Y835" si="24">I772</f>
        <v>40954</v>
      </c>
      <c r="Z772" s="5">
        <f t="shared" ref="Z772:Z835" si="25">N772</f>
        <v>5425</v>
      </c>
      <c r="AA772" s="5">
        <v>120.88</v>
      </c>
      <c r="AB772" s="5">
        <v>95.88</v>
      </c>
    </row>
    <row r="773" spans="1:28" x14ac:dyDescent="0.3">
      <c r="A773" s="6">
        <v>39314</v>
      </c>
      <c r="B773" s="7">
        <v>0.66666666666666663</v>
      </c>
      <c r="C773" s="5">
        <v>155</v>
      </c>
      <c r="D773" s="5">
        <v>156</v>
      </c>
      <c r="E773" s="5">
        <v>155</v>
      </c>
      <c r="F773" s="5">
        <v>155.1</v>
      </c>
      <c r="G773" s="5">
        <v>6100</v>
      </c>
      <c r="I773" s="6">
        <v>40955</v>
      </c>
      <c r="J773" s="7">
        <v>0.66666666666666663</v>
      </c>
      <c r="K773" s="5">
        <v>5474.9902000000002</v>
      </c>
      <c r="L773" s="5">
        <v>5489</v>
      </c>
      <c r="M773" s="5">
        <v>5474.9902000000002</v>
      </c>
      <c r="N773" s="5">
        <v>5485.2002000000002</v>
      </c>
      <c r="O773" s="5">
        <v>8</v>
      </c>
      <c r="Q773" s="6">
        <v>39294</v>
      </c>
      <c r="R773" s="7">
        <v>0.66666666666666663</v>
      </c>
      <c r="S773" s="5">
        <v>162</v>
      </c>
      <c r="T773" s="5">
        <v>168.5</v>
      </c>
      <c r="U773" s="5">
        <v>162</v>
      </c>
      <c r="V773" s="5">
        <v>166.5</v>
      </c>
      <c r="W773" s="5">
        <v>3259100</v>
      </c>
      <c r="Y773" s="6">
        <f t="shared" si="24"/>
        <v>40955</v>
      </c>
      <c r="Z773" s="5">
        <f t="shared" si="25"/>
        <v>5485.2002000000002</v>
      </c>
      <c r="AA773" s="5">
        <v>122.02</v>
      </c>
      <c r="AB773" s="5">
        <v>91.59</v>
      </c>
    </row>
    <row r="774" spans="1:28" x14ac:dyDescent="0.3">
      <c r="A774" s="6">
        <v>39315</v>
      </c>
      <c r="B774" s="7">
        <v>0.66666666666666663</v>
      </c>
      <c r="C774" s="5">
        <v>157.94999999999999</v>
      </c>
      <c r="D774" s="5">
        <v>157.94999999999999</v>
      </c>
      <c r="E774" s="5">
        <v>152</v>
      </c>
      <c r="F774" s="5">
        <v>152</v>
      </c>
      <c r="G774" s="5">
        <v>12400</v>
      </c>
      <c r="I774" s="6">
        <v>40956</v>
      </c>
      <c r="J774" s="7">
        <v>0.66666666666666663</v>
      </c>
      <c r="K774" s="5">
        <v>5485.2002000000002</v>
      </c>
      <c r="L774" s="5">
        <v>5505</v>
      </c>
      <c r="M774" s="5">
        <v>5400</v>
      </c>
      <c r="N774" s="5">
        <v>5500.1400999999996</v>
      </c>
      <c r="O774" s="5">
        <v>249</v>
      </c>
      <c r="Q774" s="6">
        <v>39295</v>
      </c>
      <c r="R774" s="7">
        <v>0.66666666666666663</v>
      </c>
      <c r="S774" s="5">
        <v>166.5</v>
      </c>
      <c r="T774" s="5">
        <v>172</v>
      </c>
      <c r="U774" s="5">
        <v>165</v>
      </c>
      <c r="V774" s="5">
        <v>170.5</v>
      </c>
      <c r="W774" s="5">
        <v>4481800</v>
      </c>
      <c r="Y774" s="6">
        <f t="shared" si="24"/>
        <v>40956</v>
      </c>
      <c r="Z774" s="5">
        <f t="shared" si="25"/>
        <v>5500.1400999999996</v>
      </c>
      <c r="AA774" s="5">
        <v>124</v>
      </c>
      <c r="AB774" s="5">
        <v>93.31</v>
      </c>
    </row>
    <row r="775" spans="1:28" x14ac:dyDescent="0.3">
      <c r="A775" s="6">
        <v>39316</v>
      </c>
      <c r="B775" s="7">
        <v>0.66666666666666663</v>
      </c>
      <c r="C775" s="5">
        <v>151</v>
      </c>
      <c r="D775" s="5">
        <v>151.5</v>
      </c>
      <c r="E775" s="5">
        <v>150.1</v>
      </c>
      <c r="F775" s="5">
        <v>151</v>
      </c>
      <c r="G775" s="5">
        <v>5400</v>
      </c>
      <c r="I775" s="6">
        <v>40959</v>
      </c>
      <c r="J775" s="7">
        <v>0.66666666666666663</v>
      </c>
      <c r="K775" s="5">
        <v>5500.1400999999996</v>
      </c>
      <c r="L775" s="5">
        <v>5550</v>
      </c>
      <c r="M775" s="5">
        <v>5500</v>
      </c>
      <c r="N775" s="5">
        <v>5550</v>
      </c>
      <c r="O775" s="5">
        <v>3366</v>
      </c>
      <c r="Q775" s="6">
        <v>39296</v>
      </c>
      <c r="R775" s="7">
        <v>0.66666666666666663</v>
      </c>
      <c r="S775" s="5">
        <v>170.5</v>
      </c>
      <c r="T775" s="5">
        <v>171.7</v>
      </c>
      <c r="U775" s="5">
        <v>166.2</v>
      </c>
      <c r="V775" s="5">
        <v>166.95</v>
      </c>
      <c r="W775" s="5">
        <v>2267600</v>
      </c>
      <c r="Y775" s="6">
        <f t="shared" si="24"/>
        <v>40959</v>
      </c>
      <c r="Z775" s="5">
        <f t="shared" si="25"/>
        <v>5550</v>
      </c>
      <c r="AA775" s="5">
        <v>121.73</v>
      </c>
      <c r="AB775" s="5">
        <v>91.1</v>
      </c>
    </row>
    <row r="776" spans="1:28" x14ac:dyDescent="0.3">
      <c r="A776" s="6">
        <v>39317</v>
      </c>
      <c r="B776" s="7">
        <v>0.66666666666666663</v>
      </c>
      <c r="C776" s="5">
        <v>150.5</v>
      </c>
      <c r="D776" s="5">
        <v>152.25</v>
      </c>
      <c r="E776" s="5">
        <v>150</v>
      </c>
      <c r="F776" s="5">
        <v>151</v>
      </c>
      <c r="G776" s="5">
        <v>7800</v>
      </c>
      <c r="I776" s="6">
        <v>40960</v>
      </c>
      <c r="J776" s="7">
        <v>0.66666666666666663</v>
      </c>
      <c r="K776" s="5">
        <v>5550</v>
      </c>
      <c r="L776" s="5">
        <v>5800</v>
      </c>
      <c r="M776" s="5">
        <v>5550</v>
      </c>
      <c r="N776" s="5">
        <v>5650</v>
      </c>
      <c r="O776" s="5">
        <v>75</v>
      </c>
      <c r="Q776" s="6">
        <v>39297</v>
      </c>
      <c r="R776" s="7">
        <v>0.66666666666666663</v>
      </c>
      <c r="S776" s="5">
        <v>166.95</v>
      </c>
      <c r="T776" s="5">
        <v>169.9</v>
      </c>
      <c r="U776" s="5">
        <v>164.5</v>
      </c>
      <c r="V776" s="5">
        <v>169</v>
      </c>
      <c r="W776" s="5">
        <v>1305000</v>
      </c>
      <c r="Y776" s="6">
        <f t="shared" si="24"/>
        <v>40960</v>
      </c>
      <c r="Z776" s="5">
        <f t="shared" si="25"/>
        <v>5650</v>
      </c>
      <c r="AA776" s="5">
        <v>121.82</v>
      </c>
      <c r="AB776" s="5">
        <v>92</v>
      </c>
    </row>
    <row r="777" spans="1:28" x14ac:dyDescent="0.3">
      <c r="A777" s="6">
        <v>39318</v>
      </c>
      <c r="B777" s="7">
        <v>0.66666666666666663</v>
      </c>
      <c r="C777" s="5">
        <v>150</v>
      </c>
      <c r="D777" s="5">
        <v>150</v>
      </c>
      <c r="E777" s="5">
        <v>147.80000000000001</v>
      </c>
      <c r="F777" s="5">
        <v>147.80000000000001</v>
      </c>
      <c r="G777" s="5">
        <v>3200</v>
      </c>
      <c r="I777" s="6">
        <v>40961</v>
      </c>
      <c r="J777" s="7">
        <v>0.66666666666666663</v>
      </c>
      <c r="K777" s="5">
        <v>5602</v>
      </c>
      <c r="L777" s="5">
        <v>5602</v>
      </c>
      <c r="M777" s="5">
        <v>5601</v>
      </c>
      <c r="N777" s="5">
        <v>5601.2002000000002</v>
      </c>
      <c r="O777" s="5">
        <v>6</v>
      </c>
      <c r="Q777" s="6">
        <v>39300</v>
      </c>
      <c r="R777" s="7">
        <v>0.66666666666666663</v>
      </c>
      <c r="S777" s="5">
        <v>169</v>
      </c>
      <c r="T777" s="5">
        <v>170.5</v>
      </c>
      <c r="U777" s="5">
        <v>162.65</v>
      </c>
      <c r="V777" s="5">
        <v>164</v>
      </c>
      <c r="W777" s="5">
        <v>952400</v>
      </c>
      <c r="Y777" s="6">
        <f t="shared" si="24"/>
        <v>40961</v>
      </c>
      <c r="Z777" s="5">
        <f t="shared" si="25"/>
        <v>5601.2002000000002</v>
      </c>
      <c r="AA777" s="5">
        <v>121.15</v>
      </c>
      <c r="AB777" s="5">
        <v>92.61</v>
      </c>
    </row>
    <row r="778" spans="1:28" x14ac:dyDescent="0.3">
      <c r="A778" s="6">
        <v>39321</v>
      </c>
      <c r="B778" s="7">
        <v>0.66666666666666663</v>
      </c>
      <c r="C778" s="5">
        <v>147.05000000000001</v>
      </c>
      <c r="D778" s="5">
        <v>150</v>
      </c>
      <c r="E778" s="5">
        <v>146</v>
      </c>
      <c r="F778" s="5">
        <v>148.9</v>
      </c>
      <c r="G778" s="5">
        <v>3700</v>
      </c>
      <c r="I778" s="6">
        <v>40962</v>
      </c>
      <c r="J778" s="7">
        <v>0.66666666666666663</v>
      </c>
      <c r="K778" s="5">
        <v>5601.2002000000002</v>
      </c>
      <c r="L778" s="5">
        <v>5690</v>
      </c>
      <c r="M778" s="5">
        <v>5550</v>
      </c>
      <c r="N778" s="5">
        <v>5555</v>
      </c>
      <c r="O778" s="5">
        <v>8</v>
      </c>
      <c r="Q778" s="6">
        <v>39301</v>
      </c>
      <c r="R778" s="7">
        <v>0.66666666666666663</v>
      </c>
      <c r="S778" s="5">
        <v>164</v>
      </c>
      <c r="T778" s="5">
        <v>164.9</v>
      </c>
      <c r="U778" s="5">
        <v>155.80000000000001</v>
      </c>
      <c r="V778" s="5">
        <v>160.94999999999999</v>
      </c>
      <c r="W778" s="5">
        <v>1801300</v>
      </c>
      <c r="Y778" s="6">
        <f t="shared" si="24"/>
        <v>40962</v>
      </c>
      <c r="Z778" s="5">
        <f t="shared" si="25"/>
        <v>5555</v>
      </c>
      <c r="AA778" s="5">
        <v>122.23</v>
      </c>
      <c r="AB778" s="5">
        <v>92.37</v>
      </c>
    </row>
    <row r="779" spans="1:28" x14ac:dyDescent="0.3">
      <c r="A779" s="6">
        <v>39322</v>
      </c>
      <c r="B779" s="7">
        <v>0.66666666666666663</v>
      </c>
      <c r="C779" s="5">
        <v>145.4</v>
      </c>
      <c r="D779" s="5">
        <v>149.80000000000001</v>
      </c>
      <c r="E779" s="5">
        <v>145.4</v>
      </c>
      <c r="F779" s="5">
        <v>149.80000000000001</v>
      </c>
      <c r="G779" s="5">
        <v>300</v>
      </c>
      <c r="I779" s="6">
        <v>40963</v>
      </c>
      <c r="J779" s="7">
        <v>0.66666666666666663</v>
      </c>
      <c r="K779" s="5">
        <v>5555</v>
      </c>
      <c r="L779" s="5">
        <v>5695</v>
      </c>
      <c r="M779" s="5">
        <v>5520</v>
      </c>
      <c r="N779" s="5">
        <v>5647.4399000000003</v>
      </c>
      <c r="O779" s="5">
        <v>513</v>
      </c>
      <c r="Q779" s="6">
        <v>39302</v>
      </c>
      <c r="R779" s="7">
        <v>0.66666666666666663</v>
      </c>
      <c r="S779" s="5">
        <v>160.94999999999999</v>
      </c>
      <c r="T779" s="5">
        <v>167.8</v>
      </c>
      <c r="U779" s="5">
        <v>160.6</v>
      </c>
      <c r="V779" s="5">
        <v>166</v>
      </c>
      <c r="W779" s="5">
        <v>2641200</v>
      </c>
      <c r="Y779" s="6">
        <f t="shared" si="24"/>
        <v>40963</v>
      </c>
      <c r="Z779" s="5">
        <f t="shared" si="25"/>
        <v>5647.4399000000003</v>
      </c>
      <c r="AA779" s="5">
        <v>124.41</v>
      </c>
      <c r="AB779" s="5">
        <v>92.29</v>
      </c>
    </row>
    <row r="780" spans="1:28" x14ac:dyDescent="0.3">
      <c r="A780" s="6">
        <v>39323</v>
      </c>
      <c r="B780" s="7">
        <v>0.66666666666666663</v>
      </c>
      <c r="C780" s="5">
        <v>149.75</v>
      </c>
      <c r="D780" s="5">
        <v>151.80000000000001</v>
      </c>
      <c r="E780" s="5">
        <v>149.75</v>
      </c>
      <c r="F780" s="5">
        <v>151</v>
      </c>
      <c r="G780" s="5">
        <v>5200</v>
      </c>
      <c r="I780" s="6">
        <v>40966</v>
      </c>
      <c r="J780" s="7">
        <v>0.66666666666666663</v>
      </c>
      <c r="K780" s="5">
        <v>5647.4399000000003</v>
      </c>
      <c r="L780" s="5">
        <v>5699</v>
      </c>
      <c r="M780" s="5">
        <v>5647</v>
      </c>
      <c r="N780" s="5">
        <v>5650</v>
      </c>
      <c r="O780" s="5">
        <v>1113</v>
      </c>
      <c r="Q780" s="6">
        <v>39303</v>
      </c>
      <c r="R780" s="7">
        <v>0.66666666666666663</v>
      </c>
      <c r="S780" s="5">
        <v>161.80000000000001</v>
      </c>
      <c r="T780" s="5">
        <v>161.80000000000001</v>
      </c>
      <c r="U780" s="5">
        <v>157.69999999999999</v>
      </c>
      <c r="V780" s="5">
        <v>157.94999999999999</v>
      </c>
      <c r="W780" s="5">
        <v>1350400</v>
      </c>
      <c r="Y780" s="6">
        <f t="shared" si="24"/>
        <v>40966</v>
      </c>
      <c r="Z780" s="5">
        <f t="shared" si="25"/>
        <v>5650</v>
      </c>
      <c r="AA780" s="5">
        <v>124.07</v>
      </c>
      <c r="AB780" s="5">
        <v>92.29</v>
      </c>
    </row>
    <row r="781" spans="1:28" x14ac:dyDescent="0.3">
      <c r="A781" s="6">
        <v>39324</v>
      </c>
      <c r="B781" s="7">
        <v>0.66666666666666663</v>
      </c>
      <c r="C781" s="5">
        <v>152.25</v>
      </c>
      <c r="D781" s="5">
        <v>152.25</v>
      </c>
      <c r="E781" s="5">
        <v>150</v>
      </c>
      <c r="F781" s="5">
        <v>151.9</v>
      </c>
      <c r="G781" s="5">
        <v>2700</v>
      </c>
      <c r="I781" s="6">
        <v>40967</v>
      </c>
      <c r="J781" s="7">
        <v>0.66666666666666663</v>
      </c>
      <c r="K781" s="5">
        <v>5650</v>
      </c>
      <c r="L781" s="5">
        <v>5650</v>
      </c>
      <c r="M781" s="5">
        <v>5612</v>
      </c>
      <c r="N781" s="5">
        <v>5650</v>
      </c>
      <c r="O781" s="5">
        <v>1</v>
      </c>
      <c r="Q781" s="6">
        <v>39304</v>
      </c>
      <c r="R781" s="7">
        <v>0.66666666666666663</v>
      </c>
      <c r="S781" s="5">
        <v>157.94999999999999</v>
      </c>
      <c r="T781" s="5">
        <v>163.19999999999999</v>
      </c>
      <c r="U781" s="5">
        <v>153</v>
      </c>
      <c r="V781" s="5">
        <v>156.05000000000001</v>
      </c>
      <c r="W781" s="5">
        <v>1397400</v>
      </c>
      <c r="Y781" s="6">
        <f t="shared" si="24"/>
        <v>40967</v>
      </c>
      <c r="Z781" s="5">
        <f t="shared" si="25"/>
        <v>5650</v>
      </c>
      <c r="AA781" s="5">
        <v>127.59</v>
      </c>
      <c r="AB781" s="5">
        <v>91.98</v>
      </c>
    </row>
    <row r="782" spans="1:28" x14ac:dyDescent="0.3">
      <c r="A782" s="6">
        <v>39328</v>
      </c>
      <c r="B782" s="7">
        <v>0.66666666666666663</v>
      </c>
      <c r="C782" s="5">
        <v>152.44999999999999</v>
      </c>
      <c r="D782" s="5">
        <v>152.44999999999999</v>
      </c>
      <c r="E782" s="5">
        <v>151.80000000000001</v>
      </c>
      <c r="F782" s="5">
        <v>151.80000000000001</v>
      </c>
      <c r="G782" s="5">
        <v>400</v>
      </c>
      <c r="I782" s="6">
        <v>40969</v>
      </c>
      <c r="J782" s="7">
        <v>0.66666666666666663</v>
      </c>
      <c r="K782" s="5">
        <v>5650</v>
      </c>
      <c r="L782" s="5">
        <v>5700</v>
      </c>
      <c r="M782" s="5">
        <v>5650</v>
      </c>
      <c r="N782" s="5">
        <v>5699.02</v>
      </c>
      <c r="O782" s="5">
        <v>253</v>
      </c>
      <c r="Q782" s="6">
        <v>39307</v>
      </c>
      <c r="R782" s="7">
        <v>0.66666666666666663</v>
      </c>
      <c r="S782" s="5">
        <v>156.05000000000001</v>
      </c>
      <c r="T782" s="5">
        <v>157.44999999999999</v>
      </c>
      <c r="U782" s="5">
        <v>148.25</v>
      </c>
      <c r="V782" s="5">
        <v>148.25</v>
      </c>
      <c r="W782" s="5">
        <v>490200</v>
      </c>
      <c r="Y782" s="6">
        <f t="shared" si="24"/>
        <v>40969</v>
      </c>
      <c r="Z782" s="5">
        <f t="shared" si="25"/>
        <v>5699.02</v>
      </c>
      <c r="AA782" s="5">
        <v>127.94</v>
      </c>
      <c r="AB782" s="5">
        <v>92.3</v>
      </c>
    </row>
    <row r="783" spans="1:28" x14ac:dyDescent="0.3">
      <c r="A783" s="6">
        <v>39329</v>
      </c>
      <c r="B783" s="7">
        <v>0.66666666666666663</v>
      </c>
      <c r="C783" s="5">
        <v>151.25</v>
      </c>
      <c r="D783" s="5">
        <v>155</v>
      </c>
      <c r="E783" s="5">
        <v>151</v>
      </c>
      <c r="F783" s="5">
        <v>154.9</v>
      </c>
      <c r="G783" s="5">
        <v>1400</v>
      </c>
      <c r="I783" s="6">
        <v>40970</v>
      </c>
      <c r="J783" s="7">
        <v>0.66666666666666663</v>
      </c>
      <c r="K783" s="5">
        <v>5699.02</v>
      </c>
      <c r="L783" s="5">
        <v>5699.02</v>
      </c>
      <c r="M783" s="5">
        <v>5650</v>
      </c>
      <c r="N783" s="5">
        <v>5699.02</v>
      </c>
      <c r="O783" s="5">
        <v>2</v>
      </c>
      <c r="Q783" s="6">
        <v>39309</v>
      </c>
      <c r="R783" s="7">
        <v>0.66666666666666663</v>
      </c>
      <c r="S783" s="5">
        <v>148.25</v>
      </c>
      <c r="T783" s="5">
        <v>149.9</v>
      </c>
      <c r="U783" s="5">
        <v>140.85</v>
      </c>
      <c r="V783" s="5">
        <v>149.9</v>
      </c>
      <c r="W783" s="5">
        <v>1426000</v>
      </c>
      <c r="Y783" s="6">
        <f t="shared" si="24"/>
        <v>40970</v>
      </c>
      <c r="Z783" s="5">
        <f t="shared" si="25"/>
        <v>5699.02</v>
      </c>
      <c r="AA783" s="5">
        <v>130.38999999999999</v>
      </c>
      <c r="AB783" s="5">
        <v>93.5</v>
      </c>
    </row>
    <row r="784" spans="1:28" x14ac:dyDescent="0.3">
      <c r="A784" s="6">
        <v>39330</v>
      </c>
      <c r="B784" s="7">
        <v>0.66666666666666663</v>
      </c>
      <c r="C784" s="5">
        <v>155</v>
      </c>
      <c r="D784" s="5">
        <v>155</v>
      </c>
      <c r="E784" s="5">
        <v>152</v>
      </c>
      <c r="F784" s="5">
        <v>152.25</v>
      </c>
      <c r="G784" s="5">
        <v>9700</v>
      </c>
      <c r="I784" s="6">
        <v>40974</v>
      </c>
      <c r="J784" s="7">
        <v>0.66666666666666663</v>
      </c>
      <c r="K784" s="5">
        <v>5699.02</v>
      </c>
      <c r="L784" s="5">
        <v>5700</v>
      </c>
      <c r="M784" s="5">
        <v>5651</v>
      </c>
      <c r="N784" s="5">
        <v>5655.1698999999999</v>
      </c>
      <c r="O784" s="5">
        <v>159</v>
      </c>
      <c r="Q784" s="6">
        <v>39310</v>
      </c>
      <c r="R784" s="7">
        <v>0.66666666666666663</v>
      </c>
      <c r="S784" s="5">
        <v>149.9</v>
      </c>
      <c r="T784" s="5">
        <v>155.80000000000001</v>
      </c>
      <c r="U784" s="5">
        <v>144.5</v>
      </c>
      <c r="V784" s="5">
        <v>152.1</v>
      </c>
      <c r="W784" s="5">
        <v>1982100</v>
      </c>
      <c r="Y784" s="6">
        <f t="shared" si="24"/>
        <v>40974</v>
      </c>
      <c r="Z784" s="5">
        <f t="shared" si="25"/>
        <v>5655.1698999999999</v>
      </c>
      <c r="AA784" s="5">
        <v>135.44999999999999</v>
      </c>
      <c r="AB784" s="5">
        <v>93.05</v>
      </c>
    </row>
    <row r="785" spans="1:28" x14ac:dyDescent="0.3">
      <c r="A785" s="6">
        <v>39331</v>
      </c>
      <c r="B785" s="7">
        <v>0.66666666666666663</v>
      </c>
      <c r="C785" s="5">
        <v>154.19999999999999</v>
      </c>
      <c r="D785" s="5">
        <v>154.19999999999999</v>
      </c>
      <c r="E785" s="5">
        <v>151.25</v>
      </c>
      <c r="F785" s="5">
        <v>153.85</v>
      </c>
      <c r="G785" s="5">
        <v>2800</v>
      </c>
      <c r="I785" s="6">
        <v>40975</v>
      </c>
      <c r="J785" s="7">
        <v>0.66666666666666663</v>
      </c>
      <c r="K785" s="5">
        <v>5655.1698999999999</v>
      </c>
      <c r="L785" s="5">
        <v>5700</v>
      </c>
      <c r="M785" s="5">
        <v>5650</v>
      </c>
      <c r="N785" s="5">
        <v>5650</v>
      </c>
      <c r="O785" s="5">
        <v>25</v>
      </c>
      <c r="Q785" s="6">
        <v>39311</v>
      </c>
      <c r="R785" s="7">
        <v>0.66666666666666663</v>
      </c>
      <c r="S785" s="5">
        <v>152.30000000000001</v>
      </c>
      <c r="T785" s="5">
        <v>159.69999999999999</v>
      </c>
      <c r="U785" s="5">
        <v>152.30000000000001</v>
      </c>
      <c r="V785" s="5">
        <v>159.44999999999999</v>
      </c>
      <c r="W785" s="5">
        <v>3237000</v>
      </c>
      <c r="Y785" s="6">
        <f t="shared" si="24"/>
        <v>40975</v>
      </c>
      <c r="Z785" s="5">
        <f t="shared" si="25"/>
        <v>5650</v>
      </c>
      <c r="AA785" s="5">
        <v>133.19999999999999</v>
      </c>
      <c r="AB785" s="5">
        <v>93.1</v>
      </c>
    </row>
    <row r="786" spans="1:28" x14ac:dyDescent="0.3">
      <c r="A786" s="6">
        <v>39332</v>
      </c>
      <c r="B786" s="7">
        <v>0.66666666666666663</v>
      </c>
      <c r="C786" s="5">
        <v>155</v>
      </c>
      <c r="D786" s="5">
        <v>158.80000000000001</v>
      </c>
      <c r="E786" s="5">
        <v>152</v>
      </c>
      <c r="F786" s="5">
        <v>152</v>
      </c>
      <c r="G786" s="5">
        <v>10500</v>
      </c>
      <c r="I786" s="6">
        <v>40976</v>
      </c>
      <c r="J786" s="7">
        <v>0.66666666666666663</v>
      </c>
      <c r="K786" s="5">
        <v>5650</v>
      </c>
      <c r="L786" s="5">
        <v>5700</v>
      </c>
      <c r="M786" s="5">
        <v>5500</v>
      </c>
      <c r="N786" s="5">
        <v>5699.9902000000002</v>
      </c>
      <c r="O786" s="5">
        <v>1696</v>
      </c>
      <c r="Q786" s="6">
        <v>39314</v>
      </c>
      <c r="R786" s="7">
        <v>0.66666666666666663</v>
      </c>
      <c r="S786" s="5">
        <v>160.5</v>
      </c>
      <c r="T786" s="5">
        <v>164.5</v>
      </c>
      <c r="U786" s="5">
        <v>160.5</v>
      </c>
      <c r="V786" s="5">
        <v>161</v>
      </c>
      <c r="W786" s="5">
        <v>3135200</v>
      </c>
      <c r="Y786" s="6">
        <f t="shared" si="24"/>
        <v>40976</v>
      </c>
      <c r="Z786" s="5">
        <f t="shared" si="25"/>
        <v>5699.9902000000002</v>
      </c>
      <c r="AA786" s="5">
        <v>133.78</v>
      </c>
      <c r="AB786" s="5">
        <v>93.2</v>
      </c>
    </row>
    <row r="787" spans="1:28" x14ac:dyDescent="0.3">
      <c r="A787" s="6">
        <v>39335</v>
      </c>
      <c r="B787" s="7">
        <v>0.66666666666666663</v>
      </c>
      <c r="C787" s="5">
        <v>153.5</v>
      </c>
      <c r="D787" s="5">
        <v>154</v>
      </c>
      <c r="E787" s="5">
        <v>153.5</v>
      </c>
      <c r="F787" s="5">
        <v>153.6</v>
      </c>
      <c r="G787" s="5">
        <v>1300</v>
      </c>
      <c r="I787" s="6">
        <v>40977</v>
      </c>
      <c r="J787" s="7">
        <v>0.66666666666666663</v>
      </c>
      <c r="K787" s="5">
        <v>5699.9902000000002</v>
      </c>
      <c r="L787" s="5">
        <v>5700</v>
      </c>
      <c r="M787" s="5">
        <v>5695</v>
      </c>
      <c r="N787" s="5">
        <v>5696</v>
      </c>
      <c r="O787" s="5">
        <v>42</v>
      </c>
      <c r="Q787" s="6">
        <v>39315</v>
      </c>
      <c r="R787" s="7">
        <v>0.66666666666666663</v>
      </c>
      <c r="S787" s="5">
        <v>161</v>
      </c>
      <c r="T787" s="5">
        <v>162.9</v>
      </c>
      <c r="U787" s="5">
        <v>152.94999999999999</v>
      </c>
      <c r="V787" s="5">
        <v>152.94999999999999</v>
      </c>
      <c r="W787" s="5">
        <v>2220900</v>
      </c>
      <c r="Y787" s="6">
        <f t="shared" si="24"/>
        <v>40977</v>
      </c>
      <c r="Z787" s="5">
        <f t="shared" si="25"/>
        <v>5696</v>
      </c>
      <c r="AA787" s="5">
        <v>135.36000000000001</v>
      </c>
      <c r="AB787" s="5">
        <v>93.19</v>
      </c>
    </row>
    <row r="788" spans="1:28" x14ac:dyDescent="0.3">
      <c r="A788" s="6">
        <v>39336</v>
      </c>
      <c r="B788" s="7">
        <v>0.66666666666666663</v>
      </c>
      <c r="C788" s="5">
        <v>153.94999999999999</v>
      </c>
      <c r="D788" s="5">
        <v>155</v>
      </c>
      <c r="E788" s="5">
        <v>152</v>
      </c>
      <c r="F788" s="5">
        <v>152</v>
      </c>
      <c r="G788" s="5">
        <v>5400</v>
      </c>
      <c r="I788" s="6">
        <v>40980</v>
      </c>
      <c r="J788" s="7">
        <v>0.66666666666666663</v>
      </c>
      <c r="K788" s="5">
        <v>5699.9902000000002</v>
      </c>
      <c r="L788" s="5">
        <v>5799.9902000000002</v>
      </c>
      <c r="M788" s="5">
        <v>5699.9902000000002</v>
      </c>
      <c r="N788" s="5">
        <v>5700</v>
      </c>
      <c r="O788" s="5">
        <v>863</v>
      </c>
      <c r="Q788" s="6">
        <v>39316</v>
      </c>
      <c r="R788" s="7">
        <v>0.66666666666666663</v>
      </c>
      <c r="S788" s="5">
        <v>152.94999999999999</v>
      </c>
      <c r="T788" s="5">
        <v>158</v>
      </c>
      <c r="U788" s="5">
        <v>145.35</v>
      </c>
      <c r="V788" s="5">
        <v>157</v>
      </c>
      <c r="W788" s="5">
        <v>2594100</v>
      </c>
      <c r="Y788" s="6">
        <f t="shared" si="24"/>
        <v>40980</v>
      </c>
      <c r="Z788" s="5">
        <f t="shared" si="25"/>
        <v>5700</v>
      </c>
      <c r="AA788" s="5">
        <v>130.9</v>
      </c>
      <c r="AB788" s="5">
        <v>93.06</v>
      </c>
    </row>
    <row r="789" spans="1:28" x14ac:dyDescent="0.3">
      <c r="A789" s="6">
        <v>39337</v>
      </c>
      <c r="B789" s="7">
        <v>0.66666666666666663</v>
      </c>
      <c r="C789" s="5">
        <v>154.94999999999999</v>
      </c>
      <c r="D789" s="5">
        <v>155</v>
      </c>
      <c r="E789" s="5">
        <v>154.94999999999999</v>
      </c>
      <c r="F789" s="5">
        <v>155</v>
      </c>
      <c r="G789" s="5">
        <v>1800</v>
      </c>
      <c r="I789" s="6">
        <v>40981</v>
      </c>
      <c r="J789" s="7">
        <v>0.66666666666666663</v>
      </c>
      <c r="K789" s="5">
        <v>5710</v>
      </c>
      <c r="L789" s="5">
        <v>5799</v>
      </c>
      <c r="M789" s="5">
        <v>5710</v>
      </c>
      <c r="N789" s="5">
        <v>5742.5</v>
      </c>
      <c r="O789" s="5">
        <v>276</v>
      </c>
      <c r="Q789" s="6">
        <v>39317</v>
      </c>
      <c r="R789" s="7">
        <v>0.66666666666666663</v>
      </c>
      <c r="S789" s="5">
        <v>157</v>
      </c>
      <c r="T789" s="5">
        <v>158</v>
      </c>
      <c r="U789" s="5">
        <v>149.15</v>
      </c>
      <c r="V789" s="5">
        <v>149.15</v>
      </c>
      <c r="W789" s="5">
        <v>1653900</v>
      </c>
      <c r="Y789" s="6">
        <f t="shared" si="24"/>
        <v>40981</v>
      </c>
      <c r="Z789" s="5">
        <f t="shared" si="25"/>
        <v>5742.5</v>
      </c>
      <c r="AA789" s="5">
        <v>129.59</v>
      </c>
      <c r="AB789" s="5">
        <v>92.65</v>
      </c>
    </row>
    <row r="790" spans="1:28" x14ac:dyDescent="0.3">
      <c r="A790" s="6">
        <v>39338</v>
      </c>
      <c r="B790" s="7">
        <v>0.66666666666666663</v>
      </c>
      <c r="C790" s="5">
        <v>156</v>
      </c>
      <c r="D790" s="5">
        <v>158</v>
      </c>
      <c r="E790" s="5">
        <v>156</v>
      </c>
      <c r="F790" s="5">
        <v>157.44999999999999</v>
      </c>
      <c r="G790" s="5">
        <v>7600</v>
      </c>
      <c r="I790" s="6">
        <v>40982</v>
      </c>
      <c r="J790" s="7">
        <v>0.66666666666666663</v>
      </c>
      <c r="K790" s="5">
        <v>5742.5</v>
      </c>
      <c r="L790" s="5">
        <v>5790</v>
      </c>
      <c r="M790" s="5">
        <v>5725</v>
      </c>
      <c r="N790" s="5">
        <v>5750</v>
      </c>
      <c r="O790" s="5">
        <v>237</v>
      </c>
      <c r="Q790" s="6">
        <v>39318</v>
      </c>
      <c r="R790" s="7">
        <v>0.66666666666666663</v>
      </c>
      <c r="S790" s="5">
        <v>149.15</v>
      </c>
      <c r="T790" s="5">
        <v>151.5</v>
      </c>
      <c r="U790" s="5">
        <v>143.1</v>
      </c>
      <c r="V790" s="5">
        <v>148.25</v>
      </c>
      <c r="W790" s="5">
        <v>1381000</v>
      </c>
      <c r="Y790" s="6">
        <f t="shared" si="24"/>
        <v>40982</v>
      </c>
      <c r="Z790" s="5">
        <f t="shared" si="25"/>
        <v>5750</v>
      </c>
      <c r="AA790" s="5">
        <v>129.62</v>
      </c>
      <c r="AB790" s="5">
        <v>93.25</v>
      </c>
    </row>
    <row r="791" spans="1:28" x14ac:dyDescent="0.3">
      <c r="A791" s="6">
        <v>39339</v>
      </c>
      <c r="B791" s="7">
        <v>0.66666666666666663</v>
      </c>
      <c r="C791" s="5">
        <v>158</v>
      </c>
      <c r="D791" s="5">
        <v>160</v>
      </c>
      <c r="E791" s="5">
        <v>158</v>
      </c>
      <c r="F791" s="5">
        <v>158.5</v>
      </c>
      <c r="G791" s="5">
        <v>1800</v>
      </c>
      <c r="I791" s="6">
        <v>40983</v>
      </c>
      <c r="J791" s="7">
        <v>0.66666666666666663</v>
      </c>
      <c r="K791" s="5">
        <v>5748</v>
      </c>
      <c r="L791" s="5">
        <v>5748</v>
      </c>
      <c r="M791" s="5">
        <v>5700</v>
      </c>
      <c r="N791" s="5">
        <v>5705.9198999999999</v>
      </c>
      <c r="O791" s="5">
        <v>29</v>
      </c>
      <c r="Q791" s="6">
        <v>39321</v>
      </c>
      <c r="R791" s="7">
        <v>0.66666666666666663</v>
      </c>
      <c r="S791" s="5">
        <v>148.25</v>
      </c>
      <c r="T791" s="5">
        <v>152.6</v>
      </c>
      <c r="U791" s="5">
        <v>146.5</v>
      </c>
      <c r="V791" s="5">
        <v>149</v>
      </c>
      <c r="W791" s="5">
        <v>849400</v>
      </c>
      <c r="Y791" s="6">
        <f t="shared" si="24"/>
        <v>40983</v>
      </c>
      <c r="Z791" s="5">
        <f t="shared" si="25"/>
        <v>5705.9198999999999</v>
      </c>
      <c r="AA791" s="5">
        <v>129.30000000000001</v>
      </c>
      <c r="AB791" s="5">
        <v>93.85</v>
      </c>
    </row>
    <row r="792" spans="1:28" x14ac:dyDescent="0.3">
      <c r="A792" s="6">
        <v>39342</v>
      </c>
      <c r="B792" s="7">
        <v>0.66666666666666663</v>
      </c>
      <c r="C792" s="5">
        <v>159.4</v>
      </c>
      <c r="D792" s="5">
        <v>159.5</v>
      </c>
      <c r="E792" s="5">
        <v>159.4</v>
      </c>
      <c r="F792" s="5">
        <v>159.5</v>
      </c>
      <c r="G792" s="5">
        <v>200</v>
      </c>
      <c r="I792" s="6">
        <v>40984</v>
      </c>
      <c r="J792" s="7">
        <v>0.66666666666666663</v>
      </c>
      <c r="K792" s="5">
        <v>5705.9198999999999</v>
      </c>
      <c r="L792" s="5">
        <v>5800</v>
      </c>
      <c r="M792" s="5">
        <v>5700</v>
      </c>
      <c r="N792" s="5">
        <v>5715.1000999999997</v>
      </c>
      <c r="O792" s="5">
        <v>285</v>
      </c>
      <c r="Q792" s="6">
        <v>39322</v>
      </c>
      <c r="R792" s="7">
        <v>0.66666666666666663</v>
      </c>
      <c r="S792" s="5">
        <v>149</v>
      </c>
      <c r="T792" s="5">
        <v>150.5</v>
      </c>
      <c r="U792" s="5">
        <v>145.35</v>
      </c>
      <c r="V792" s="5">
        <v>148.5</v>
      </c>
      <c r="W792" s="5">
        <v>412900</v>
      </c>
      <c r="Y792" s="6">
        <f t="shared" si="24"/>
        <v>40984</v>
      </c>
      <c r="Z792" s="5">
        <f t="shared" si="25"/>
        <v>5715.1000999999997</v>
      </c>
      <c r="AA792" s="5">
        <v>125.77</v>
      </c>
      <c r="AB792" s="5">
        <v>94.18</v>
      </c>
    </row>
    <row r="793" spans="1:28" x14ac:dyDescent="0.3">
      <c r="A793" s="6">
        <v>39343</v>
      </c>
      <c r="B793" s="7">
        <v>0.66666666666666663</v>
      </c>
      <c r="C793" s="5">
        <v>158</v>
      </c>
      <c r="D793" s="5">
        <v>166.25</v>
      </c>
      <c r="E793" s="5">
        <v>158</v>
      </c>
      <c r="F793" s="5">
        <v>161.15</v>
      </c>
      <c r="G793" s="5">
        <v>15400</v>
      </c>
      <c r="I793" s="6">
        <v>40987</v>
      </c>
      <c r="J793" s="7">
        <v>0.66666666666666663</v>
      </c>
      <c r="K793" s="5">
        <v>5715.1000999999997</v>
      </c>
      <c r="L793" s="5">
        <v>5795</v>
      </c>
      <c r="M793" s="5">
        <v>5651</v>
      </c>
      <c r="N793" s="5">
        <v>5750</v>
      </c>
      <c r="O793" s="5">
        <v>432</v>
      </c>
      <c r="Q793" s="6">
        <v>39323</v>
      </c>
      <c r="R793" s="7">
        <v>0.66666666666666663</v>
      </c>
      <c r="S793" s="5">
        <v>148.5</v>
      </c>
      <c r="T793" s="5">
        <v>152</v>
      </c>
      <c r="U793" s="5">
        <v>148.05000000000001</v>
      </c>
      <c r="V793" s="5">
        <v>150</v>
      </c>
      <c r="W793" s="5">
        <v>600500</v>
      </c>
      <c r="Y793" s="6">
        <f t="shared" si="24"/>
        <v>40987</v>
      </c>
      <c r="Z793" s="5">
        <f t="shared" si="25"/>
        <v>5750</v>
      </c>
      <c r="AA793" s="5">
        <v>125.13</v>
      </c>
      <c r="AB793" s="5">
        <v>93.01</v>
      </c>
    </row>
    <row r="794" spans="1:28" x14ac:dyDescent="0.3">
      <c r="A794" s="6">
        <v>39344</v>
      </c>
      <c r="B794" s="7">
        <v>0.66666666666666663</v>
      </c>
      <c r="C794" s="5">
        <v>165</v>
      </c>
      <c r="D794" s="5">
        <v>167</v>
      </c>
      <c r="E794" s="5">
        <v>163.9</v>
      </c>
      <c r="F794" s="5">
        <v>167</v>
      </c>
      <c r="G794" s="5">
        <v>8600</v>
      </c>
      <c r="I794" s="6">
        <v>40988</v>
      </c>
      <c r="J794" s="7">
        <v>0.66666666666666663</v>
      </c>
      <c r="K794" s="5">
        <v>5750</v>
      </c>
      <c r="L794" s="5">
        <v>5825</v>
      </c>
      <c r="M794" s="5">
        <v>5450.25</v>
      </c>
      <c r="N794" s="5">
        <v>5817.7798000000003</v>
      </c>
      <c r="O794" s="5">
        <v>2104</v>
      </c>
      <c r="Q794" s="6">
        <v>39324</v>
      </c>
      <c r="R794" s="7">
        <v>0.66666666666666663</v>
      </c>
      <c r="S794" s="5">
        <v>150</v>
      </c>
      <c r="T794" s="5">
        <v>157.5</v>
      </c>
      <c r="U794" s="5">
        <v>149.55000000000001</v>
      </c>
      <c r="V794" s="5">
        <v>157.5</v>
      </c>
      <c r="W794" s="5">
        <v>1639000</v>
      </c>
      <c r="Y794" s="6">
        <f t="shared" si="24"/>
        <v>40988</v>
      </c>
      <c r="Z794" s="5">
        <f t="shared" si="25"/>
        <v>5817.7798000000003</v>
      </c>
      <c r="AA794" s="5">
        <v>126.64</v>
      </c>
      <c r="AB794" s="5">
        <v>94.28</v>
      </c>
    </row>
    <row r="795" spans="1:28" x14ac:dyDescent="0.3">
      <c r="A795" s="6">
        <v>39345</v>
      </c>
      <c r="B795" s="7">
        <v>0.66666666666666663</v>
      </c>
      <c r="C795" s="5">
        <v>163</v>
      </c>
      <c r="D795" s="5">
        <v>169.95</v>
      </c>
      <c r="E795" s="5">
        <v>163</v>
      </c>
      <c r="F795" s="5">
        <v>167</v>
      </c>
      <c r="G795" s="5">
        <v>7500</v>
      </c>
      <c r="I795" s="6">
        <v>40989</v>
      </c>
      <c r="J795" s="7">
        <v>0.66666666666666663</v>
      </c>
      <c r="K795" s="5">
        <v>5799</v>
      </c>
      <c r="L795" s="5">
        <v>5799</v>
      </c>
      <c r="M795" s="5">
        <v>5701</v>
      </c>
      <c r="N795" s="5">
        <v>5701</v>
      </c>
      <c r="O795" s="5">
        <v>14</v>
      </c>
      <c r="Q795" s="6">
        <v>39325</v>
      </c>
      <c r="R795" s="7">
        <v>0.66666666666666663</v>
      </c>
      <c r="S795" s="5">
        <v>157.5</v>
      </c>
      <c r="T795" s="5">
        <v>165.35</v>
      </c>
      <c r="U795" s="5">
        <v>156</v>
      </c>
      <c r="V795" s="5">
        <v>162.1</v>
      </c>
      <c r="W795" s="5">
        <v>3747800</v>
      </c>
      <c r="Y795" s="6">
        <f t="shared" si="24"/>
        <v>40989</v>
      </c>
      <c r="Z795" s="5">
        <f t="shared" si="25"/>
        <v>5701</v>
      </c>
      <c r="AA795" s="5">
        <v>128.02000000000001</v>
      </c>
      <c r="AB795" s="5">
        <v>95.95</v>
      </c>
    </row>
    <row r="796" spans="1:28" x14ac:dyDescent="0.3">
      <c r="A796" s="6">
        <v>39346</v>
      </c>
      <c r="B796" s="7">
        <v>0.66666666666666663</v>
      </c>
      <c r="C796" s="5">
        <v>170</v>
      </c>
      <c r="D796" s="5">
        <v>173</v>
      </c>
      <c r="E796" s="5">
        <v>167.05</v>
      </c>
      <c r="F796" s="5">
        <v>168.5</v>
      </c>
      <c r="G796" s="5">
        <v>14800</v>
      </c>
      <c r="I796" s="6">
        <v>40990</v>
      </c>
      <c r="J796" s="7">
        <v>0.66666666666666663</v>
      </c>
      <c r="K796" s="5">
        <v>5701</v>
      </c>
      <c r="L796" s="5">
        <v>5799</v>
      </c>
      <c r="M796" s="5">
        <v>5700</v>
      </c>
      <c r="N796" s="5">
        <v>5700</v>
      </c>
      <c r="O796" s="5">
        <v>41</v>
      </c>
      <c r="Q796" s="6">
        <v>39328</v>
      </c>
      <c r="R796" s="7">
        <v>0.66666666666666663</v>
      </c>
      <c r="S796" s="5">
        <v>162.1</v>
      </c>
      <c r="T796" s="5">
        <v>170.2</v>
      </c>
      <c r="U796" s="5">
        <v>157.25</v>
      </c>
      <c r="V796" s="5">
        <v>169.65</v>
      </c>
      <c r="W796" s="5">
        <v>5565700</v>
      </c>
      <c r="Y796" s="6">
        <f t="shared" si="24"/>
        <v>40990</v>
      </c>
      <c r="Z796" s="5">
        <f t="shared" si="25"/>
        <v>5700</v>
      </c>
      <c r="AA796" s="5">
        <v>127.49</v>
      </c>
      <c r="AB796" s="5">
        <v>96.93</v>
      </c>
    </row>
    <row r="797" spans="1:28" x14ac:dyDescent="0.3">
      <c r="A797" s="6">
        <v>39349</v>
      </c>
      <c r="B797" s="7">
        <v>0.66666666666666663</v>
      </c>
      <c r="C797" s="5">
        <v>176</v>
      </c>
      <c r="D797" s="5">
        <v>176.9</v>
      </c>
      <c r="E797" s="5">
        <v>174</v>
      </c>
      <c r="F797" s="5">
        <v>176.9</v>
      </c>
      <c r="G797" s="5">
        <v>49400</v>
      </c>
      <c r="I797" s="6">
        <v>40994</v>
      </c>
      <c r="J797" s="7">
        <v>0.66666666666666663</v>
      </c>
      <c r="K797" s="5">
        <v>5700</v>
      </c>
      <c r="L797" s="5">
        <v>5700</v>
      </c>
      <c r="M797" s="5">
        <v>5700</v>
      </c>
      <c r="N797" s="5">
        <v>5700</v>
      </c>
      <c r="O797" s="5">
        <v>2</v>
      </c>
      <c r="Q797" s="6">
        <v>39329</v>
      </c>
      <c r="R797" s="7">
        <v>0.66666666666666663</v>
      </c>
      <c r="S797" s="5">
        <v>169.65</v>
      </c>
      <c r="T797" s="5">
        <v>174.7</v>
      </c>
      <c r="U797" s="5">
        <v>165</v>
      </c>
      <c r="V797" s="5">
        <v>166.5</v>
      </c>
      <c r="W797" s="5">
        <v>5896200</v>
      </c>
      <c r="Y797" s="6">
        <f t="shared" si="24"/>
        <v>40994</v>
      </c>
      <c r="Z797" s="5">
        <f t="shared" si="25"/>
        <v>5700</v>
      </c>
      <c r="AA797" s="5">
        <v>127.9</v>
      </c>
      <c r="AB797" s="5">
        <v>98.95</v>
      </c>
    </row>
    <row r="798" spans="1:28" x14ac:dyDescent="0.3">
      <c r="A798" s="6">
        <v>39350</v>
      </c>
      <c r="B798" s="7">
        <v>0.66666666666666663</v>
      </c>
      <c r="C798" s="5">
        <v>182.9</v>
      </c>
      <c r="D798" s="5">
        <v>182.9</v>
      </c>
      <c r="E798" s="5">
        <v>178</v>
      </c>
      <c r="F798" s="5">
        <v>178.5</v>
      </c>
      <c r="G798" s="5">
        <v>31800</v>
      </c>
      <c r="I798" s="6">
        <v>40995</v>
      </c>
      <c r="J798" s="7">
        <v>0.66666666666666663</v>
      </c>
      <c r="K798" s="5">
        <v>5700</v>
      </c>
      <c r="L798" s="5">
        <v>5750</v>
      </c>
      <c r="M798" s="5">
        <v>5500</v>
      </c>
      <c r="N798" s="5">
        <v>5681</v>
      </c>
      <c r="O798" s="5">
        <v>30</v>
      </c>
      <c r="Q798" s="6">
        <v>39330</v>
      </c>
      <c r="R798" s="7">
        <v>0.66666666666666663</v>
      </c>
      <c r="S798" s="5">
        <v>168</v>
      </c>
      <c r="T798" s="5">
        <v>172.4</v>
      </c>
      <c r="U798" s="5">
        <v>168</v>
      </c>
      <c r="V798" s="5">
        <v>170</v>
      </c>
      <c r="W798" s="5">
        <v>4110000</v>
      </c>
      <c r="Y798" s="6">
        <f t="shared" si="24"/>
        <v>40995</v>
      </c>
      <c r="Z798" s="5">
        <f t="shared" si="25"/>
        <v>5681</v>
      </c>
      <c r="AA798" s="5">
        <v>130.99</v>
      </c>
      <c r="AB798" s="5">
        <v>100.15</v>
      </c>
    </row>
    <row r="799" spans="1:28" x14ac:dyDescent="0.3">
      <c r="A799" s="6">
        <v>39351</v>
      </c>
      <c r="B799" s="7">
        <v>0.66666666666666663</v>
      </c>
      <c r="C799" s="5">
        <v>180</v>
      </c>
      <c r="D799" s="5">
        <v>183</v>
      </c>
      <c r="E799" s="5">
        <v>179.5</v>
      </c>
      <c r="F799" s="5">
        <v>180</v>
      </c>
      <c r="G799" s="5">
        <v>33300</v>
      </c>
      <c r="I799" s="6">
        <v>40996</v>
      </c>
      <c r="J799" s="7">
        <v>0.66666666666666663</v>
      </c>
      <c r="K799" s="5">
        <v>5681</v>
      </c>
      <c r="L799" s="5">
        <v>5790</v>
      </c>
      <c r="M799" s="5">
        <v>5556.5</v>
      </c>
      <c r="N799" s="5">
        <v>5698.3798999999999</v>
      </c>
      <c r="O799" s="5">
        <v>130</v>
      </c>
      <c r="Q799" s="6">
        <v>39331</v>
      </c>
      <c r="R799" s="7">
        <v>0.66666666666666663</v>
      </c>
      <c r="S799" s="5">
        <v>170</v>
      </c>
      <c r="T799" s="5">
        <v>173.35</v>
      </c>
      <c r="U799" s="5">
        <v>167.25</v>
      </c>
      <c r="V799" s="5">
        <v>168.5</v>
      </c>
      <c r="W799" s="5">
        <v>3950400</v>
      </c>
      <c r="Y799" s="6">
        <f t="shared" si="24"/>
        <v>40996</v>
      </c>
      <c r="Z799" s="5">
        <f t="shared" si="25"/>
        <v>5698.3798999999999</v>
      </c>
      <c r="AA799" s="5">
        <v>130.55000000000001</v>
      </c>
      <c r="AB799" s="5">
        <v>100</v>
      </c>
    </row>
    <row r="800" spans="1:28" x14ac:dyDescent="0.3">
      <c r="A800" s="6">
        <v>39352</v>
      </c>
      <c r="B800" s="7">
        <v>0.66666666666666663</v>
      </c>
      <c r="C800" s="5">
        <v>180</v>
      </c>
      <c r="D800" s="5">
        <v>181</v>
      </c>
      <c r="E800" s="5">
        <v>178.5</v>
      </c>
      <c r="F800" s="5">
        <v>178.5</v>
      </c>
      <c r="G800" s="5">
        <v>18300</v>
      </c>
      <c r="I800" s="6">
        <v>40997</v>
      </c>
      <c r="J800" s="7">
        <v>0.66666666666666663</v>
      </c>
      <c r="K800" s="5">
        <v>5698.3798999999999</v>
      </c>
      <c r="L800" s="5">
        <v>5795</v>
      </c>
      <c r="M800" s="5">
        <v>5502</v>
      </c>
      <c r="N800" s="5">
        <v>5588.54</v>
      </c>
      <c r="O800" s="5">
        <v>34</v>
      </c>
      <c r="Q800" s="6">
        <v>39332</v>
      </c>
      <c r="R800" s="7">
        <v>0.66666666666666663</v>
      </c>
      <c r="S800" s="5">
        <v>168.5</v>
      </c>
      <c r="T800" s="5">
        <v>170.25</v>
      </c>
      <c r="U800" s="5">
        <v>162.1</v>
      </c>
      <c r="V800" s="5">
        <v>163</v>
      </c>
      <c r="W800" s="5">
        <v>1544200</v>
      </c>
      <c r="Y800" s="6">
        <f t="shared" si="24"/>
        <v>40997</v>
      </c>
      <c r="Z800" s="5">
        <f t="shared" si="25"/>
        <v>5588.54</v>
      </c>
      <c r="AA800" s="5">
        <v>128.69</v>
      </c>
      <c r="AB800" s="5">
        <v>100</v>
      </c>
    </row>
    <row r="801" spans="1:28" x14ac:dyDescent="0.3">
      <c r="A801" s="6">
        <v>39353</v>
      </c>
      <c r="B801" s="7">
        <v>0.66666666666666663</v>
      </c>
      <c r="C801" s="5">
        <v>179</v>
      </c>
      <c r="D801" s="5">
        <v>180</v>
      </c>
      <c r="E801" s="5">
        <v>177.3</v>
      </c>
      <c r="F801" s="5">
        <v>179.2</v>
      </c>
      <c r="G801" s="5">
        <v>7800</v>
      </c>
      <c r="I801" s="6">
        <v>40998</v>
      </c>
      <c r="J801" s="7">
        <v>0.66666666666666663</v>
      </c>
      <c r="K801" s="5">
        <v>5601</v>
      </c>
      <c r="L801" s="5">
        <v>5625</v>
      </c>
      <c r="M801" s="5">
        <v>5601</v>
      </c>
      <c r="N801" s="5">
        <v>5601</v>
      </c>
      <c r="O801" s="5">
        <v>11</v>
      </c>
      <c r="Q801" s="6">
        <v>39335</v>
      </c>
      <c r="R801" s="7">
        <v>0.66666666666666663</v>
      </c>
      <c r="S801" s="5">
        <v>163</v>
      </c>
      <c r="T801" s="5">
        <v>169</v>
      </c>
      <c r="U801" s="5">
        <v>158</v>
      </c>
      <c r="V801" s="5">
        <v>166</v>
      </c>
      <c r="W801" s="5">
        <v>2151500</v>
      </c>
      <c r="Y801" s="6">
        <f t="shared" si="24"/>
        <v>40998</v>
      </c>
      <c r="Z801" s="5">
        <f t="shared" si="25"/>
        <v>5601</v>
      </c>
      <c r="AA801" s="5">
        <v>128.61000000000001</v>
      </c>
      <c r="AB801" s="5">
        <v>101</v>
      </c>
    </row>
    <row r="802" spans="1:28" x14ac:dyDescent="0.3">
      <c r="A802" s="6">
        <v>39356</v>
      </c>
      <c r="B802" s="7">
        <v>0.66666666666666663</v>
      </c>
      <c r="C802" s="5">
        <v>180.45</v>
      </c>
      <c r="D802" s="5">
        <v>182.45</v>
      </c>
      <c r="E802" s="5">
        <v>180.45</v>
      </c>
      <c r="F802" s="5">
        <v>181.55</v>
      </c>
      <c r="G802" s="5">
        <v>51400</v>
      </c>
      <c r="I802" s="6">
        <v>41001</v>
      </c>
      <c r="J802" s="7">
        <v>0.66666666666666663</v>
      </c>
      <c r="K802" s="5">
        <v>5601</v>
      </c>
      <c r="L802" s="5">
        <v>5784</v>
      </c>
      <c r="M802" s="5">
        <v>5600</v>
      </c>
      <c r="N802" s="5">
        <v>5676.7997999999998</v>
      </c>
      <c r="O802" s="5">
        <v>201</v>
      </c>
      <c r="Q802" s="6">
        <v>39336</v>
      </c>
      <c r="R802" s="7">
        <v>0.66666666666666663</v>
      </c>
      <c r="S802" s="5">
        <v>166</v>
      </c>
      <c r="T802" s="5">
        <v>173.5</v>
      </c>
      <c r="U802" s="5">
        <v>165.7</v>
      </c>
      <c r="V802" s="5">
        <v>172</v>
      </c>
      <c r="W802" s="5">
        <v>6944000</v>
      </c>
      <c r="Y802" s="6">
        <f t="shared" si="24"/>
        <v>41001</v>
      </c>
      <c r="Z802" s="5">
        <f t="shared" si="25"/>
        <v>5676.7997999999998</v>
      </c>
      <c r="AA802" s="5">
        <v>127.03</v>
      </c>
      <c r="AB802" s="5">
        <v>101</v>
      </c>
    </row>
    <row r="803" spans="1:28" x14ac:dyDescent="0.3">
      <c r="A803" s="6">
        <v>39357</v>
      </c>
      <c r="B803" s="7">
        <v>0.66666666666666663</v>
      </c>
      <c r="C803" s="5">
        <v>181.7</v>
      </c>
      <c r="D803" s="5">
        <v>182.7</v>
      </c>
      <c r="E803" s="5">
        <v>180.5</v>
      </c>
      <c r="F803" s="5">
        <v>180.5</v>
      </c>
      <c r="G803" s="5">
        <v>22000</v>
      </c>
      <c r="I803" s="6">
        <v>41004</v>
      </c>
      <c r="J803" s="7">
        <v>0.66666666666666663</v>
      </c>
      <c r="K803" s="5">
        <v>5676.7997999999998</v>
      </c>
      <c r="L803" s="5">
        <v>5799</v>
      </c>
      <c r="M803" s="5">
        <v>5450.0097999999998</v>
      </c>
      <c r="N803" s="5">
        <v>5676.7997999999998</v>
      </c>
      <c r="O803" s="5">
        <v>4</v>
      </c>
      <c r="Q803" s="6">
        <v>39337</v>
      </c>
      <c r="R803" s="7">
        <v>0.66666666666666663</v>
      </c>
      <c r="S803" s="5">
        <v>172</v>
      </c>
      <c r="T803" s="5">
        <v>180.6</v>
      </c>
      <c r="U803" s="5">
        <v>172</v>
      </c>
      <c r="V803" s="5">
        <v>180.6</v>
      </c>
      <c r="W803" s="5">
        <v>11160700</v>
      </c>
      <c r="Y803" s="6">
        <f t="shared" si="24"/>
        <v>41004</v>
      </c>
      <c r="Z803" s="5">
        <f t="shared" si="25"/>
        <v>5676.7997999999998</v>
      </c>
      <c r="AA803" s="5">
        <v>129.72</v>
      </c>
      <c r="AB803" s="5">
        <v>101</v>
      </c>
    </row>
    <row r="804" spans="1:28" x14ac:dyDescent="0.3">
      <c r="A804" s="6">
        <v>39358</v>
      </c>
      <c r="B804" s="7">
        <v>0.66666666666666663</v>
      </c>
      <c r="C804" s="5">
        <v>182.5</v>
      </c>
      <c r="D804" s="5">
        <v>186</v>
      </c>
      <c r="E804" s="5">
        <v>181</v>
      </c>
      <c r="F804" s="5">
        <v>185</v>
      </c>
      <c r="G804" s="5">
        <v>49800</v>
      </c>
      <c r="I804" s="6">
        <v>41005</v>
      </c>
      <c r="J804" s="7">
        <v>0.66666666666666663</v>
      </c>
      <c r="K804" s="5">
        <v>5676.7997999999998</v>
      </c>
      <c r="L804" s="5">
        <v>5899.9902000000002</v>
      </c>
      <c r="M804" s="5">
        <v>5511</v>
      </c>
      <c r="N804" s="5">
        <v>5572.7997999999998</v>
      </c>
      <c r="O804" s="5">
        <v>21</v>
      </c>
      <c r="Q804" s="6">
        <v>39338</v>
      </c>
      <c r="R804" s="7">
        <v>0.66666666666666663</v>
      </c>
      <c r="S804" s="5">
        <v>183.3</v>
      </c>
      <c r="T804" s="5">
        <v>189.6</v>
      </c>
      <c r="U804" s="5">
        <v>183.3</v>
      </c>
      <c r="V804" s="5">
        <v>188.5</v>
      </c>
      <c r="W804" s="5">
        <v>9564800</v>
      </c>
      <c r="Y804" s="6">
        <f t="shared" si="24"/>
        <v>41005</v>
      </c>
      <c r="Z804" s="5">
        <f t="shared" si="25"/>
        <v>5572.7997999999998</v>
      </c>
      <c r="AA804" s="5">
        <v>128.96</v>
      </c>
      <c r="AB804" s="5">
        <v>101.97</v>
      </c>
    </row>
    <row r="805" spans="1:28" x14ac:dyDescent="0.3">
      <c r="A805" s="6">
        <v>39359</v>
      </c>
      <c r="B805" s="7">
        <v>0.66666666666666663</v>
      </c>
      <c r="C805" s="5">
        <v>187</v>
      </c>
      <c r="D805" s="5">
        <v>189</v>
      </c>
      <c r="E805" s="5">
        <v>185</v>
      </c>
      <c r="F805" s="5">
        <v>187.5</v>
      </c>
      <c r="G805" s="5">
        <v>32900</v>
      </c>
      <c r="I805" s="6">
        <v>41008</v>
      </c>
      <c r="J805" s="7">
        <v>0.66666666666666663</v>
      </c>
      <c r="K805" s="5">
        <v>5572.7997999999998</v>
      </c>
      <c r="L805" s="5">
        <v>5851.4399000000003</v>
      </c>
      <c r="M805" s="5">
        <v>5421</v>
      </c>
      <c r="N805" s="5">
        <v>5844.4902000000002</v>
      </c>
      <c r="O805" s="5">
        <v>70</v>
      </c>
      <c r="Q805" s="6">
        <v>39339</v>
      </c>
      <c r="R805" s="7">
        <v>0.66666666666666663</v>
      </c>
      <c r="S805" s="5">
        <v>188.5</v>
      </c>
      <c r="T805" s="5">
        <v>196.9</v>
      </c>
      <c r="U805" s="5">
        <v>184.5</v>
      </c>
      <c r="V805" s="5">
        <v>191</v>
      </c>
      <c r="W805" s="5">
        <v>6355900</v>
      </c>
      <c r="Y805" s="6">
        <f t="shared" si="24"/>
        <v>41008</v>
      </c>
      <c r="Z805" s="5">
        <f t="shared" si="25"/>
        <v>5844.4902000000002</v>
      </c>
      <c r="AA805" s="5">
        <v>129.34</v>
      </c>
      <c r="AB805" s="5">
        <v>102.6</v>
      </c>
    </row>
    <row r="806" spans="1:28" x14ac:dyDescent="0.3">
      <c r="A806" s="6">
        <v>39360</v>
      </c>
      <c r="B806" s="7">
        <v>0.66666666666666663</v>
      </c>
      <c r="C806" s="5">
        <v>192</v>
      </c>
      <c r="D806" s="5">
        <v>193</v>
      </c>
      <c r="E806" s="5">
        <v>184</v>
      </c>
      <c r="F806" s="5">
        <v>190</v>
      </c>
      <c r="G806" s="5">
        <v>19200</v>
      </c>
      <c r="I806" s="6">
        <v>41009</v>
      </c>
      <c r="J806" s="7">
        <v>0.66666666666666663</v>
      </c>
      <c r="K806" s="5">
        <v>5844.4902000000002</v>
      </c>
      <c r="L806" s="5">
        <v>5985</v>
      </c>
      <c r="M806" s="5">
        <v>5600</v>
      </c>
      <c r="N806" s="5">
        <v>5896.2997999999998</v>
      </c>
      <c r="O806" s="5">
        <v>816</v>
      </c>
      <c r="Q806" s="6">
        <v>39342</v>
      </c>
      <c r="R806" s="7">
        <v>0.66666666666666663</v>
      </c>
      <c r="S806" s="5">
        <v>191</v>
      </c>
      <c r="T806" s="5">
        <v>200.55</v>
      </c>
      <c r="U806" s="5">
        <v>190.5</v>
      </c>
      <c r="V806" s="5">
        <v>200.55</v>
      </c>
      <c r="W806" s="5">
        <v>7296300</v>
      </c>
      <c r="Y806" s="6">
        <f t="shared" si="24"/>
        <v>41009</v>
      </c>
      <c r="Z806" s="5">
        <f t="shared" si="25"/>
        <v>5896.2997999999998</v>
      </c>
      <c r="AA806" s="5">
        <v>129.15</v>
      </c>
      <c r="AB806" s="5">
        <v>103.96</v>
      </c>
    </row>
    <row r="807" spans="1:28" x14ac:dyDescent="0.3">
      <c r="A807" s="6">
        <v>39363</v>
      </c>
      <c r="B807" s="7">
        <v>0.66666666666666663</v>
      </c>
      <c r="C807" s="5">
        <v>192</v>
      </c>
      <c r="D807" s="5">
        <v>195</v>
      </c>
      <c r="E807" s="5">
        <v>192</v>
      </c>
      <c r="F807" s="5">
        <v>195</v>
      </c>
      <c r="G807" s="5">
        <v>48300</v>
      </c>
      <c r="I807" s="6">
        <v>41010</v>
      </c>
      <c r="J807" s="7">
        <v>0.66666666666666663</v>
      </c>
      <c r="K807" s="5">
        <v>5896.2997999999998</v>
      </c>
      <c r="L807" s="5">
        <v>6000</v>
      </c>
      <c r="M807" s="5">
        <v>5806</v>
      </c>
      <c r="N807" s="5">
        <v>5822</v>
      </c>
      <c r="O807" s="5">
        <v>18</v>
      </c>
      <c r="Q807" s="6">
        <v>39343</v>
      </c>
      <c r="R807" s="7">
        <v>0.66666666666666663</v>
      </c>
      <c r="S807" s="5">
        <v>204.25</v>
      </c>
      <c r="T807" s="5">
        <v>210.55</v>
      </c>
      <c r="U807" s="5">
        <v>204.25</v>
      </c>
      <c r="V807" s="5">
        <v>210.55</v>
      </c>
      <c r="W807" s="5">
        <v>7688400</v>
      </c>
      <c r="Y807" s="6">
        <f t="shared" si="24"/>
        <v>41010</v>
      </c>
      <c r="Z807" s="5">
        <f t="shared" si="25"/>
        <v>5822</v>
      </c>
      <c r="AA807" s="5">
        <v>131.56</v>
      </c>
      <c r="AB807" s="5">
        <v>103.3</v>
      </c>
    </row>
    <row r="808" spans="1:28" x14ac:dyDescent="0.3">
      <c r="A808" s="6">
        <v>39364</v>
      </c>
      <c r="B808" s="7">
        <v>0.66666666666666663</v>
      </c>
      <c r="C808" s="5">
        <v>197.5</v>
      </c>
      <c r="D808" s="5">
        <v>199</v>
      </c>
      <c r="E808" s="5">
        <v>195</v>
      </c>
      <c r="F808" s="5">
        <v>196</v>
      </c>
      <c r="G808" s="5">
        <v>21100</v>
      </c>
      <c r="I808" s="6">
        <v>41011</v>
      </c>
      <c r="J808" s="7">
        <v>0.66666666666666663</v>
      </c>
      <c r="K808" s="5">
        <v>5822</v>
      </c>
      <c r="L808" s="5">
        <v>5899.9902000000002</v>
      </c>
      <c r="M808" s="5">
        <v>5800</v>
      </c>
      <c r="N808" s="5">
        <v>5818.1499000000003</v>
      </c>
      <c r="O808" s="5">
        <v>38</v>
      </c>
      <c r="Q808" s="6">
        <v>39344</v>
      </c>
      <c r="R808" s="7">
        <v>0.66666666666666663</v>
      </c>
      <c r="S808" s="5">
        <v>215</v>
      </c>
      <c r="T808" s="5">
        <v>221.05</v>
      </c>
      <c r="U808" s="5">
        <v>215</v>
      </c>
      <c r="V808" s="5">
        <v>221.05</v>
      </c>
      <c r="W808" s="5">
        <v>6817400</v>
      </c>
      <c r="Y808" s="6">
        <f t="shared" si="24"/>
        <v>41011</v>
      </c>
      <c r="Z808" s="5">
        <f t="shared" si="25"/>
        <v>5818.1499000000003</v>
      </c>
      <c r="AA808" s="5">
        <v>128.91</v>
      </c>
      <c r="AB808" s="5">
        <v>101.95</v>
      </c>
    </row>
    <row r="809" spans="1:28" x14ac:dyDescent="0.3">
      <c r="A809" s="6">
        <v>39366</v>
      </c>
      <c r="B809" s="7">
        <v>0.66666666666666663</v>
      </c>
      <c r="C809" s="5">
        <v>196.2</v>
      </c>
      <c r="D809" s="5">
        <v>196.2</v>
      </c>
      <c r="E809" s="5">
        <v>192</v>
      </c>
      <c r="F809" s="5">
        <v>196</v>
      </c>
      <c r="G809" s="5">
        <v>21800</v>
      </c>
      <c r="I809" s="6">
        <v>41012</v>
      </c>
      <c r="J809" s="7">
        <v>0.66666666666666663</v>
      </c>
      <c r="K809" s="5">
        <v>5818.1499000000003</v>
      </c>
      <c r="L809" s="5">
        <v>6000</v>
      </c>
      <c r="M809" s="5">
        <v>5800</v>
      </c>
      <c r="N809" s="5">
        <v>5824.5698000000002</v>
      </c>
      <c r="O809" s="5">
        <v>43</v>
      </c>
      <c r="Q809" s="6">
        <v>39345</v>
      </c>
      <c r="R809" s="7">
        <v>0.66666666666666663</v>
      </c>
      <c r="S809" s="5">
        <v>221.05</v>
      </c>
      <c r="T809" s="5">
        <v>230</v>
      </c>
      <c r="U809" s="5">
        <v>210</v>
      </c>
      <c r="V809" s="5">
        <v>213</v>
      </c>
      <c r="W809" s="5">
        <v>9141600</v>
      </c>
      <c r="Y809" s="6">
        <f t="shared" si="24"/>
        <v>41012</v>
      </c>
      <c r="Z809" s="5">
        <f t="shared" si="25"/>
        <v>5824.5698000000002</v>
      </c>
      <c r="AA809" s="5">
        <v>128.30000000000001</v>
      </c>
      <c r="AB809" s="5">
        <v>100.73</v>
      </c>
    </row>
    <row r="810" spans="1:28" x14ac:dyDescent="0.3">
      <c r="A810" s="6">
        <v>39372</v>
      </c>
      <c r="B810" s="7">
        <v>0.66666666666666663</v>
      </c>
      <c r="C810" s="5">
        <v>184</v>
      </c>
      <c r="D810" s="5">
        <v>184</v>
      </c>
      <c r="E810" s="5">
        <v>177.5</v>
      </c>
      <c r="F810" s="5">
        <v>180</v>
      </c>
      <c r="G810" s="5">
        <v>28000</v>
      </c>
      <c r="I810" s="6">
        <v>41015</v>
      </c>
      <c r="J810" s="7">
        <v>0.66666666666666663</v>
      </c>
      <c r="K810" s="5">
        <v>5824.5698000000002</v>
      </c>
      <c r="L810" s="5">
        <v>5997.9902000000002</v>
      </c>
      <c r="M810" s="5">
        <v>5652</v>
      </c>
      <c r="N810" s="5">
        <v>5873.3301000000001</v>
      </c>
      <c r="O810" s="5">
        <v>17</v>
      </c>
      <c r="Q810" s="6">
        <v>39346</v>
      </c>
      <c r="R810" s="7">
        <v>0.66666666666666663</v>
      </c>
      <c r="S810" s="5">
        <v>213</v>
      </c>
      <c r="T810" s="5">
        <v>221</v>
      </c>
      <c r="U810" s="5">
        <v>205</v>
      </c>
      <c r="V810" s="5">
        <v>218.25</v>
      </c>
      <c r="W810" s="5">
        <v>6956300</v>
      </c>
      <c r="Y810" s="6">
        <f t="shared" si="24"/>
        <v>41015</v>
      </c>
      <c r="Z810" s="5">
        <f t="shared" si="25"/>
        <v>5873.3301000000001</v>
      </c>
      <c r="AA810" s="5">
        <v>127.2</v>
      </c>
      <c r="AB810" s="5">
        <v>104</v>
      </c>
    </row>
    <row r="811" spans="1:28" x14ac:dyDescent="0.3">
      <c r="A811" s="6">
        <v>39373</v>
      </c>
      <c r="B811" s="7">
        <v>0.66666666666666663</v>
      </c>
      <c r="C811" s="5">
        <v>181</v>
      </c>
      <c r="D811" s="5">
        <v>186.45</v>
      </c>
      <c r="E811" s="5">
        <v>179</v>
      </c>
      <c r="F811" s="5">
        <v>183</v>
      </c>
      <c r="G811" s="5">
        <v>36300</v>
      </c>
      <c r="I811" s="6">
        <v>41016</v>
      </c>
      <c r="J811" s="7">
        <v>0.66666666666666663</v>
      </c>
      <c r="K811" s="5">
        <v>5873.3301000000001</v>
      </c>
      <c r="L811" s="5">
        <v>5998</v>
      </c>
      <c r="M811" s="5">
        <v>5651</v>
      </c>
      <c r="N811" s="5">
        <v>5738.4502000000002</v>
      </c>
      <c r="O811" s="5">
        <v>20</v>
      </c>
      <c r="Q811" s="6">
        <v>39349</v>
      </c>
      <c r="R811" s="7">
        <v>0.66666666666666663</v>
      </c>
      <c r="S811" s="5">
        <v>218.45</v>
      </c>
      <c r="T811" s="5">
        <v>229.15</v>
      </c>
      <c r="U811" s="5">
        <v>218.45</v>
      </c>
      <c r="V811" s="5">
        <v>229.15</v>
      </c>
      <c r="W811" s="5">
        <v>4001500</v>
      </c>
      <c r="Y811" s="6">
        <f t="shared" si="24"/>
        <v>41016</v>
      </c>
      <c r="Z811" s="5">
        <f t="shared" si="25"/>
        <v>5738.4502000000002</v>
      </c>
      <c r="AA811" s="5">
        <v>127.04</v>
      </c>
      <c r="AB811" s="5">
        <v>106.91</v>
      </c>
    </row>
    <row r="812" spans="1:28" x14ac:dyDescent="0.3">
      <c r="A812" s="6">
        <v>39374</v>
      </c>
      <c r="B812" s="7">
        <v>0.66666666666666663</v>
      </c>
      <c r="C812" s="5">
        <v>181</v>
      </c>
      <c r="D812" s="5">
        <v>192</v>
      </c>
      <c r="E812" s="5">
        <v>181</v>
      </c>
      <c r="F812" s="5">
        <v>186.5</v>
      </c>
      <c r="G812" s="5">
        <v>43400</v>
      </c>
      <c r="I812" s="6">
        <v>41017</v>
      </c>
      <c r="J812" s="7">
        <v>0.66666666666666663</v>
      </c>
      <c r="K812" s="5">
        <v>5800</v>
      </c>
      <c r="L812" s="5">
        <v>5948</v>
      </c>
      <c r="M812" s="5">
        <v>5800</v>
      </c>
      <c r="N812" s="5">
        <v>5833.6000999999997</v>
      </c>
      <c r="O812" s="5">
        <v>70</v>
      </c>
      <c r="Q812" s="6">
        <v>39350</v>
      </c>
      <c r="R812" s="7">
        <v>0.66666666666666663</v>
      </c>
      <c r="S812" s="5">
        <v>229.5</v>
      </c>
      <c r="T812" s="5">
        <v>238</v>
      </c>
      <c r="U812" s="5">
        <v>229.5</v>
      </c>
      <c r="V812" s="5">
        <v>231.5</v>
      </c>
      <c r="W812" s="5">
        <v>5298000</v>
      </c>
      <c r="Y812" s="6">
        <f t="shared" si="24"/>
        <v>41017</v>
      </c>
      <c r="Z812" s="5">
        <f t="shared" si="25"/>
        <v>5833.6000999999997</v>
      </c>
      <c r="AA812" s="5">
        <v>126.09</v>
      </c>
      <c r="AB812" s="5">
        <v>109.38</v>
      </c>
    </row>
    <row r="813" spans="1:28" x14ac:dyDescent="0.3">
      <c r="A813" s="6">
        <v>39377</v>
      </c>
      <c r="B813" s="7">
        <v>0.66666666666666663</v>
      </c>
      <c r="C813" s="5">
        <v>189.5</v>
      </c>
      <c r="D813" s="5">
        <v>194.75</v>
      </c>
      <c r="E813" s="5">
        <v>189.5</v>
      </c>
      <c r="F813" s="5">
        <v>192.5</v>
      </c>
      <c r="G813" s="5">
        <v>34100</v>
      </c>
      <c r="I813" s="6">
        <v>41018</v>
      </c>
      <c r="J813" s="7">
        <v>0.66666666666666663</v>
      </c>
      <c r="K813" s="5">
        <v>5852</v>
      </c>
      <c r="L813" s="5">
        <v>5945</v>
      </c>
      <c r="M813" s="5">
        <v>5852</v>
      </c>
      <c r="N813" s="5">
        <v>5930</v>
      </c>
      <c r="O813" s="5">
        <v>214</v>
      </c>
      <c r="Q813" s="6">
        <v>39351</v>
      </c>
      <c r="R813" s="7">
        <v>0.66666666666666663</v>
      </c>
      <c r="S813" s="5">
        <v>231.5</v>
      </c>
      <c r="T813" s="5">
        <v>239.5</v>
      </c>
      <c r="U813" s="5">
        <v>225.75</v>
      </c>
      <c r="V813" s="5">
        <v>231.5</v>
      </c>
      <c r="W813" s="5">
        <v>8330900</v>
      </c>
      <c r="Y813" s="6">
        <f t="shared" si="24"/>
        <v>41018</v>
      </c>
      <c r="Z813" s="5">
        <f t="shared" si="25"/>
        <v>5930</v>
      </c>
      <c r="AA813" s="5">
        <v>126.94</v>
      </c>
      <c r="AB813" s="5">
        <v>114.61</v>
      </c>
    </row>
    <row r="814" spans="1:28" x14ac:dyDescent="0.3">
      <c r="A814" s="6">
        <v>39378</v>
      </c>
      <c r="B814" s="7">
        <v>0.66666666666666663</v>
      </c>
      <c r="C814" s="5">
        <v>195</v>
      </c>
      <c r="D814" s="5">
        <v>197</v>
      </c>
      <c r="E814" s="5">
        <v>190</v>
      </c>
      <c r="F814" s="5">
        <v>190</v>
      </c>
      <c r="G814" s="5">
        <v>20000</v>
      </c>
      <c r="I814" s="6">
        <v>41019</v>
      </c>
      <c r="J814" s="7">
        <v>0.66666666666666663</v>
      </c>
      <c r="K814" s="5">
        <v>5930</v>
      </c>
      <c r="L814" s="5">
        <v>6215</v>
      </c>
      <c r="M814" s="5">
        <v>5900</v>
      </c>
      <c r="N814" s="5">
        <v>5971.8301000000001</v>
      </c>
      <c r="O814" s="5">
        <v>49</v>
      </c>
      <c r="Q814" s="6">
        <v>39352</v>
      </c>
      <c r="R814" s="7">
        <v>0.66666666666666663</v>
      </c>
      <c r="S814" s="5">
        <v>231.5</v>
      </c>
      <c r="T814" s="5">
        <v>233.4</v>
      </c>
      <c r="U814" s="5">
        <v>226.55</v>
      </c>
      <c r="V814" s="5">
        <v>228.25</v>
      </c>
      <c r="W814" s="5">
        <v>3891500</v>
      </c>
      <c r="Y814" s="6">
        <f t="shared" si="24"/>
        <v>41019</v>
      </c>
      <c r="Z814" s="5">
        <f t="shared" si="25"/>
        <v>5971.8301000000001</v>
      </c>
      <c r="AA814" s="5">
        <v>126.49</v>
      </c>
      <c r="AB814" s="5">
        <v>115.82</v>
      </c>
    </row>
    <row r="815" spans="1:28" x14ac:dyDescent="0.3">
      <c r="A815" s="6">
        <v>39379</v>
      </c>
      <c r="B815" s="7">
        <v>0.66666666666666663</v>
      </c>
      <c r="C815" s="5">
        <v>194</v>
      </c>
      <c r="D815" s="5">
        <v>199.5</v>
      </c>
      <c r="E815" s="5">
        <v>187</v>
      </c>
      <c r="F815" s="5">
        <v>188.5</v>
      </c>
      <c r="G815" s="5">
        <v>19300</v>
      </c>
      <c r="I815" s="6">
        <v>41022</v>
      </c>
      <c r="J815" s="7">
        <v>0.66666666666666663</v>
      </c>
      <c r="K815" s="5">
        <v>5971.8301000000001</v>
      </c>
      <c r="L815" s="5">
        <v>6125</v>
      </c>
      <c r="M815" s="5">
        <v>5931</v>
      </c>
      <c r="N815" s="5">
        <v>6111.8198000000002</v>
      </c>
      <c r="O815" s="5">
        <v>247</v>
      </c>
      <c r="Q815" s="6">
        <v>39353</v>
      </c>
      <c r="R815" s="7">
        <v>0.66666666666666663</v>
      </c>
      <c r="S815" s="5">
        <v>228.25</v>
      </c>
      <c r="T815" s="5">
        <v>232.5</v>
      </c>
      <c r="U815" s="5">
        <v>224.3</v>
      </c>
      <c r="V815" s="5">
        <v>230</v>
      </c>
      <c r="W815" s="5">
        <v>3299900</v>
      </c>
      <c r="Y815" s="6">
        <f t="shared" si="24"/>
        <v>41022</v>
      </c>
      <c r="Z815" s="5">
        <f t="shared" si="25"/>
        <v>6111.8198000000002</v>
      </c>
      <c r="AA815" s="5">
        <v>126.81</v>
      </c>
      <c r="AB815" s="5">
        <v>114.58</v>
      </c>
    </row>
    <row r="816" spans="1:28" x14ac:dyDescent="0.3">
      <c r="A816" s="6">
        <v>39380</v>
      </c>
      <c r="B816" s="7">
        <v>0.66666666666666663</v>
      </c>
      <c r="C816" s="5">
        <v>186</v>
      </c>
      <c r="D816" s="5">
        <v>192</v>
      </c>
      <c r="E816" s="5">
        <v>186</v>
      </c>
      <c r="F816" s="5">
        <v>190.8</v>
      </c>
      <c r="G816" s="5">
        <v>24700</v>
      </c>
      <c r="I816" s="6">
        <v>41023</v>
      </c>
      <c r="J816" s="7">
        <v>0.66666666666666663</v>
      </c>
      <c r="K816" s="5">
        <v>6225</v>
      </c>
      <c r="L816" s="5">
        <v>6399</v>
      </c>
      <c r="M816" s="5">
        <v>6225</v>
      </c>
      <c r="N816" s="5">
        <v>6261.25</v>
      </c>
      <c r="O816" s="5">
        <v>19</v>
      </c>
      <c r="Q816" s="6">
        <v>39356</v>
      </c>
      <c r="R816" s="7">
        <v>0.66666666666666663</v>
      </c>
      <c r="S816" s="5">
        <v>234</v>
      </c>
      <c r="T816" s="5">
        <v>241.5</v>
      </c>
      <c r="U816" s="5">
        <v>234</v>
      </c>
      <c r="V816" s="5">
        <v>236</v>
      </c>
      <c r="W816" s="5">
        <v>5875400</v>
      </c>
      <c r="Y816" s="6">
        <f t="shared" si="24"/>
        <v>41023</v>
      </c>
      <c r="Z816" s="5">
        <f t="shared" si="25"/>
        <v>6261.25</v>
      </c>
      <c r="AA816" s="5">
        <v>126.25</v>
      </c>
      <c r="AB816" s="5">
        <v>113.01</v>
      </c>
    </row>
    <row r="817" spans="1:28" x14ac:dyDescent="0.3">
      <c r="A817" s="6">
        <v>39381</v>
      </c>
      <c r="B817" s="7">
        <v>0.66666666666666663</v>
      </c>
      <c r="C817" s="5">
        <v>187</v>
      </c>
      <c r="D817" s="5">
        <v>190.9</v>
      </c>
      <c r="E817" s="5">
        <v>187</v>
      </c>
      <c r="F817" s="5">
        <v>187</v>
      </c>
      <c r="G817" s="5">
        <v>9400</v>
      </c>
      <c r="I817" s="6">
        <v>41024</v>
      </c>
      <c r="J817" s="7">
        <v>0.66666666666666663</v>
      </c>
      <c r="K817" s="5">
        <v>6261.25</v>
      </c>
      <c r="L817" s="5">
        <v>6264</v>
      </c>
      <c r="M817" s="5">
        <v>6200</v>
      </c>
      <c r="N817" s="5">
        <v>6250.9102000000003</v>
      </c>
      <c r="O817" s="5">
        <v>339</v>
      </c>
      <c r="Q817" s="6">
        <v>39357</v>
      </c>
      <c r="R817" s="7">
        <v>0.66666666666666663</v>
      </c>
      <c r="S817" s="5">
        <v>236</v>
      </c>
      <c r="T817" s="5">
        <v>247.8</v>
      </c>
      <c r="U817" s="5">
        <v>231.9</v>
      </c>
      <c r="V817" s="5">
        <v>247.5</v>
      </c>
      <c r="W817" s="5">
        <v>12309200</v>
      </c>
      <c r="Y817" s="6">
        <f t="shared" si="24"/>
        <v>41024</v>
      </c>
      <c r="Z817" s="5">
        <f t="shared" si="25"/>
        <v>6250.9102000000003</v>
      </c>
      <c r="AA817" s="5">
        <v>126.02</v>
      </c>
      <c r="AB817" s="5">
        <v>115.1</v>
      </c>
    </row>
    <row r="818" spans="1:28" x14ac:dyDescent="0.3">
      <c r="A818" s="6">
        <v>39384</v>
      </c>
      <c r="B818" s="7">
        <v>0.66666666666666663</v>
      </c>
      <c r="C818" s="5">
        <v>189</v>
      </c>
      <c r="D818" s="5">
        <v>194</v>
      </c>
      <c r="E818" s="5">
        <v>188</v>
      </c>
      <c r="F818" s="5">
        <v>188.1</v>
      </c>
      <c r="G818" s="5">
        <v>6000</v>
      </c>
      <c r="I818" s="6">
        <v>41025</v>
      </c>
      <c r="J818" s="7">
        <v>0.66666666666666663</v>
      </c>
      <c r="K818" s="5">
        <v>6250.9102000000003</v>
      </c>
      <c r="L818" s="5">
        <v>6399</v>
      </c>
      <c r="M818" s="5">
        <v>6000</v>
      </c>
      <c r="N818" s="5">
        <v>6215.2997999999998</v>
      </c>
      <c r="O818" s="5">
        <v>501</v>
      </c>
      <c r="Q818" s="6">
        <v>39358</v>
      </c>
      <c r="R818" s="7">
        <v>0.66666666666666663</v>
      </c>
      <c r="S818" s="5">
        <v>247.5</v>
      </c>
      <c r="T818" s="5">
        <v>259.85000000000002</v>
      </c>
      <c r="U818" s="5">
        <v>242.25</v>
      </c>
      <c r="V818" s="5">
        <v>259.85000000000002</v>
      </c>
      <c r="W818" s="5">
        <v>12167600</v>
      </c>
      <c r="Y818" s="6">
        <f t="shared" si="24"/>
        <v>41025</v>
      </c>
      <c r="Z818" s="5">
        <f t="shared" si="25"/>
        <v>6215.2997999999998</v>
      </c>
      <c r="AA818" s="5">
        <v>125.14</v>
      </c>
      <c r="AB818" s="5">
        <v>115</v>
      </c>
    </row>
    <row r="819" spans="1:28" x14ac:dyDescent="0.3">
      <c r="A819" s="6">
        <v>39385</v>
      </c>
      <c r="B819" s="7">
        <v>0.66666666666666663</v>
      </c>
      <c r="C819" s="5">
        <v>192</v>
      </c>
      <c r="D819" s="5">
        <v>194</v>
      </c>
      <c r="E819" s="5">
        <v>188</v>
      </c>
      <c r="F819" s="5">
        <v>189.95</v>
      </c>
      <c r="G819" s="5">
        <v>28400</v>
      </c>
      <c r="I819" s="6">
        <v>41026</v>
      </c>
      <c r="J819" s="7">
        <v>0.66666666666666663</v>
      </c>
      <c r="K819" s="5">
        <v>6230</v>
      </c>
      <c r="L819" s="5">
        <v>6494</v>
      </c>
      <c r="M819" s="5">
        <v>6230</v>
      </c>
      <c r="N819" s="5">
        <v>6325.1698999999999</v>
      </c>
      <c r="O819" s="5">
        <v>21</v>
      </c>
      <c r="Q819" s="6">
        <v>39359</v>
      </c>
      <c r="R819" s="7">
        <v>0.66666666666666663</v>
      </c>
      <c r="S819" s="5">
        <v>259.85000000000002</v>
      </c>
      <c r="T819" s="5">
        <v>266.85000000000002</v>
      </c>
      <c r="U819" s="5">
        <v>255.95</v>
      </c>
      <c r="V819" s="5">
        <v>258</v>
      </c>
      <c r="W819" s="5">
        <v>6846600</v>
      </c>
      <c r="Y819" s="6">
        <f t="shared" si="24"/>
        <v>41026</v>
      </c>
      <c r="Z819" s="5">
        <f t="shared" si="25"/>
        <v>6325.1698999999999</v>
      </c>
      <c r="AA819" s="5">
        <v>123.84</v>
      </c>
      <c r="AB819" s="5">
        <v>113.74</v>
      </c>
    </row>
    <row r="820" spans="1:28" x14ac:dyDescent="0.3">
      <c r="A820" s="6">
        <v>39386</v>
      </c>
      <c r="B820" s="7">
        <v>0.66666666666666663</v>
      </c>
      <c r="C820" s="5">
        <v>188.5</v>
      </c>
      <c r="D820" s="5">
        <v>190</v>
      </c>
      <c r="E820" s="5">
        <v>187</v>
      </c>
      <c r="F820" s="5">
        <v>190</v>
      </c>
      <c r="G820" s="5">
        <v>5800</v>
      </c>
      <c r="I820" s="6">
        <v>41029</v>
      </c>
      <c r="J820" s="7">
        <v>0.66666666666666663</v>
      </c>
      <c r="K820" s="5">
        <v>6325.1698999999999</v>
      </c>
      <c r="L820" s="5">
        <v>6490</v>
      </c>
      <c r="M820" s="5">
        <v>6255.0097999999998</v>
      </c>
      <c r="N820" s="5">
        <v>6326.29</v>
      </c>
      <c r="O820" s="5">
        <v>21</v>
      </c>
      <c r="Q820" s="6">
        <v>39360</v>
      </c>
      <c r="R820" s="7">
        <v>0.66666666666666663</v>
      </c>
      <c r="S820" s="5">
        <v>258</v>
      </c>
      <c r="T820" s="5">
        <v>263.45</v>
      </c>
      <c r="U820" s="5">
        <v>252</v>
      </c>
      <c r="V820" s="5">
        <v>259</v>
      </c>
      <c r="W820" s="5">
        <v>1292400</v>
      </c>
      <c r="Y820" s="6">
        <f t="shared" si="24"/>
        <v>41029</v>
      </c>
      <c r="Z820" s="5">
        <f t="shared" si="25"/>
        <v>6326.29</v>
      </c>
      <c r="AA820" s="5">
        <v>123.41</v>
      </c>
      <c r="AB820" s="5">
        <v>114.6</v>
      </c>
    </row>
    <row r="821" spans="1:28" x14ac:dyDescent="0.3">
      <c r="A821" s="6">
        <v>39387</v>
      </c>
      <c r="B821" s="7">
        <v>0.66666666666666663</v>
      </c>
      <c r="C821" s="5">
        <v>187.1</v>
      </c>
      <c r="D821" s="5">
        <v>193.95</v>
      </c>
      <c r="E821" s="5">
        <v>183</v>
      </c>
      <c r="F821" s="5">
        <v>188.05</v>
      </c>
      <c r="G821" s="5">
        <v>33800</v>
      </c>
      <c r="I821" s="6">
        <v>41031</v>
      </c>
      <c r="J821" s="7">
        <v>0.66666666666666663</v>
      </c>
      <c r="K821" s="5">
        <v>6331</v>
      </c>
      <c r="L821" s="5">
        <v>6500</v>
      </c>
      <c r="M821" s="5">
        <v>6331</v>
      </c>
      <c r="N821" s="5">
        <v>6400</v>
      </c>
      <c r="O821" s="5">
        <v>314</v>
      </c>
      <c r="Q821" s="6">
        <v>39363</v>
      </c>
      <c r="R821" s="7">
        <v>0.66666666666666663</v>
      </c>
      <c r="S821" s="5">
        <v>259</v>
      </c>
      <c r="T821" s="5">
        <v>266</v>
      </c>
      <c r="U821" s="5">
        <v>259</v>
      </c>
      <c r="V821" s="5">
        <v>261.60000000000002</v>
      </c>
      <c r="W821" s="5">
        <v>962000</v>
      </c>
      <c r="Y821" s="6">
        <f t="shared" si="24"/>
        <v>41031</v>
      </c>
      <c r="Z821" s="5">
        <f t="shared" si="25"/>
        <v>6400</v>
      </c>
      <c r="AA821" s="5">
        <v>124.36</v>
      </c>
      <c r="AB821" s="5">
        <v>119.74</v>
      </c>
    </row>
    <row r="822" spans="1:28" x14ac:dyDescent="0.3">
      <c r="A822" s="6">
        <v>39388</v>
      </c>
      <c r="B822" s="7">
        <v>0.66666666666666663</v>
      </c>
      <c r="C822" s="5">
        <v>186</v>
      </c>
      <c r="D822" s="5">
        <v>189</v>
      </c>
      <c r="E822" s="5">
        <v>180</v>
      </c>
      <c r="F822" s="5">
        <v>185</v>
      </c>
      <c r="G822" s="5">
        <v>408500</v>
      </c>
      <c r="I822" s="6">
        <v>41032</v>
      </c>
      <c r="J822" s="7">
        <v>0.66666666666666663</v>
      </c>
      <c r="K822" s="5">
        <v>6400</v>
      </c>
      <c r="L822" s="5">
        <v>6720</v>
      </c>
      <c r="M822" s="5">
        <v>6395</v>
      </c>
      <c r="N822" s="5">
        <v>6706.6698999999999</v>
      </c>
      <c r="O822" s="5">
        <v>382</v>
      </c>
      <c r="Q822" s="6">
        <v>39364</v>
      </c>
      <c r="R822" s="7">
        <v>0.66666666666666663</v>
      </c>
      <c r="S822" s="5">
        <v>261.60000000000002</v>
      </c>
      <c r="T822" s="5">
        <v>264</v>
      </c>
      <c r="U822" s="5">
        <v>260</v>
      </c>
      <c r="V822" s="5">
        <v>263</v>
      </c>
      <c r="W822" s="5">
        <v>467300</v>
      </c>
      <c r="Y822" s="6">
        <f t="shared" si="24"/>
        <v>41032</v>
      </c>
      <c r="Z822" s="5">
        <f t="shared" si="25"/>
        <v>6706.6698999999999</v>
      </c>
      <c r="AA822" s="5">
        <v>124.66</v>
      </c>
      <c r="AB822" s="5">
        <v>125.58</v>
      </c>
    </row>
    <row r="823" spans="1:28" x14ac:dyDescent="0.3">
      <c r="A823" s="6">
        <v>39391</v>
      </c>
      <c r="B823" s="7">
        <v>0.66666666666666663</v>
      </c>
      <c r="C823" s="5">
        <v>180</v>
      </c>
      <c r="D823" s="5">
        <v>184.8</v>
      </c>
      <c r="E823" s="5">
        <v>175.75</v>
      </c>
      <c r="F823" s="5">
        <v>175.75</v>
      </c>
      <c r="G823" s="5">
        <v>11400</v>
      </c>
      <c r="I823" s="6">
        <v>41033</v>
      </c>
      <c r="J823" s="7">
        <v>0.66666666666666663</v>
      </c>
      <c r="K823" s="5">
        <v>6706.6698999999999</v>
      </c>
      <c r="L823" s="5">
        <v>7042</v>
      </c>
      <c r="M823" s="5">
        <v>6601</v>
      </c>
      <c r="N823" s="5">
        <v>7042</v>
      </c>
      <c r="O823" s="5">
        <v>120</v>
      </c>
      <c r="Q823" s="6">
        <v>39366</v>
      </c>
      <c r="R823" s="7">
        <v>0.66666666666666663</v>
      </c>
      <c r="S823" s="5">
        <v>263</v>
      </c>
      <c r="T823" s="5">
        <v>273</v>
      </c>
      <c r="U823" s="5">
        <v>262</v>
      </c>
      <c r="V823" s="5">
        <v>272</v>
      </c>
      <c r="W823" s="5">
        <v>1496100</v>
      </c>
      <c r="Y823" s="6">
        <f t="shared" si="24"/>
        <v>41033</v>
      </c>
      <c r="Z823" s="5">
        <f t="shared" si="25"/>
        <v>7042</v>
      </c>
      <c r="AA823" s="5">
        <v>124.89</v>
      </c>
      <c r="AB823" s="5">
        <v>129.66999999999999</v>
      </c>
    </row>
    <row r="824" spans="1:28" x14ac:dyDescent="0.3">
      <c r="A824" s="6">
        <v>39392</v>
      </c>
      <c r="B824" s="7">
        <v>0.66666666666666663</v>
      </c>
      <c r="C824" s="5">
        <v>176</v>
      </c>
      <c r="D824" s="5">
        <v>180</v>
      </c>
      <c r="E824" s="5">
        <v>167</v>
      </c>
      <c r="F824" s="5">
        <v>180</v>
      </c>
      <c r="G824" s="5">
        <v>7500</v>
      </c>
      <c r="I824" s="6">
        <v>41036</v>
      </c>
      <c r="J824" s="7">
        <v>0.66666666666666663</v>
      </c>
      <c r="K824" s="5">
        <v>7042</v>
      </c>
      <c r="L824" s="5">
        <v>7394.1000999999997</v>
      </c>
      <c r="M824" s="5">
        <v>7025</v>
      </c>
      <c r="N824" s="5">
        <v>7394.1000999999997</v>
      </c>
      <c r="O824" s="5">
        <v>140</v>
      </c>
      <c r="Q824" s="6">
        <v>39372</v>
      </c>
      <c r="R824" s="7">
        <v>0.66666666666666663</v>
      </c>
      <c r="S824" s="5">
        <v>276.05</v>
      </c>
      <c r="T824" s="5">
        <v>285.60000000000002</v>
      </c>
      <c r="U824" s="5">
        <v>276.05</v>
      </c>
      <c r="V824" s="5">
        <v>285.60000000000002</v>
      </c>
      <c r="W824" s="5">
        <v>1052100</v>
      </c>
      <c r="Y824" s="6">
        <f t="shared" si="24"/>
        <v>41036</v>
      </c>
      <c r="Z824" s="5">
        <f t="shared" si="25"/>
        <v>7394.1000999999997</v>
      </c>
      <c r="AA824" s="5">
        <v>127.82</v>
      </c>
      <c r="AB824" s="5">
        <v>126.99</v>
      </c>
    </row>
    <row r="825" spans="1:28" x14ac:dyDescent="0.3">
      <c r="A825" s="6">
        <v>39393</v>
      </c>
      <c r="B825" s="7">
        <v>0.66666666666666663</v>
      </c>
      <c r="C825" s="5">
        <v>180</v>
      </c>
      <c r="D825" s="5">
        <v>184</v>
      </c>
      <c r="E825" s="5">
        <v>180</v>
      </c>
      <c r="F825" s="5">
        <v>182.25</v>
      </c>
      <c r="G825" s="5">
        <v>10500</v>
      </c>
      <c r="I825" s="6">
        <v>41037</v>
      </c>
      <c r="J825" s="7">
        <v>0.66666666666666663</v>
      </c>
      <c r="K825" s="5">
        <v>7394.1000999999997</v>
      </c>
      <c r="L825" s="5">
        <v>7763.7997999999998</v>
      </c>
      <c r="M825" s="5">
        <v>7025</v>
      </c>
      <c r="N825" s="5">
        <v>7341.25</v>
      </c>
      <c r="O825" s="5">
        <v>71</v>
      </c>
      <c r="Q825" s="6">
        <v>39373</v>
      </c>
      <c r="R825" s="7">
        <v>0.66666666666666663</v>
      </c>
      <c r="S825" s="5">
        <v>236.5</v>
      </c>
      <c r="T825" s="5">
        <v>236.5</v>
      </c>
      <c r="U825" s="5">
        <v>236.5</v>
      </c>
      <c r="V825" s="5">
        <v>236.5</v>
      </c>
      <c r="W825" s="5">
        <v>761500</v>
      </c>
      <c r="Y825" s="6">
        <f t="shared" si="24"/>
        <v>41037</v>
      </c>
      <c r="Z825" s="5">
        <f t="shared" si="25"/>
        <v>7341.25</v>
      </c>
      <c r="AA825" s="5">
        <v>127.14</v>
      </c>
      <c r="AB825" s="5">
        <v>124.27</v>
      </c>
    </row>
    <row r="826" spans="1:28" x14ac:dyDescent="0.3">
      <c r="A826" s="6">
        <v>39394</v>
      </c>
      <c r="B826" s="7">
        <v>0.66666666666666663</v>
      </c>
      <c r="C826" s="5">
        <v>180.2</v>
      </c>
      <c r="D826" s="5">
        <v>181.9</v>
      </c>
      <c r="E826" s="5">
        <v>173.15</v>
      </c>
      <c r="F826" s="5">
        <v>180</v>
      </c>
      <c r="G826" s="5">
        <v>405700</v>
      </c>
      <c r="I826" s="6">
        <v>41038</v>
      </c>
      <c r="J826" s="7">
        <v>0.66666666666666663</v>
      </c>
      <c r="K826" s="5">
        <v>7341.25</v>
      </c>
      <c r="L826" s="5">
        <v>7400</v>
      </c>
      <c r="M826" s="5">
        <v>7000</v>
      </c>
      <c r="N826" s="5">
        <v>7326.4301999999998</v>
      </c>
      <c r="O826" s="5">
        <v>315</v>
      </c>
      <c r="Q826" s="6">
        <v>39374</v>
      </c>
      <c r="R826" s="7">
        <v>0.66666666666666663</v>
      </c>
      <c r="S826" s="5">
        <v>240.5</v>
      </c>
      <c r="T826" s="5">
        <v>248.3</v>
      </c>
      <c r="U826" s="5">
        <v>240.5</v>
      </c>
      <c r="V826" s="5">
        <v>248.3</v>
      </c>
      <c r="W826" s="5">
        <v>4230600</v>
      </c>
      <c r="Y826" s="6">
        <f t="shared" si="24"/>
        <v>41038</v>
      </c>
      <c r="Z826" s="5">
        <f t="shared" si="25"/>
        <v>7326.4301999999998</v>
      </c>
      <c r="AA826" s="5">
        <v>126.45</v>
      </c>
      <c r="AB826" s="5">
        <v>122.62</v>
      </c>
    </row>
    <row r="827" spans="1:28" x14ac:dyDescent="0.3">
      <c r="A827" s="6">
        <v>39398</v>
      </c>
      <c r="B827" s="7">
        <v>0.66666666666666663</v>
      </c>
      <c r="C827" s="5">
        <v>178</v>
      </c>
      <c r="D827" s="5">
        <v>182.95</v>
      </c>
      <c r="E827" s="5">
        <v>178</v>
      </c>
      <c r="F827" s="5">
        <v>182.95</v>
      </c>
      <c r="G827" s="5">
        <v>5000</v>
      </c>
      <c r="I827" s="6">
        <v>41039</v>
      </c>
      <c r="J827" s="7">
        <v>0.66666666666666663</v>
      </c>
      <c r="K827" s="5">
        <v>7260</v>
      </c>
      <c r="L827" s="5">
        <v>7260</v>
      </c>
      <c r="M827" s="5">
        <v>7010.0097999999998</v>
      </c>
      <c r="N827" s="5">
        <v>7240</v>
      </c>
      <c r="O827" s="5">
        <v>134</v>
      </c>
      <c r="Q827" s="6">
        <v>39377</v>
      </c>
      <c r="R827" s="7">
        <v>0.66666666666666663</v>
      </c>
      <c r="S827" s="5">
        <v>251.15</v>
      </c>
      <c r="T827" s="5">
        <v>260.7</v>
      </c>
      <c r="U827" s="5">
        <v>251.15</v>
      </c>
      <c r="V827" s="5">
        <v>260.7</v>
      </c>
      <c r="W827" s="5">
        <v>4321800</v>
      </c>
      <c r="Y827" s="6">
        <f t="shared" si="24"/>
        <v>41039</v>
      </c>
      <c r="Z827" s="5">
        <f t="shared" si="25"/>
        <v>7240</v>
      </c>
      <c r="AA827" s="5">
        <v>126.75</v>
      </c>
      <c r="AB827" s="5">
        <v>120.7</v>
      </c>
    </row>
    <row r="828" spans="1:28" x14ac:dyDescent="0.3">
      <c r="A828" s="6">
        <v>39399</v>
      </c>
      <c r="B828" s="7">
        <v>0.66666666666666663</v>
      </c>
      <c r="C828" s="5">
        <v>182</v>
      </c>
      <c r="D828" s="5">
        <v>192</v>
      </c>
      <c r="E828" s="5">
        <v>177.05</v>
      </c>
      <c r="F828" s="5">
        <v>187.55</v>
      </c>
      <c r="G828" s="5">
        <v>92500</v>
      </c>
      <c r="I828" s="6">
        <v>41040</v>
      </c>
      <c r="J828" s="7">
        <v>0.66666666666666663</v>
      </c>
      <c r="K828" s="5">
        <v>7240</v>
      </c>
      <c r="L828" s="5">
        <v>7449</v>
      </c>
      <c r="M828" s="5">
        <v>7056</v>
      </c>
      <c r="N828" s="5">
        <v>7201.23</v>
      </c>
      <c r="O828" s="5">
        <v>617</v>
      </c>
      <c r="Q828" s="6">
        <v>39378</v>
      </c>
      <c r="R828" s="7">
        <v>0.66666666666666663</v>
      </c>
      <c r="S828" s="5">
        <v>260.7</v>
      </c>
      <c r="T828" s="5">
        <v>273.7</v>
      </c>
      <c r="U828" s="5">
        <v>259</v>
      </c>
      <c r="V828" s="5">
        <v>273.7</v>
      </c>
      <c r="W828" s="5">
        <v>7922500</v>
      </c>
      <c r="Y828" s="6">
        <f t="shared" si="24"/>
        <v>41040</v>
      </c>
      <c r="Z828" s="5">
        <f t="shared" si="25"/>
        <v>7201.23</v>
      </c>
      <c r="AA828" s="5">
        <v>125.96</v>
      </c>
      <c r="AB828" s="5">
        <v>117.07</v>
      </c>
    </row>
    <row r="829" spans="1:28" x14ac:dyDescent="0.3">
      <c r="A829" s="6">
        <v>39400</v>
      </c>
      <c r="B829" s="7">
        <v>0.66666666666666663</v>
      </c>
      <c r="C829" s="5">
        <v>190</v>
      </c>
      <c r="D829" s="5">
        <v>194</v>
      </c>
      <c r="E829" s="5">
        <v>184</v>
      </c>
      <c r="F829" s="5">
        <v>184</v>
      </c>
      <c r="G829" s="5">
        <v>58400</v>
      </c>
      <c r="I829" s="6">
        <v>41043</v>
      </c>
      <c r="J829" s="7">
        <v>0.66666666666666663</v>
      </c>
      <c r="K829" s="5">
        <v>7201.23</v>
      </c>
      <c r="L829" s="5">
        <v>7240</v>
      </c>
      <c r="M829" s="5">
        <v>6850</v>
      </c>
      <c r="N829" s="5">
        <v>7136.23</v>
      </c>
      <c r="O829" s="5">
        <v>4</v>
      </c>
      <c r="Q829" s="6">
        <v>39379</v>
      </c>
      <c r="R829" s="7">
        <v>0.66666666666666663</v>
      </c>
      <c r="S829" s="5">
        <v>273.7</v>
      </c>
      <c r="T829" s="5">
        <v>287.35000000000002</v>
      </c>
      <c r="U829" s="5">
        <v>260.05</v>
      </c>
      <c r="V829" s="5">
        <v>261</v>
      </c>
      <c r="W829" s="5">
        <v>9870300</v>
      </c>
      <c r="Y829" s="6">
        <f t="shared" si="24"/>
        <v>41043</v>
      </c>
      <c r="Z829" s="5">
        <f t="shared" si="25"/>
        <v>7136.23</v>
      </c>
      <c r="AA829" s="5">
        <v>125.63</v>
      </c>
      <c r="AB829" s="5">
        <v>116.33</v>
      </c>
    </row>
    <row r="830" spans="1:28" x14ac:dyDescent="0.3">
      <c r="A830" s="6">
        <v>39401</v>
      </c>
      <c r="B830" s="7">
        <v>0.66666666666666663</v>
      </c>
      <c r="C830" s="5">
        <v>186</v>
      </c>
      <c r="D830" s="5">
        <v>186</v>
      </c>
      <c r="E830" s="5">
        <v>179</v>
      </c>
      <c r="F830" s="5">
        <v>184</v>
      </c>
      <c r="G830" s="5">
        <v>399000</v>
      </c>
      <c r="I830" s="6">
        <v>41044</v>
      </c>
      <c r="J830" s="7">
        <v>0.66666666666666663</v>
      </c>
      <c r="K830" s="5">
        <v>7136.23</v>
      </c>
      <c r="L830" s="5">
        <v>7199</v>
      </c>
      <c r="M830" s="5">
        <v>7125</v>
      </c>
      <c r="N830" s="5">
        <v>7136.23</v>
      </c>
      <c r="O830" s="5">
        <v>2</v>
      </c>
      <c r="Q830" s="6">
        <v>39380</v>
      </c>
      <c r="R830" s="7">
        <v>0.66666666666666663</v>
      </c>
      <c r="S830" s="5">
        <v>262</v>
      </c>
      <c r="T830" s="5">
        <v>274.05</v>
      </c>
      <c r="U830" s="5">
        <v>262</v>
      </c>
      <c r="V830" s="5">
        <v>274.05</v>
      </c>
      <c r="W830" s="5">
        <v>6935900</v>
      </c>
      <c r="Y830" s="6">
        <f t="shared" si="24"/>
        <v>41044</v>
      </c>
      <c r="Z830" s="5">
        <f t="shared" si="25"/>
        <v>7136.23</v>
      </c>
      <c r="AA830" s="5">
        <v>126.11</v>
      </c>
      <c r="AB830" s="5">
        <v>116.03</v>
      </c>
    </row>
    <row r="831" spans="1:28" x14ac:dyDescent="0.3">
      <c r="A831" s="6">
        <v>39402</v>
      </c>
      <c r="B831" s="7">
        <v>0.66666666666666663</v>
      </c>
      <c r="C831" s="5">
        <v>182</v>
      </c>
      <c r="D831" s="5">
        <v>184.5</v>
      </c>
      <c r="E831" s="5">
        <v>181.5</v>
      </c>
      <c r="F831" s="5">
        <v>184</v>
      </c>
      <c r="G831" s="5">
        <v>8600</v>
      </c>
      <c r="I831" s="6">
        <v>41045</v>
      </c>
      <c r="J831" s="7">
        <v>0.66666666666666663</v>
      </c>
      <c r="K831" s="5">
        <v>7136.23</v>
      </c>
      <c r="L831" s="5">
        <v>7225</v>
      </c>
      <c r="M831" s="5">
        <v>7015</v>
      </c>
      <c r="N831" s="5">
        <v>7052</v>
      </c>
      <c r="O831" s="5">
        <v>15</v>
      </c>
      <c r="Q831" s="6">
        <v>39381</v>
      </c>
      <c r="R831" s="7">
        <v>0.66666666666666663</v>
      </c>
      <c r="S831" s="5">
        <v>274.05</v>
      </c>
      <c r="T831" s="5">
        <v>287</v>
      </c>
      <c r="U831" s="5">
        <v>265.89999999999998</v>
      </c>
      <c r="V831" s="5">
        <v>268.64999999999998</v>
      </c>
      <c r="W831" s="5">
        <v>6831500</v>
      </c>
      <c r="Y831" s="6">
        <f t="shared" si="24"/>
        <v>41045</v>
      </c>
      <c r="Z831" s="5">
        <f t="shared" si="25"/>
        <v>7052</v>
      </c>
      <c r="AA831" s="5">
        <v>123.96</v>
      </c>
      <c r="AB831" s="5">
        <v>116</v>
      </c>
    </row>
    <row r="832" spans="1:28" x14ac:dyDescent="0.3">
      <c r="A832" s="6">
        <v>39405</v>
      </c>
      <c r="B832" s="7">
        <v>0.66666666666666663</v>
      </c>
      <c r="C832" s="5">
        <v>181.5</v>
      </c>
      <c r="D832" s="5">
        <v>183</v>
      </c>
      <c r="E832" s="5">
        <v>180</v>
      </c>
      <c r="F832" s="5">
        <v>181</v>
      </c>
      <c r="G832" s="5">
        <v>7400</v>
      </c>
      <c r="I832" s="6">
        <v>41046</v>
      </c>
      <c r="J832" s="7">
        <v>0.66666666666666663</v>
      </c>
      <c r="K832" s="5">
        <v>7052</v>
      </c>
      <c r="L832" s="5">
        <v>7194</v>
      </c>
      <c r="M832" s="5">
        <v>7050</v>
      </c>
      <c r="N832" s="5">
        <v>7157</v>
      </c>
      <c r="O832" s="5">
        <v>609</v>
      </c>
      <c r="Q832" s="6">
        <v>39384</v>
      </c>
      <c r="R832" s="7">
        <v>0.66666666666666663</v>
      </c>
      <c r="S832" s="5">
        <v>271.10000000000002</v>
      </c>
      <c r="T832" s="5">
        <v>282.05</v>
      </c>
      <c r="U832" s="5">
        <v>271.10000000000002</v>
      </c>
      <c r="V832" s="5">
        <v>282.05</v>
      </c>
      <c r="W832" s="5">
        <v>7809800</v>
      </c>
      <c r="Y832" s="6">
        <f t="shared" si="24"/>
        <v>41046</v>
      </c>
      <c r="Z832" s="5">
        <f t="shared" si="25"/>
        <v>7157</v>
      </c>
      <c r="AA832" s="5">
        <v>124.04</v>
      </c>
      <c r="AB832" s="5">
        <v>117</v>
      </c>
    </row>
    <row r="833" spans="1:28" x14ac:dyDescent="0.3">
      <c r="A833" s="6">
        <v>39406</v>
      </c>
      <c r="B833" s="7">
        <v>0.66666666666666663</v>
      </c>
      <c r="C833" s="5">
        <v>183</v>
      </c>
      <c r="D833" s="5">
        <v>188</v>
      </c>
      <c r="E833" s="5">
        <v>183</v>
      </c>
      <c r="F833" s="5">
        <v>188</v>
      </c>
      <c r="G833" s="5">
        <v>5900</v>
      </c>
      <c r="I833" s="6">
        <v>41047</v>
      </c>
      <c r="J833" s="7">
        <v>0.66666666666666663</v>
      </c>
      <c r="K833" s="5">
        <v>7250</v>
      </c>
      <c r="L833" s="5">
        <v>7250</v>
      </c>
      <c r="M833" s="5">
        <v>6800</v>
      </c>
      <c r="N833" s="5">
        <v>7100</v>
      </c>
      <c r="O833" s="5">
        <v>704</v>
      </c>
      <c r="Q833" s="6">
        <v>39385</v>
      </c>
      <c r="R833" s="7">
        <v>0.66666666666666663</v>
      </c>
      <c r="S833" s="5">
        <v>282.05</v>
      </c>
      <c r="T833" s="5">
        <v>291.45</v>
      </c>
      <c r="U833" s="5">
        <v>273.3</v>
      </c>
      <c r="V833" s="5">
        <v>278</v>
      </c>
      <c r="W833" s="5">
        <v>11017000</v>
      </c>
      <c r="Y833" s="6">
        <f t="shared" si="24"/>
        <v>41047</v>
      </c>
      <c r="Z833" s="5">
        <f t="shared" si="25"/>
        <v>7100</v>
      </c>
      <c r="AA833" s="5">
        <v>120.2</v>
      </c>
      <c r="AB833" s="5">
        <v>116</v>
      </c>
    </row>
    <row r="834" spans="1:28" x14ac:dyDescent="0.3">
      <c r="A834" s="6">
        <v>39407</v>
      </c>
      <c r="B834" s="7">
        <v>0.66666666666666663</v>
      </c>
      <c r="C834" s="5">
        <v>190</v>
      </c>
      <c r="D834" s="5">
        <v>190</v>
      </c>
      <c r="E834" s="5">
        <v>185.1</v>
      </c>
      <c r="F834" s="5">
        <v>185.1</v>
      </c>
      <c r="G834" s="5">
        <v>4800</v>
      </c>
      <c r="I834" s="6">
        <v>41050</v>
      </c>
      <c r="J834" s="7">
        <v>0.66666666666666663</v>
      </c>
      <c r="K834" s="5">
        <v>7210</v>
      </c>
      <c r="L834" s="5">
        <v>7210</v>
      </c>
      <c r="M834" s="5">
        <v>7210</v>
      </c>
      <c r="N834" s="5">
        <v>7100</v>
      </c>
      <c r="O834" s="5">
        <v>1</v>
      </c>
      <c r="Q834" s="6">
        <v>39386</v>
      </c>
      <c r="R834" s="7">
        <v>0.66666666666666663</v>
      </c>
      <c r="S834" s="5">
        <v>278</v>
      </c>
      <c r="T834" s="5">
        <v>284.64999999999998</v>
      </c>
      <c r="U834" s="5">
        <v>275.2</v>
      </c>
      <c r="V834" s="5">
        <v>281</v>
      </c>
      <c r="W834" s="5">
        <v>4914100</v>
      </c>
      <c r="Y834" s="6">
        <f t="shared" si="24"/>
        <v>41050</v>
      </c>
      <c r="Z834" s="5">
        <f t="shared" si="25"/>
        <v>7100</v>
      </c>
      <c r="AA834" s="5">
        <v>119.32</v>
      </c>
      <c r="AB834" s="5">
        <v>115.93</v>
      </c>
    </row>
    <row r="835" spans="1:28" x14ac:dyDescent="0.3">
      <c r="A835" s="6">
        <v>39408</v>
      </c>
      <c r="B835" s="7">
        <v>0.66666666666666663</v>
      </c>
      <c r="C835" s="5">
        <v>188.85</v>
      </c>
      <c r="D835" s="5">
        <v>189.5</v>
      </c>
      <c r="E835" s="5">
        <v>186.2</v>
      </c>
      <c r="F835" s="5">
        <v>188</v>
      </c>
      <c r="G835" s="5">
        <v>11300</v>
      </c>
      <c r="I835" s="6">
        <v>41051</v>
      </c>
      <c r="J835" s="7">
        <v>0.66666666666666663</v>
      </c>
      <c r="K835" s="5">
        <v>7200</v>
      </c>
      <c r="L835" s="5">
        <v>7250</v>
      </c>
      <c r="M835" s="5">
        <v>7052.5</v>
      </c>
      <c r="N835" s="5">
        <v>7200</v>
      </c>
      <c r="O835" s="5">
        <v>56</v>
      </c>
      <c r="Q835" s="6">
        <v>39387</v>
      </c>
      <c r="R835" s="7">
        <v>0.66666666666666663</v>
      </c>
      <c r="S835" s="5">
        <v>281</v>
      </c>
      <c r="T835" s="5">
        <v>281</v>
      </c>
      <c r="U835" s="5">
        <v>266.95</v>
      </c>
      <c r="V835" s="5">
        <v>266.95</v>
      </c>
      <c r="W835" s="5">
        <v>2185400</v>
      </c>
      <c r="Y835" s="6">
        <f t="shared" si="24"/>
        <v>41051</v>
      </c>
      <c r="Z835" s="5">
        <f t="shared" si="25"/>
        <v>7200</v>
      </c>
      <c r="AA835" s="5">
        <v>122.35</v>
      </c>
      <c r="AB835" s="5">
        <v>116.99</v>
      </c>
    </row>
    <row r="836" spans="1:28" x14ac:dyDescent="0.3">
      <c r="A836" s="6">
        <v>39409</v>
      </c>
      <c r="B836" s="7">
        <v>0.66666666666666663</v>
      </c>
      <c r="C836" s="5">
        <v>188</v>
      </c>
      <c r="D836" s="5">
        <v>189</v>
      </c>
      <c r="E836" s="5">
        <v>187</v>
      </c>
      <c r="F836" s="5">
        <v>187.9</v>
      </c>
      <c r="G836" s="5">
        <v>14500</v>
      </c>
      <c r="I836" s="6">
        <v>41052</v>
      </c>
      <c r="J836" s="7">
        <v>0.66666666666666663</v>
      </c>
      <c r="K836" s="5">
        <v>7230</v>
      </c>
      <c r="L836" s="5">
        <v>7230</v>
      </c>
      <c r="M836" s="5">
        <v>7060</v>
      </c>
      <c r="N836" s="5">
        <v>7113.29</v>
      </c>
      <c r="O836" s="5">
        <v>18</v>
      </c>
      <c r="Q836" s="6">
        <v>39388</v>
      </c>
      <c r="R836" s="7">
        <v>0.66666666666666663</v>
      </c>
      <c r="S836" s="5">
        <v>266.95</v>
      </c>
      <c r="T836" s="5">
        <v>270.39999999999998</v>
      </c>
      <c r="U836" s="5">
        <v>255</v>
      </c>
      <c r="V836" s="5">
        <v>259</v>
      </c>
      <c r="W836" s="5">
        <v>5389300</v>
      </c>
      <c r="Y836" s="6">
        <f t="shared" ref="Y836:Y899" si="26">I836</f>
        <v>41052</v>
      </c>
      <c r="Z836" s="5">
        <f t="shared" ref="Z836:Z899" si="27">N836</f>
        <v>7113.29</v>
      </c>
      <c r="AA836" s="5">
        <v>120.73</v>
      </c>
      <c r="AB836" s="5">
        <v>117</v>
      </c>
    </row>
    <row r="837" spans="1:28" x14ac:dyDescent="0.3">
      <c r="A837" s="6">
        <v>39412</v>
      </c>
      <c r="B837" s="7">
        <v>0.66666666666666663</v>
      </c>
      <c r="C837" s="5">
        <v>189</v>
      </c>
      <c r="D837" s="5">
        <v>198.45</v>
      </c>
      <c r="E837" s="5">
        <v>188</v>
      </c>
      <c r="F837" s="5">
        <v>198.45</v>
      </c>
      <c r="G837" s="5">
        <v>90000</v>
      </c>
      <c r="I837" s="6">
        <v>41053</v>
      </c>
      <c r="J837" s="7">
        <v>0.66666666666666663</v>
      </c>
      <c r="K837" s="5">
        <v>7225</v>
      </c>
      <c r="L837" s="5">
        <v>7240</v>
      </c>
      <c r="M837" s="5">
        <v>7032</v>
      </c>
      <c r="N837" s="5">
        <v>7190.8301000000001</v>
      </c>
      <c r="O837" s="5">
        <v>22</v>
      </c>
      <c r="Q837" s="6">
        <v>39391</v>
      </c>
      <c r="R837" s="7">
        <v>0.66666666666666663</v>
      </c>
      <c r="S837" s="5">
        <v>257.95</v>
      </c>
      <c r="T837" s="5">
        <v>257.95</v>
      </c>
      <c r="U837" s="5">
        <v>246.05</v>
      </c>
      <c r="V837" s="5">
        <v>246.05</v>
      </c>
      <c r="W837" s="5">
        <v>1020300</v>
      </c>
      <c r="Y837" s="6">
        <f t="shared" si="26"/>
        <v>41053</v>
      </c>
      <c r="Z837" s="5">
        <f t="shared" si="27"/>
        <v>7190.8301000000001</v>
      </c>
      <c r="AA837" s="5">
        <v>120.68</v>
      </c>
      <c r="AB837" s="5">
        <v>116.93</v>
      </c>
    </row>
    <row r="838" spans="1:28" x14ac:dyDescent="0.3">
      <c r="A838" s="6">
        <v>39413</v>
      </c>
      <c r="B838" s="7">
        <v>0.66666666666666663</v>
      </c>
      <c r="C838" s="5">
        <v>200</v>
      </c>
      <c r="D838" s="5">
        <v>208.35</v>
      </c>
      <c r="E838" s="5">
        <v>199</v>
      </c>
      <c r="F838" s="5">
        <v>202</v>
      </c>
      <c r="G838" s="5">
        <v>61600</v>
      </c>
      <c r="I838" s="6">
        <v>41054</v>
      </c>
      <c r="J838" s="7">
        <v>0.66666666666666663</v>
      </c>
      <c r="K838" s="5">
        <v>7199</v>
      </c>
      <c r="L838" s="5">
        <v>7500</v>
      </c>
      <c r="M838" s="5">
        <v>7150</v>
      </c>
      <c r="N838" s="5">
        <v>7233.8798999999999</v>
      </c>
      <c r="O838" s="5">
        <v>674</v>
      </c>
      <c r="Q838" s="6">
        <v>39392</v>
      </c>
      <c r="R838" s="7">
        <v>0.66666666666666663</v>
      </c>
      <c r="S838" s="5">
        <v>246.05</v>
      </c>
      <c r="T838" s="5">
        <v>258.35000000000002</v>
      </c>
      <c r="U838" s="5">
        <v>233.75</v>
      </c>
      <c r="V838" s="5">
        <v>257.3</v>
      </c>
      <c r="W838" s="5">
        <v>9659600</v>
      </c>
      <c r="Y838" s="6">
        <f t="shared" si="26"/>
        <v>41054</v>
      </c>
      <c r="Z838" s="5">
        <f t="shared" si="27"/>
        <v>7233.8798999999999</v>
      </c>
      <c r="AA838" s="5">
        <v>119.19</v>
      </c>
      <c r="AB838" s="5">
        <v>115.03</v>
      </c>
    </row>
    <row r="839" spans="1:28" x14ac:dyDescent="0.3">
      <c r="A839" s="6">
        <v>39414</v>
      </c>
      <c r="B839" s="7">
        <v>0.66666666666666663</v>
      </c>
      <c r="C839" s="5">
        <v>195.55</v>
      </c>
      <c r="D839" s="5">
        <v>210</v>
      </c>
      <c r="E839" s="5">
        <v>195.55</v>
      </c>
      <c r="F839" s="5">
        <v>206.9</v>
      </c>
      <c r="G839" s="5">
        <v>47400</v>
      </c>
      <c r="I839" s="6">
        <v>41057</v>
      </c>
      <c r="J839" s="7">
        <v>0.66666666666666663</v>
      </c>
      <c r="K839" s="5">
        <v>7230</v>
      </c>
      <c r="L839" s="5">
        <v>7230</v>
      </c>
      <c r="M839" s="5">
        <v>7050</v>
      </c>
      <c r="N839" s="5">
        <v>7100.1298999999999</v>
      </c>
      <c r="O839" s="5">
        <v>136</v>
      </c>
      <c r="Q839" s="6">
        <v>39393</v>
      </c>
      <c r="R839" s="7">
        <v>0.66666666666666663</v>
      </c>
      <c r="S839" s="5">
        <v>257.3</v>
      </c>
      <c r="T839" s="5">
        <v>269.5</v>
      </c>
      <c r="U839" s="5">
        <v>252.5</v>
      </c>
      <c r="V839" s="5">
        <v>267.7</v>
      </c>
      <c r="W839" s="5">
        <v>8388500</v>
      </c>
      <c r="Y839" s="6">
        <f t="shared" si="26"/>
        <v>41057</v>
      </c>
      <c r="Z839" s="5">
        <f t="shared" si="27"/>
        <v>7100.1298999999999</v>
      </c>
      <c r="AA839" s="5">
        <v>125.14</v>
      </c>
      <c r="AB839" s="5">
        <v>116.75</v>
      </c>
    </row>
    <row r="840" spans="1:28" x14ac:dyDescent="0.3">
      <c r="A840" s="6">
        <v>39415</v>
      </c>
      <c r="B840" s="7">
        <v>0.66666666666666663</v>
      </c>
      <c r="C840" s="5">
        <v>209.5</v>
      </c>
      <c r="D840" s="5">
        <v>210</v>
      </c>
      <c r="E840" s="5">
        <v>200</v>
      </c>
      <c r="F840" s="5">
        <v>200</v>
      </c>
      <c r="G840" s="5">
        <v>28800</v>
      </c>
      <c r="I840" s="6">
        <v>41058</v>
      </c>
      <c r="J840" s="7">
        <v>0.66666666666666663</v>
      </c>
      <c r="K840" s="5">
        <v>7199</v>
      </c>
      <c r="L840" s="5">
        <v>7250</v>
      </c>
      <c r="M840" s="5">
        <v>7130</v>
      </c>
      <c r="N840" s="5">
        <v>7239.1801999999998</v>
      </c>
      <c r="O840" s="5">
        <v>646</v>
      </c>
      <c r="Q840" s="6">
        <v>39394</v>
      </c>
      <c r="R840" s="7">
        <v>0.66666666666666663</v>
      </c>
      <c r="S840" s="5">
        <v>267.7</v>
      </c>
      <c r="T840" s="5">
        <v>273.89999999999998</v>
      </c>
      <c r="U840" s="5">
        <v>256</v>
      </c>
      <c r="V840" s="5">
        <v>268</v>
      </c>
      <c r="W840" s="5">
        <v>11422400</v>
      </c>
      <c r="Y840" s="6">
        <f t="shared" si="26"/>
        <v>41058</v>
      </c>
      <c r="Z840" s="5">
        <f t="shared" si="27"/>
        <v>7239.1801999999998</v>
      </c>
      <c r="AA840" s="5">
        <v>130.1</v>
      </c>
      <c r="AB840" s="5">
        <v>115.01</v>
      </c>
    </row>
    <row r="841" spans="1:28" x14ac:dyDescent="0.3">
      <c r="A841" s="6">
        <v>39416</v>
      </c>
      <c r="B841" s="7">
        <v>0.66666666666666663</v>
      </c>
      <c r="C841" s="5">
        <v>203.5</v>
      </c>
      <c r="D841" s="5">
        <v>206.7</v>
      </c>
      <c r="E841" s="5">
        <v>200</v>
      </c>
      <c r="F841" s="5">
        <v>206.5</v>
      </c>
      <c r="G841" s="5">
        <v>56300</v>
      </c>
      <c r="I841" s="6">
        <v>41060</v>
      </c>
      <c r="J841" s="7">
        <v>0.66666666666666663</v>
      </c>
      <c r="K841" s="5">
        <v>7499</v>
      </c>
      <c r="L841" s="5">
        <v>7499</v>
      </c>
      <c r="M841" s="5">
        <v>7151</v>
      </c>
      <c r="N841" s="5">
        <v>7170.5698000000002</v>
      </c>
      <c r="O841" s="5">
        <v>47</v>
      </c>
      <c r="Q841" s="6">
        <v>39398</v>
      </c>
      <c r="R841" s="7">
        <v>0.66666666666666663</v>
      </c>
      <c r="S841" s="5">
        <v>270.60000000000002</v>
      </c>
      <c r="T841" s="5">
        <v>281.39999999999998</v>
      </c>
      <c r="U841" s="5">
        <v>270.60000000000002</v>
      </c>
      <c r="V841" s="5">
        <v>280.2</v>
      </c>
      <c r="W841" s="5">
        <v>12414100</v>
      </c>
      <c r="Y841" s="6">
        <f t="shared" si="26"/>
        <v>41060</v>
      </c>
      <c r="Z841" s="5">
        <f t="shared" si="27"/>
        <v>7170.5698000000002</v>
      </c>
      <c r="AA841" s="5">
        <v>130.97999999999999</v>
      </c>
      <c r="AB841" s="5">
        <v>112</v>
      </c>
    </row>
    <row r="842" spans="1:28" x14ac:dyDescent="0.3">
      <c r="A842" s="6">
        <v>39419</v>
      </c>
      <c r="B842" s="7">
        <v>0.66666666666666663</v>
      </c>
      <c r="C842" s="5">
        <v>209.9</v>
      </c>
      <c r="D842" s="5">
        <v>213.95</v>
      </c>
      <c r="E842" s="5">
        <v>207.1</v>
      </c>
      <c r="F842" s="5">
        <v>210.25</v>
      </c>
      <c r="G842" s="5">
        <v>45400</v>
      </c>
      <c r="I842" s="6">
        <v>41061</v>
      </c>
      <c r="J842" s="7">
        <v>0.66666666666666663</v>
      </c>
      <c r="K842" s="5">
        <v>7100</v>
      </c>
      <c r="L842" s="5">
        <v>7300</v>
      </c>
      <c r="M842" s="5">
        <v>7100</v>
      </c>
      <c r="N842" s="5">
        <v>7189.7002000000002</v>
      </c>
      <c r="O842" s="5">
        <v>31</v>
      </c>
      <c r="Q842" s="6">
        <v>39399</v>
      </c>
      <c r="R842" s="7">
        <v>0.66666666666666663</v>
      </c>
      <c r="S842" s="5">
        <v>280.2</v>
      </c>
      <c r="T842" s="5">
        <v>287.95</v>
      </c>
      <c r="U842" s="5">
        <v>276.25</v>
      </c>
      <c r="V842" s="5">
        <v>279.95</v>
      </c>
      <c r="W842" s="5">
        <v>11231200</v>
      </c>
      <c r="Y842" s="6">
        <f t="shared" si="26"/>
        <v>41061</v>
      </c>
      <c r="Z842" s="5">
        <f t="shared" si="27"/>
        <v>7189.7002000000002</v>
      </c>
      <c r="AA842" s="5">
        <v>131.06</v>
      </c>
      <c r="AB842" s="5">
        <v>116.42</v>
      </c>
    </row>
    <row r="843" spans="1:28" x14ac:dyDescent="0.3">
      <c r="A843" s="6">
        <v>39420</v>
      </c>
      <c r="B843" s="7">
        <v>0.66666666666666663</v>
      </c>
      <c r="C843" s="5">
        <v>210</v>
      </c>
      <c r="D843" s="5">
        <v>212</v>
      </c>
      <c r="E843" s="5">
        <v>208</v>
      </c>
      <c r="F843" s="5">
        <v>209.9</v>
      </c>
      <c r="G843" s="5">
        <v>18100</v>
      </c>
      <c r="I843" s="6">
        <v>41064</v>
      </c>
      <c r="J843" s="7">
        <v>0.66666666666666663</v>
      </c>
      <c r="K843" s="5">
        <v>7225</v>
      </c>
      <c r="L843" s="5">
        <v>7225</v>
      </c>
      <c r="M843" s="5">
        <v>7122</v>
      </c>
      <c r="N843" s="5">
        <v>7199.8100999999997</v>
      </c>
      <c r="O843" s="5">
        <v>477</v>
      </c>
      <c r="Q843" s="6">
        <v>39400</v>
      </c>
      <c r="R843" s="7">
        <v>0.66666666666666663</v>
      </c>
      <c r="S843" s="5">
        <v>279.95</v>
      </c>
      <c r="T843" s="5">
        <v>281</v>
      </c>
      <c r="U843" s="5">
        <v>266</v>
      </c>
      <c r="V843" s="5">
        <v>266</v>
      </c>
      <c r="W843" s="5">
        <v>6221000</v>
      </c>
      <c r="Y843" s="6">
        <f t="shared" si="26"/>
        <v>41064</v>
      </c>
      <c r="Z843" s="5">
        <f t="shared" si="27"/>
        <v>7199.8100999999997</v>
      </c>
      <c r="AA843" s="5">
        <v>128.65</v>
      </c>
      <c r="AB843" s="5">
        <v>116.45</v>
      </c>
    </row>
    <row r="844" spans="1:28" x14ac:dyDescent="0.3">
      <c r="A844" s="6">
        <v>39421</v>
      </c>
      <c r="B844" s="7">
        <v>0.66666666666666663</v>
      </c>
      <c r="C844" s="5">
        <v>210.05</v>
      </c>
      <c r="D844" s="5">
        <v>215</v>
      </c>
      <c r="E844" s="5">
        <v>210.05</v>
      </c>
      <c r="F844" s="5">
        <v>212</v>
      </c>
      <c r="G844" s="5">
        <v>25800</v>
      </c>
      <c r="I844" s="6">
        <v>41065</v>
      </c>
      <c r="J844" s="7">
        <v>0.66666666666666663</v>
      </c>
      <c r="K844" s="5">
        <v>7205</v>
      </c>
      <c r="L844" s="5">
        <v>7280</v>
      </c>
      <c r="M844" s="5">
        <v>7100</v>
      </c>
      <c r="N844" s="5">
        <v>7260</v>
      </c>
      <c r="O844" s="5">
        <v>31</v>
      </c>
      <c r="Q844" s="6">
        <v>39401</v>
      </c>
      <c r="R844" s="7">
        <v>0.66666666666666663</v>
      </c>
      <c r="S844" s="5">
        <v>263.85000000000002</v>
      </c>
      <c r="T844" s="5">
        <v>263.85000000000002</v>
      </c>
      <c r="U844" s="5">
        <v>252.7</v>
      </c>
      <c r="V844" s="5">
        <v>253</v>
      </c>
      <c r="W844" s="5">
        <v>9789400</v>
      </c>
      <c r="Y844" s="6">
        <f t="shared" si="26"/>
        <v>41065</v>
      </c>
      <c r="Z844" s="5">
        <f t="shared" si="27"/>
        <v>7260</v>
      </c>
      <c r="AA844" s="5">
        <v>125.99</v>
      </c>
      <c r="AB844" s="5">
        <v>115</v>
      </c>
    </row>
    <row r="845" spans="1:28" x14ac:dyDescent="0.3">
      <c r="A845" s="6">
        <v>39422</v>
      </c>
      <c r="B845" s="7">
        <v>0.66666666666666663</v>
      </c>
      <c r="C845" s="5">
        <v>214</v>
      </c>
      <c r="D845" s="5">
        <v>215</v>
      </c>
      <c r="E845" s="5">
        <v>210</v>
      </c>
      <c r="F845" s="5">
        <v>210.6</v>
      </c>
      <c r="G845" s="5">
        <v>66300</v>
      </c>
      <c r="I845" s="6">
        <v>41066</v>
      </c>
      <c r="J845" s="7">
        <v>0.66666666666666663</v>
      </c>
      <c r="K845" s="5">
        <v>7275</v>
      </c>
      <c r="L845" s="5">
        <v>7275</v>
      </c>
      <c r="M845" s="5">
        <v>7275</v>
      </c>
      <c r="N845" s="5">
        <v>7260</v>
      </c>
      <c r="O845" s="5">
        <v>2</v>
      </c>
      <c r="Q845" s="6">
        <v>39402</v>
      </c>
      <c r="R845" s="7">
        <v>0.66666666666666663</v>
      </c>
      <c r="S845" s="5">
        <v>253</v>
      </c>
      <c r="T845" s="5">
        <v>260.60000000000002</v>
      </c>
      <c r="U845" s="5">
        <v>240.1</v>
      </c>
      <c r="V845" s="5">
        <v>240.1</v>
      </c>
      <c r="W845" s="5">
        <v>8084000</v>
      </c>
      <c r="Y845" s="6">
        <f t="shared" si="26"/>
        <v>41066</v>
      </c>
      <c r="Z845" s="5">
        <f t="shared" si="27"/>
        <v>7260</v>
      </c>
      <c r="AA845" s="5">
        <v>126.3</v>
      </c>
      <c r="AB845" s="5">
        <v>118.91</v>
      </c>
    </row>
    <row r="846" spans="1:28" x14ac:dyDescent="0.3">
      <c r="A846" s="6">
        <v>39423</v>
      </c>
      <c r="B846" s="7">
        <v>0.66666666666666663</v>
      </c>
      <c r="C846" s="5">
        <v>211.55</v>
      </c>
      <c r="D846" s="5">
        <v>217.65</v>
      </c>
      <c r="E846" s="5">
        <v>211</v>
      </c>
      <c r="F846" s="5">
        <v>212.9</v>
      </c>
      <c r="G846" s="5">
        <v>38900</v>
      </c>
      <c r="I846" s="6">
        <v>41067</v>
      </c>
      <c r="J846" s="7">
        <v>0.66666666666666663</v>
      </c>
      <c r="K846" s="5">
        <v>7290</v>
      </c>
      <c r="L846" s="5">
        <v>7290</v>
      </c>
      <c r="M846" s="5">
        <v>7250</v>
      </c>
      <c r="N846" s="5">
        <v>7260</v>
      </c>
      <c r="O846" s="5">
        <v>3</v>
      </c>
      <c r="Q846" s="6">
        <v>39405</v>
      </c>
      <c r="R846" s="7">
        <v>0.66666666666666663</v>
      </c>
      <c r="S846" s="5">
        <v>240.1</v>
      </c>
      <c r="T846" s="5">
        <v>250.4</v>
      </c>
      <c r="U846" s="5">
        <v>228.1</v>
      </c>
      <c r="V846" s="5">
        <v>245</v>
      </c>
      <c r="W846" s="5">
        <v>9915000</v>
      </c>
      <c r="Y846" s="6">
        <f t="shared" si="26"/>
        <v>41067</v>
      </c>
      <c r="Z846" s="5">
        <f t="shared" si="27"/>
        <v>7260</v>
      </c>
      <c r="AA846" s="5">
        <v>125.26</v>
      </c>
      <c r="AB846" s="5">
        <v>114.67</v>
      </c>
    </row>
    <row r="847" spans="1:28" x14ac:dyDescent="0.3">
      <c r="A847" s="6">
        <v>39426</v>
      </c>
      <c r="B847" s="7">
        <v>0.66666666666666663</v>
      </c>
      <c r="C847" s="5">
        <v>212.5</v>
      </c>
      <c r="D847" s="5">
        <v>221</v>
      </c>
      <c r="E847" s="5">
        <v>211</v>
      </c>
      <c r="F847" s="5">
        <v>217.9</v>
      </c>
      <c r="G847" s="5">
        <v>220800</v>
      </c>
      <c r="I847" s="6">
        <v>41068</v>
      </c>
      <c r="J847" s="7">
        <v>0.66666666666666663</v>
      </c>
      <c r="K847" s="5">
        <v>7111</v>
      </c>
      <c r="L847" s="5">
        <v>7274</v>
      </c>
      <c r="M847" s="5">
        <v>7000</v>
      </c>
      <c r="N847" s="5">
        <v>7208.5</v>
      </c>
      <c r="O847" s="5">
        <v>6</v>
      </c>
      <c r="Q847" s="6">
        <v>39406</v>
      </c>
      <c r="R847" s="7">
        <v>0.66666666666666663</v>
      </c>
      <c r="S847" s="5">
        <v>245</v>
      </c>
      <c r="T847" s="5">
        <v>250.9</v>
      </c>
      <c r="U847" s="5">
        <v>240</v>
      </c>
      <c r="V847" s="5">
        <v>241.8</v>
      </c>
      <c r="W847" s="5">
        <v>5976000</v>
      </c>
      <c r="Y847" s="6">
        <f t="shared" si="26"/>
        <v>41068</v>
      </c>
      <c r="Z847" s="5">
        <f t="shared" si="27"/>
        <v>7208.5</v>
      </c>
      <c r="AA847" s="5">
        <v>124.26</v>
      </c>
      <c r="AB847" s="5">
        <v>115</v>
      </c>
    </row>
    <row r="848" spans="1:28" x14ac:dyDescent="0.3">
      <c r="A848" s="6">
        <v>39427</v>
      </c>
      <c r="B848" s="7">
        <v>0.66666666666666663</v>
      </c>
      <c r="C848" s="5">
        <v>216</v>
      </c>
      <c r="D848" s="5">
        <v>219.95</v>
      </c>
      <c r="E848" s="5">
        <v>212.5</v>
      </c>
      <c r="F848" s="5">
        <v>216.55</v>
      </c>
      <c r="G848" s="5">
        <v>39700</v>
      </c>
      <c r="I848" s="6">
        <v>41071</v>
      </c>
      <c r="J848" s="7">
        <v>0.66666666666666663</v>
      </c>
      <c r="K848" s="5">
        <v>7299</v>
      </c>
      <c r="L848" s="5">
        <v>7299</v>
      </c>
      <c r="M848" s="5">
        <v>7055</v>
      </c>
      <c r="N848" s="5">
        <v>7247.6602000000003</v>
      </c>
      <c r="O848" s="5">
        <v>280</v>
      </c>
      <c r="Q848" s="6">
        <v>39407</v>
      </c>
      <c r="R848" s="7">
        <v>0.66666666666666663</v>
      </c>
      <c r="S848" s="5">
        <v>241.8</v>
      </c>
      <c r="T848" s="5">
        <v>247.9</v>
      </c>
      <c r="U848" s="5">
        <v>237.1</v>
      </c>
      <c r="V848" s="5">
        <v>240</v>
      </c>
      <c r="W848" s="5">
        <v>4841100</v>
      </c>
      <c r="Y848" s="6">
        <f t="shared" si="26"/>
        <v>41071</v>
      </c>
      <c r="Z848" s="5">
        <f t="shared" si="27"/>
        <v>7247.6602000000003</v>
      </c>
      <c r="AA848" s="5">
        <v>124.83</v>
      </c>
      <c r="AB848" s="5">
        <v>116</v>
      </c>
    </row>
    <row r="849" spans="1:28" x14ac:dyDescent="0.3">
      <c r="A849" s="6">
        <v>39428</v>
      </c>
      <c r="B849" s="7">
        <v>0.66666666666666663</v>
      </c>
      <c r="C849" s="5">
        <v>218</v>
      </c>
      <c r="D849" s="5">
        <v>219</v>
      </c>
      <c r="E849" s="5">
        <v>216</v>
      </c>
      <c r="F849" s="5">
        <v>216.5</v>
      </c>
      <c r="G849" s="5">
        <v>11100</v>
      </c>
      <c r="I849" s="6">
        <v>41072</v>
      </c>
      <c r="J849" s="7">
        <v>0.66666666666666663</v>
      </c>
      <c r="K849" s="5">
        <v>7290</v>
      </c>
      <c r="L849" s="5">
        <v>7290</v>
      </c>
      <c r="M849" s="5">
        <v>6910</v>
      </c>
      <c r="N849" s="5">
        <v>7162.5</v>
      </c>
      <c r="O849" s="5">
        <v>28</v>
      </c>
      <c r="Q849" s="6">
        <v>39408</v>
      </c>
      <c r="R849" s="7">
        <v>0.66666666666666663</v>
      </c>
      <c r="S849" s="5">
        <v>240</v>
      </c>
      <c r="T849" s="5">
        <v>246.2</v>
      </c>
      <c r="U849" s="5">
        <v>240</v>
      </c>
      <c r="V849" s="5">
        <v>242.25</v>
      </c>
      <c r="W849" s="5">
        <v>3964000</v>
      </c>
      <c r="Y849" s="6">
        <f t="shared" si="26"/>
        <v>41072</v>
      </c>
      <c r="Z849" s="5">
        <f t="shared" si="27"/>
        <v>7162.5</v>
      </c>
      <c r="AA849" s="5">
        <v>123.56</v>
      </c>
      <c r="AB849" s="5" t="e">
        <v>#N/A</v>
      </c>
    </row>
    <row r="850" spans="1:28" x14ac:dyDescent="0.3">
      <c r="A850" s="6">
        <v>39429</v>
      </c>
      <c r="B850" s="7">
        <v>0.66666666666666663</v>
      </c>
      <c r="C850" s="5">
        <v>219</v>
      </c>
      <c r="D850" s="5">
        <v>219</v>
      </c>
      <c r="E850" s="5">
        <v>216.25</v>
      </c>
      <c r="F850" s="5">
        <v>216.5</v>
      </c>
      <c r="G850" s="5">
        <v>17000</v>
      </c>
      <c r="I850" s="6">
        <v>41073</v>
      </c>
      <c r="J850" s="7">
        <v>0.66666666666666663</v>
      </c>
      <c r="K850" s="5">
        <v>7250</v>
      </c>
      <c r="L850" s="5">
        <v>7480</v>
      </c>
      <c r="M850" s="5">
        <v>7249</v>
      </c>
      <c r="N850" s="5">
        <v>7380</v>
      </c>
      <c r="O850" s="5">
        <v>97</v>
      </c>
      <c r="Q850" s="6">
        <v>39409</v>
      </c>
      <c r="R850" s="7">
        <v>0.66666666666666663</v>
      </c>
      <c r="S850" s="5">
        <v>242.25</v>
      </c>
      <c r="T850" s="5">
        <v>250.8</v>
      </c>
      <c r="U850" s="5">
        <v>242.25</v>
      </c>
      <c r="V850" s="5">
        <v>244.55</v>
      </c>
      <c r="W850" s="5">
        <v>4810100</v>
      </c>
      <c r="Y850" s="6">
        <f t="shared" si="26"/>
        <v>41073</v>
      </c>
      <c r="Z850" s="5">
        <f t="shared" si="27"/>
        <v>7380</v>
      </c>
      <c r="AA850" s="5">
        <v>123.67</v>
      </c>
      <c r="AB850" s="5">
        <v>115.24</v>
      </c>
    </row>
    <row r="851" spans="1:28" x14ac:dyDescent="0.3">
      <c r="A851" s="6">
        <v>39430</v>
      </c>
      <c r="B851" s="7">
        <v>0.66666666666666663</v>
      </c>
      <c r="C851" s="5">
        <v>218.9</v>
      </c>
      <c r="D851" s="5">
        <v>224.8</v>
      </c>
      <c r="E851" s="5">
        <v>218.5</v>
      </c>
      <c r="F851" s="5">
        <v>222.1</v>
      </c>
      <c r="G851" s="5">
        <v>86300</v>
      </c>
      <c r="I851" s="6">
        <v>41074</v>
      </c>
      <c r="J851" s="7">
        <v>0.66666666666666663</v>
      </c>
      <c r="K851" s="5">
        <v>7462.5698000000002</v>
      </c>
      <c r="L851" s="5">
        <v>7462.5698000000002</v>
      </c>
      <c r="M851" s="5">
        <v>7462.5698000000002</v>
      </c>
      <c r="N851" s="5">
        <v>7380</v>
      </c>
      <c r="O851" s="5">
        <v>1</v>
      </c>
      <c r="Q851" s="6">
        <v>39412</v>
      </c>
      <c r="R851" s="7">
        <v>0.66666666666666663</v>
      </c>
      <c r="S851" s="5">
        <v>244.55</v>
      </c>
      <c r="T851" s="5">
        <v>248</v>
      </c>
      <c r="U851" s="5">
        <v>240.25</v>
      </c>
      <c r="V851" s="5">
        <v>241.35</v>
      </c>
      <c r="W851" s="5">
        <v>3149000</v>
      </c>
      <c r="Y851" s="6">
        <f t="shared" si="26"/>
        <v>41074</v>
      </c>
      <c r="Z851" s="5">
        <f t="shared" si="27"/>
        <v>7380</v>
      </c>
      <c r="AA851" s="5">
        <v>126.42</v>
      </c>
      <c r="AB851" s="5">
        <v>115.43</v>
      </c>
    </row>
    <row r="852" spans="1:28" x14ac:dyDescent="0.3">
      <c r="A852" s="6">
        <v>39433</v>
      </c>
      <c r="B852" s="7">
        <v>0.66666666666666663</v>
      </c>
      <c r="C852" s="5">
        <v>225</v>
      </c>
      <c r="D852" s="5">
        <v>233.15</v>
      </c>
      <c r="E852" s="5">
        <v>222</v>
      </c>
      <c r="F852" s="5">
        <v>229.9</v>
      </c>
      <c r="G852" s="5">
        <v>122100</v>
      </c>
      <c r="I852" s="6">
        <v>41075</v>
      </c>
      <c r="J852" s="7">
        <v>0.66666666666666663</v>
      </c>
      <c r="K852" s="5">
        <v>7310</v>
      </c>
      <c r="L852" s="5">
        <v>7310</v>
      </c>
      <c r="M852" s="5">
        <v>7251</v>
      </c>
      <c r="N852" s="5">
        <v>7251.6698999999999</v>
      </c>
      <c r="O852" s="5">
        <v>16</v>
      </c>
      <c r="Q852" s="6">
        <v>39413</v>
      </c>
      <c r="R852" s="7">
        <v>0.66666666666666663</v>
      </c>
      <c r="S852" s="5">
        <v>241.35</v>
      </c>
      <c r="T852" s="5">
        <v>246.9</v>
      </c>
      <c r="U852" s="5">
        <v>239</v>
      </c>
      <c r="V852" s="5">
        <v>244</v>
      </c>
      <c r="W852" s="5">
        <v>4900800</v>
      </c>
      <c r="Y852" s="6">
        <f t="shared" si="26"/>
        <v>41075</v>
      </c>
      <c r="Z852" s="5">
        <f t="shared" si="27"/>
        <v>7251.6698999999999</v>
      </c>
      <c r="AA852" s="5">
        <v>125.33</v>
      </c>
      <c r="AB852" s="5">
        <v>115.04</v>
      </c>
    </row>
    <row r="853" spans="1:28" x14ac:dyDescent="0.3">
      <c r="A853" s="6">
        <v>39434</v>
      </c>
      <c r="B853" s="7">
        <v>0.66666666666666663</v>
      </c>
      <c r="C853" s="5">
        <v>230.1</v>
      </c>
      <c r="D853" s="5">
        <v>232.5</v>
      </c>
      <c r="E853" s="5">
        <v>226.05</v>
      </c>
      <c r="F853" s="5">
        <v>227</v>
      </c>
      <c r="G853" s="5">
        <v>112300</v>
      </c>
      <c r="I853" s="6">
        <v>41078</v>
      </c>
      <c r="J853" s="7">
        <v>0.66666666666666663</v>
      </c>
      <c r="K853" s="5">
        <v>7300</v>
      </c>
      <c r="L853" s="5">
        <v>7300</v>
      </c>
      <c r="M853" s="5">
        <v>7250</v>
      </c>
      <c r="N853" s="5">
        <v>7262.5</v>
      </c>
      <c r="O853" s="5">
        <v>35</v>
      </c>
      <c r="Q853" s="6">
        <v>39414</v>
      </c>
      <c r="R853" s="7">
        <v>0.66666666666666663</v>
      </c>
      <c r="S853" s="5">
        <v>244</v>
      </c>
      <c r="T853" s="5">
        <v>256.2</v>
      </c>
      <c r="U853" s="5">
        <v>243.5</v>
      </c>
      <c r="V853" s="5">
        <v>256.2</v>
      </c>
      <c r="W853" s="5">
        <v>12134400</v>
      </c>
      <c r="Y853" s="6">
        <f t="shared" si="26"/>
        <v>41078</v>
      </c>
      <c r="Z853" s="5">
        <f t="shared" si="27"/>
        <v>7262.5</v>
      </c>
      <c r="AA853" s="5">
        <v>125.5</v>
      </c>
      <c r="AB853" s="5">
        <v>114.75</v>
      </c>
    </row>
    <row r="854" spans="1:28" x14ac:dyDescent="0.3">
      <c r="A854" s="6">
        <v>39435</v>
      </c>
      <c r="B854" s="7">
        <v>0.66666666666666663</v>
      </c>
      <c r="C854" s="5">
        <v>222</v>
      </c>
      <c r="D854" s="5">
        <v>230.2</v>
      </c>
      <c r="E854" s="5">
        <v>222</v>
      </c>
      <c r="F854" s="5">
        <v>229</v>
      </c>
      <c r="G854" s="5">
        <v>8200</v>
      </c>
      <c r="I854" s="6">
        <v>41079</v>
      </c>
      <c r="J854" s="7">
        <v>0.66666666666666663</v>
      </c>
      <c r="K854" s="5">
        <v>7370</v>
      </c>
      <c r="L854" s="5">
        <v>7370</v>
      </c>
      <c r="M854" s="5">
        <v>7250</v>
      </c>
      <c r="N854" s="5">
        <v>7260.9102000000003</v>
      </c>
      <c r="O854" s="5">
        <v>23</v>
      </c>
      <c r="Q854" s="6">
        <v>39415</v>
      </c>
      <c r="R854" s="7">
        <v>0.66666666666666663</v>
      </c>
      <c r="S854" s="5">
        <v>260.2</v>
      </c>
      <c r="T854" s="5">
        <v>268.5</v>
      </c>
      <c r="U854" s="5">
        <v>260.2</v>
      </c>
      <c r="V854" s="5">
        <v>262.89999999999998</v>
      </c>
      <c r="W854" s="5">
        <v>11308600</v>
      </c>
      <c r="Y854" s="6">
        <f t="shared" si="26"/>
        <v>41079</v>
      </c>
      <c r="Z854" s="5">
        <f t="shared" si="27"/>
        <v>7260.9102000000003</v>
      </c>
      <c r="AA854" s="5">
        <v>123.11</v>
      </c>
      <c r="AB854" s="5">
        <v>114.75</v>
      </c>
    </row>
    <row r="855" spans="1:28" x14ac:dyDescent="0.3">
      <c r="A855" s="6">
        <v>39440</v>
      </c>
      <c r="B855" s="7">
        <v>0.66666666666666663</v>
      </c>
      <c r="C855" s="5">
        <v>227.5</v>
      </c>
      <c r="D855" s="5">
        <v>233</v>
      </c>
      <c r="E855" s="5">
        <v>227.5</v>
      </c>
      <c r="F855" s="5">
        <v>228</v>
      </c>
      <c r="G855" s="5">
        <v>113700</v>
      </c>
      <c r="I855" s="6">
        <v>41080</v>
      </c>
      <c r="J855" s="7">
        <v>0.66666666666666663</v>
      </c>
      <c r="K855" s="5">
        <v>7300</v>
      </c>
      <c r="L855" s="5">
        <v>7380</v>
      </c>
      <c r="M855" s="5">
        <v>7200</v>
      </c>
      <c r="N855" s="5">
        <v>7300</v>
      </c>
      <c r="O855" s="5">
        <v>43</v>
      </c>
      <c r="Q855" s="6">
        <v>39416</v>
      </c>
      <c r="R855" s="7">
        <v>0.66666666666666663</v>
      </c>
      <c r="S855" s="5">
        <v>262.89999999999998</v>
      </c>
      <c r="T855" s="5">
        <v>266.45</v>
      </c>
      <c r="U855" s="5">
        <v>258.60000000000002</v>
      </c>
      <c r="V855" s="5">
        <v>260</v>
      </c>
      <c r="W855" s="5">
        <v>5233000</v>
      </c>
      <c r="Y855" s="6">
        <f t="shared" si="26"/>
        <v>41080</v>
      </c>
      <c r="Z855" s="5">
        <f t="shared" si="27"/>
        <v>7300</v>
      </c>
      <c r="AA855" s="5">
        <v>120.11</v>
      </c>
      <c r="AB855" s="5">
        <v>115.94</v>
      </c>
    </row>
    <row r="856" spans="1:28" x14ac:dyDescent="0.3">
      <c r="A856" s="6">
        <v>39442</v>
      </c>
      <c r="B856" s="7">
        <v>0.66666666666666663</v>
      </c>
      <c r="C856" s="5">
        <v>227</v>
      </c>
      <c r="D856" s="5">
        <v>229.5</v>
      </c>
      <c r="E856" s="5">
        <v>226</v>
      </c>
      <c r="F856" s="5">
        <v>227.5</v>
      </c>
      <c r="G856" s="5">
        <v>7900</v>
      </c>
      <c r="I856" s="6">
        <v>41081</v>
      </c>
      <c r="J856" s="7">
        <v>0.66666666666666663</v>
      </c>
      <c r="K856" s="5">
        <v>7400</v>
      </c>
      <c r="L856" s="5">
        <v>7400</v>
      </c>
      <c r="M856" s="5">
        <v>7200.0097999999998</v>
      </c>
      <c r="N856" s="5">
        <v>7367.4301999999998</v>
      </c>
      <c r="O856" s="5">
        <v>90</v>
      </c>
      <c r="Q856" s="6">
        <v>39419</v>
      </c>
      <c r="R856" s="7">
        <v>0.66666666666666663</v>
      </c>
      <c r="S856" s="5">
        <v>260</v>
      </c>
      <c r="T856" s="5">
        <v>260</v>
      </c>
      <c r="U856" s="5">
        <v>250.4</v>
      </c>
      <c r="V856" s="5">
        <v>252.4</v>
      </c>
      <c r="W856" s="5">
        <v>2511000</v>
      </c>
      <c r="Y856" s="6">
        <f t="shared" si="26"/>
        <v>41081</v>
      </c>
      <c r="Z856" s="5">
        <f t="shared" si="27"/>
        <v>7367.4301999999998</v>
      </c>
      <c r="AA856" s="5">
        <v>120.38</v>
      </c>
      <c r="AB856" s="5">
        <v>115</v>
      </c>
    </row>
    <row r="857" spans="1:28" x14ac:dyDescent="0.3">
      <c r="A857" s="6">
        <v>39443</v>
      </c>
      <c r="B857" s="7">
        <v>0.66666666666666663</v>
      </c>
      <c r="C857" s="5">
        <v>228.95</v>
      </c>
      <c r="D857" s="5">
        <v>228.95</v>
      </c>
      <c r="E857" s="5">
        <v>222</v>
      </c>
      <c r="F857" s="5">
        <v>223</v>
      </c>
      <c r="G857" s="5">
        <v>93200</v>
      </c>
      <c r="I857" s="6">
        <v>41082</v>
      </c>
      <c r="J857" s="7">
        <v>0.66666666666666663</v>
      </c>
      <c r="K857" s="5">
        <v>7350</v>
      </c>
      <c r="L857" s="5">
        <v>7365</v>
      </c>
      <c r="M857" s="5">
        <v>7350</v>
      </c>
      <c r="N857" s="5">
        <v>7350</v>
      </c>
      <c r="O857" s="5">
        <v>35</v>
      </c>
      <c r="Q857" s="6">
        <v>39420</v>
      </c>
      <c r="R857" s="7">
        <v>0.66666666666666663</v>
      </c>
      <c r="S857" s="5">
        <v>252.4</v>
      </c>
      <c r="T857" s="5">
        <v>262.5</v>
      </c>
      <c r="U857" s="5">
        <v>246.05</v>
      </c>
      <c r="V857" s="5">
        <v>262.35000000000002</v>
      </c>
      <c r="W857" s="5">
        <v>8966100</v>
      </c>
      <c r="Y857" s="6">
        <f t="shared" si="26"/>
        <v>41082</v>
      </c>
      <c r="Z857" s="5">
        <f t="shared" si="27"/>
        <v>7350</v>
      </c>
      <c r="AA857" s="5">
        <v>124.03</v>
      </c>
      <c r="AB857" s="5">
        <v>115</v>
      </c>
    </row>
    <row r="858" spans="1:28" x14ac:dyDescent="0.3">
      <c r="A858" s="6">
        <v>39447</v>
      </c>
      <c r="B858" s="7">
        <v>0.66666666666666663</v>
      </c>
      <c r="C858" s="5">
        <v>211.85</v>
      </c>
      <c r="D858" s="5">
        <v>217</v>
      </c>
      <c r="E858" s="5">
        <v>211.85</v>
      </c>
      <c r="F858" s="5">
        <v>211.85</v>
      </c>
      <c r="G858" s="5">
        <v>7900</v>
      </c>
      <c r="I858" s="6">
        <v>41085</v>
      </c>
      <c r="J858" s="7">
        <v>0.66666666666666663</v>
      </c>
      <c r="K858" s="5">
        <v>7365</v>
      </c>
      <c r="L858" s="5">
        <v>7365</v>
      </c>
      <c r="M858" s="5">
        <v>7350</v>
      </c>
      <c r="N858" s="5">
        <v>7350</v>
      </c>
      <c r="O858" s="5">
        <v>251</v>
      </c>
      <c r="Q858" s="6">
        <v>39421</v>
      </c>
      <c r="R858" s="7">
        <v>0.66666666666666663</v>
      </c>
      <c r="S858" s="5">
        <v>262.35000000000002</v>
      </c>
      <c r="T858" s="5">
        <v>266</v>
      </c>
      <c r="U858" s="5">
        <v>261</v>
      </c>
      <c r="V858" s="5">
        <v>261.5</v>
      </c>
      <c r="W858" s="5">
        <v>5885000</v>
      </c>
      <c r="Y858" s="6">
        <f t="shared" si="26"/>
        <v>41085</v>
      </c>
      <c r="Z858" s="5">
        <f t="shared" si="27"/>
        <v>7350</v>
      </c>
      <c r="AA858" s="5">
        <v>122.53</v>
      </c>
      <c r="AB858" s="5">
        <v>116.5</v>
      </c>
    </row>
    <row r="859" spans="1:28" x14ac:dyDescent="0.3">
      <c r="A859" s="6">
        <v>39448</v>
      </c>
      <c r="B859" s="7">
        <v>0.66666666666666663</v>
      </c>
      <c r="C859" s="5">
        <v>201.5</v>
      </c>
      <c r="D859" s="5">
        <v>220</v>
      </c>
      <c r="E859" s="5">
        <v>201.5</v>
      </c>
      <c r="F859" s="5">
        <v>206.25</v>
      </c>
      <c r="G859" s="5">
        <v>34700</v>
      </c>
      <c r="I859" s="6">
        <v>41086</v>
      </c>
      <c r="J859" s="7">
        <v>0.66666666666666663</v>
      </c>
      <c r="K859" s="5">
        <v>7300</v>
      </c>
      <c r="L859" s="5">
        <v>7365</v>
      </c>
      <c r="M859" s="5">
        <v>7300</v>
      </c>
      <c r="N859" s="5">
        <v>7350</v>
      </c>
      <c r="O859" s="5">
        <v>3423</v>
      </c>
      <c r="Q859" s="6">
        <v>39422</v>
      </c>
      <c r="R859" s="7">
        <v>0.66666666666666663</v>
      </c>
      <c r="S859" s="5">
        <v>261.5</v>
      </c>
      <c r="T859" s="5">
        <v>265.5</v>
      </c>
      <c r="U859" s="5">
        <v>258.8</v>
      </c>
      <c r="V859" s="5">
        <v>260.05</v>
      </c>
      <c r="W859" s="5">
        <v>3702900</v>
      </c>
      <c r="Y859" s="6">
        <f t="shared" si="26"/>
        <v>41086</v>
      </c>
      <c r="Z859" s="5">
        <f t="shared" si="27"/>
        <v>7350</v>
      </c>
      <c r="AA859" s="5">
        <v>120.46</v>
      </c>
      <c r="AB859" s="5">
        <v>118.5</v>
      </c>
    </row>
    <row r="860" spans="1:28" x14ac:dyDescent="0.3">
      <c r="A860" s="6">
        <v>39449</v>
      </c>
      <c r="B860" s="7">
        <v>0.66666666666666663</v>
      </c>
      <c r="C860" s="5">
        <v>208</v>
      </c>
      <c r="D860" s="5">
        <v>215.35</v>
      </c>
      <c r="E860" s="5">
        <v>200</v>
      </c>
      <c r="F860" s="5">
        <v>205</v>
      </c>
      <c r="G860" s="5">
        <v>66900</v>
      </c>
      <c r="I860" s="6">
        <v>41087</v>
      </c>
      <c r="J860" s="7">
        <v>0.66666666666666663</v>
      </c>
      <c r="K860" s="5">
        <v>7399</v>
      </c>
      <c r="L860" s="5">
        <v>7399</v>
      </c>
      <c r="M860" s="5">
        <v>7200</v>
      </c>
      <c r="N860" s="5">
        <v>7298.25</v>
      </c>
      <c r="O860" s="5">
        <v>12</v>
      </c>
      <c r="Q860" s="6">
        <v>39423</v>
      </c>
      <c r="R860" s="7">
        <v>0.66666666666666663</v>
      </c>
      <c r="S860" s="5">
        <v>260.05</v>
      </c>
      <c r="T860" s="5">
        <v>263.45</v>
      </c>
      <c r="U860" s="5">
        <v>257.7</v>
      </c>
      <c r="V860" s="5">
        <v>260</v>
      </c>
      <c r="W860" s="5">
        <v>2080800</v>
      </c>
      <c r="Y860" s="6">
        <f t="shared" si="26"/>
        <v>41087</v>
      </c>
      <c r="Z860" s="5">
        <f t="shared" si="27"/>
        <v>7298.25</v>
      </c>
      <c r="AA860" s="5">
        <v>123.56</v>
      </c>
      <c r="AB860" s="5">
        <v>119.93</v>
      </c>
    </row>
    <row r="861" spans="1:28" x14ac:dyDescent="0.3">
      <c r="A861" s="6">
        <v>39450</v>
      </c>
      <c r="B861" s="7">
        <v>0.66666666666666663</v>
      </c>
      <c r="C861" s="5">
        <v>205</v>
      </c>
      <c r="D861" s="5">
        <v>215.25</v>
      </c>
      <c r="E861" s="5">
        <v>205</v>
      </c>
      <c r="F861" s="5">
        <v>215.25</v>
      </c>
      <c r="G861" s="5">
        <v>39200</v>
      </c>
      <c r="I861" s="6">
        <v>41088</v>
      </c>
      <c r="J861" s="7">
        <v>0.66666666666666663</v>
      </c>
      <c r="K861" s="5">
        <v>7001.0497999999998</v>
      </c>
      <c r="L861" s="5">
        <v>7284</v>
      </c>
      <c r="M861" s="5">
        <v>7000</v>
      </c>
      <c r="N861" s="5">
        <v>7018.1899000000003</v>
      </c>
      <c r="O861" s="5">
        <v>53</v>
      </c>
      <c r="Q861" s="6">
        <v>39426</v>
      </c>
      <c r="R861" s="7">
        <v>0.66666666666666663</v>
      </c>
      <c r="S861" s="5">
        <v>260</v>
      </c>
      <c r="T861" s="5">
        <v>263.5</v>
      </c>
      <c r="U861" s="5">
        <v>259.5</v>
      </c>
      <c r="V861" s="5">
        <v>263.39999999999998</v>
      </c>
      <c r="W861" s="5">
        <v>1275800</v>
      </c>
      <c r="Y861" s="6">
        <f t="shared" si="26"/>
        <v>41088</v>
      </c>
      <c r="Z861" s="5">
        <f t="shared" si="27"/>
        <v>7018.1899000000003</v>
      </c>
      <c r="AA861" s="5">
        <v>123.65</v>
      </c>
      <c r="AB861" s="5">
        <v>119.93</v>
      </c>
    </row>
    <row r="862" spans="1:28" x14ac:dyDescent="0.3">
      <c r="A862" s="6">
        <v>39451</v>
      </c>
      <c r="B862" s="7">
        <v>0.66666666666666663</v>
      </c>
      <c r="C862" s="5">
        <v>221</v>
      </c>
      <c r="D862" s="5">
        <v>221</v>
      </c>
      <c r="E862" s="5">
        <v>207</v>
      </c>
      <c r="F862" s="5">
        <v>213</v>
      </c>
      <c r="G862" s="5">
        <v>200600</v>
      </c>
      <c r="I862" s="6">
        <v>41089</v>
      </c>
      <c r="J862" s="7">
        <v>0.66666666666666663</v>
      </c>
      <c r="K862" s="5">
        <v>7240</v>
      </c>
      <c r="L862" s="5">
        <v>7240</v>
      </c>
      <c r="M862" s="5">
        <v>7050</v>
      </c>
      <c r="N862" s="5">
        <v>7078.8397999999997</v>
      </c>
      <c r="O862" s="5">
        <v>114</v>
      </c>
      <c r="Q862" s="6">
        <v>39427</v>
      </c>
      <c r="R862" s="7">
        <v>0.66666666666666663</v>
      </c>
      <c r="S862" s="5">
        <v>265</v>
      </c>
      <c r="T862" s="5">
        <v>274.5</v>
      </c>
      <c r="U862" s="5">
        <v>265</v>
      </c>
      <c r="V862" s="5">
        <v>271.89999999999998</v>
      </c>
      <c r="W862" s="5">
        <v>14636900</v>
      </c>
      <c r="Y862" s="6">
        <f t="shared" si="26"/>
        <v>41089</v>
      </c>
      <c r="Z862" s="5">
        <f t="shared" si="27"/>
        <v>7078.8397999999997</v>
      </c>
      <c r="AA862" s="5">
        <v>122.87</v>
      </c>
      <c r="AB862" s="5">
        <v>119.05</v>
      </c>
    </row>
    <row r="863" spans="1:28" x14ac:dyDescent="0.3">
      <c r="A863" s="6">
        <v>39454</v>
      </c>
      <c r="B863" s="7">
        <v>0.66666666666666663</v>
      </c>
      <c r="C863" s="5">
        <v>212.5</v>
      </c>
      <c r="D863" s="5">
        <v>214.45</v>
      </c>
      <c r="E863" s="5">
        <v>208.5</v>
      </c>
      <c r="F863" s="5">
        <v>208.5</v>
      </c>
      <c r="G863" s="5">
        <v>10800</v>
      </c>
      <c r="I863" s="6">
        <v>41093</v>
      </c>
      <c r="J863" s="7">
        <v>0.66666666666666663</v>
      </c>
      <c r="K863" s="5">
        <v>7340</v>
      </c>
      <c r="L863" s="5">
        <v>7340</v>
      </c>
      <c r="M863" s="5">
        <v>7298</v>
      </c>
      <c r="N863" s="5">
        <v>7078.8397999999997</v>
      </c>
      <c r="O863" s="5">
        <v>2</v>
      </c>
      <c r="Q863" s="6">
        <v>39428</v>
      </c>
      <c r="R863" s="7">
        <v>0.66666666666666663</v>
      </c>
      <c r="S863" s="5">
        <v>271.89999999999998</v>
      </c>
      <c r="T863" s="5">
        <v>274.45</v>
      </c>
      <c r="U863" s="5">
        <v>268</v>
      </c>
      <c r="V863" s="5">
        <v>269.10000000000002</v>
      </c>
      <c r="W863" s="5">
        <v>6199400</v>
      </c>
      <c r="Y863" s="6">
        <f t="shared" si="26"/>
        <v>41093</v>
      </c>
      <c r="Z863" s="5">
        <f t="shared" si="27"/>
        <v>7078.8397999999997</v>
      </c>
      <c r="AA863" s="5">
        <v>127.91</v>
      </c>
      <c r="AB863" s="5">
        <v>122.25</v>
      </c>
    </row>
    <row r="864" spans="1:28" x14ac:dyDescent="0.3">
      <c r="A864" s="6">
        <v>39455</v>
      </c>
      <c r="B864" s="7">
        <v>0.66666666666666663</v>
      </c>
      <c r="C864" s="5">
        <v>213.85</v>
      </c>
      <c r="D864" s="5">
        <v>213.85</v>
      </c>
      <c r="E864" s="5">
        <v>208</v>
      </c>
      <c r="F864" s="5">
        <v>210.9</v>
      </c>
      <c r="G864" s="5">
        <v>14900</v>
      </c>
      <c r="I864" s="6">
        <v>41094</v>
      </c>
      <c r="J864" s="7">
        <v>0.66666666666666663</v>
      </c>
      <c r="K864" s="5">
        <v>7205</v>
      </c>
      <c r="L864" s="5">
        <v>7205</v>
      </c>
      <c r="M864" s="5">
        <v>7076</v>
      </c>
      <c r="N864" s="5">
        <v>7150</v>
      </c>
      <c r="O864" s="5">
        <v>20</v>
      </c>
      <c r="Q864" s="6">
        <v>39429</v>
      </c>
      <c r="R864" s="7">
        <v>0.66666666666666663</v>
      </c>
      <c r="S864" s="5">
        <v>269.10000000000002</v>
      </c>
      <c r="T864" s="5">
        <v>274.5</v>
      </c>
      <c r="U864" s="5">
        <v>269.10000000000002</v>
      </c>
      <c r="V864" s="5">
        <v>270.5</v>
      </c>
      <c r="W864" s="5">
        <v>7253400</v>
      </c>
      <c r="Y864" s="6">
        <f t="shared" si="26"/>
        <v>41094</v>
      </c>
      <c r="Z864" s="5">
        <f t="shared" si="27"/>
        <v>7150</v>
      </c>
      <c r="AA864" s="5">
        <v>125.32</v>
      </c>
      <c r="AB864" s="5">
        <v>123.91</v>
      </c>
    </row>
    <row r="865" spans="1:28" x14ac:dyDescent="0.3">
      <c r="A865" s="6">
        <v>39456</v>
      </c>
      <c r="B865" s="7">
        <v>0.66666666666666663</v>
      </c>
      <c r="C865" s="5">
        <v>210.5</v>
      </c>
      <c r="D865" s="5">
        <v>212.9</v>
      </c>
      <c r="E865" s="5">
        <v>208.5</v>
      </c>
      <c r="F865" s="5">
        <v>211.5</v>
      </c>
      <c r="G865" s="5">
        <v>8600</v>
      </c>
      <c r="I865" s="6">
        <v>41095</v>
      </c>
      <c r="J865" s="7">
        <v>0.66666666666666663</v>
      </c>
      <c r="K865" s="5">
        <v>7115.0097999999998</v>
      </c>
      <c r="L865" s="5">
        <v>7247.9902000000002</v>
      </c>
      <c r="M865" s="5">
        <v>7115</v>
      </c>
      <c r="N865" s="5">
        <v>7245</v>
      </c>
      <c r="O865" s="5">
        <v>10</v>
      </c>
      <c r="Q865" s="6">
        <v>39430</v>
      </c>
      <c r="R865" s="7">
        <v>0.66666666666666663</v>
      </c>
      <c r="S865" s="5">
        <v>270.5</v>
      </c>
      <c r="T865" s="5">
        <v>273.14999999999998</v>
      </c>
      <c r="U865" s="5">
        <v>267.5</v>
      </c>
      <c r="V865" s="5">
        <v>268.25</v>
      </c>
      <c r="W865" s="5">
        <v>3772900</v>
      </c>
      <c r="Y865" s="6">
        <f t="shared" si="26"/>
        <v>41095</v>
      </c>
      <c r="Z865" s="5">
        <f t="shared" si="27"/>
        <v>7245</v>
      </c>
      <c r="AA865" s="5">
        <v>126.93</v>
      </c>
      <c r="AB865" s="5">
        <v>124</v>
      </c>
    </row>
    <row r="866" spans="1:28" x14ac:dyDescent="0.3">
      <c r="A866" s="6">
        <v>39457</v>
      </c>
      <c r="B866" s="7">
        <v>0.66666666666666663</v>
      </c>
      <c r="C866" s="5">
        <v>209.15</v>
      </c>
      <c r="D866" s="5">
        <v>209.15</v>
      </c>
      <c r="E866" s="5">
        <v>202</v>
      </c>
      <c r="F866" s="5">
        <v>205.5</v>
      </c>
      <c r="G866" s="5">
        <v>7900</v>
      </c>
      <c r="I866" s="6">
        <v>41096</v>
      </c>
      <c r="J866" s="7">
        <v>0.66666666666666663</v>
      </c>
      <c r="K866" s="5">
        <v>7250</v>
      </c>
      <c r="L866" s="5">
        <v>7300</v>
      </c>
      <c r="M866" s="5">
        <v>7103</v>
      </c>
      <c r="N866" s="5">
        <v>7290</v>
      </c>
      <c r="O866" s="5">
        <v>183</v>
      </c>
      <c r="Q866" s="6">
        <v>39433</v>
      </c>
      <c r="R866" s="7">
        <v>0.66666666666666663</v>
      </c>
      <c r="S866" s="5">
        <v>268.25</v>
      </c>
      <c r="T866" s="5">
        <v>272.25</v>
      </c>
      <c r="U866" s="5">
        <v>268</v>
      </c>
      <c r="V866" s="5">
        <v>268.05</v>
      </c>
      <c r="W866" s="5">
        <v>3462300</v>
      </c>
      <c r="Y866" s="6">
        <f t="shared" si="26"/>
        <v>41096</v>
      </c>
      <c r="Z866" s="5">
        <f t="shared" si="27"/>
        <v>7290</v>
      </c>
      <c r="AA866" s="5">
        <v>127.3</v>
      </c>
      <c r="AB866" s="5">
        <v>125.93</v>
      </c>
    </row>
    <row r="867" spans="1:28" x14ac:dyDescent="0.3">
      <c r="A867" s="6">
        <v>39458</v>
      </c>
      <c r="B867" s="7">
        <v>0.66666666666666663</v>
      </c>
      <c r="C867" s="5">
        <v>207.55</v>
      </c>
      <c r="D867" s="5">
        <v>208.45</v>
      </c>
      <c r="E867" s="5">
        <v>198</v>
      </c>
      <c r="F867" s="5">
        <v>203</v>
      </c>
      <c r="G867" s="5">
        <v>19000</v>
      </c>
      <c r="I867" s="6">
        <v>41099</v>
      </c>
      <c r="J867" s="7">
        <v>0.66666666666666663</v>
      </c>
      <c r="K867" s="5">
        <v>7295</v>
      </c>
      <c r="L867" s="5">
        <v>7325</v>
      </c>
      <c r="M867" s="5">
        <v>7250</v>
      </c>
      <c r="N867" s="5">
        <v>7302.5</v>
      </c>
      <c r="O867" s="5">
        <v>313</v>
      </c>
      <c r="Q867" s="6">
        <v>39434</v>
      </c>
      <c r="R867" s="7">
        <v>0.66666666666666663</v>
      </c>
      <c r="S867" s="5">
        <v>268.05</v>
      </c>
      <c r="T867" s="5">
        <v>269.64999999999998</v>
      </c>
      <c r="U867" s="5">
        <v>263.14999999999998</v>
      </c>
      <c r="V867" s="5">
        <v>265</v>
      </c>
      <c r="W867" s="5">
        <v>2221100</v>
      </c>
      <c r="Y867" s="6">
        <f t="shared" si="26"/>
        <v>41099</v>
      </c>
      <c r="Z867" s="5">
        <f t="shared" si="27"/>
        <v>7302.5</v>
      </c>
      <c r="AA867" s="5">
        <v>125.07</v>
      </c>
      <c r="AB867" s="5">
        <v>121.82</v>
      </c>
    </row>
    <row r="868" spans="1:28" x14ac:dyDescent="0.3">
      <c r="A868" s="6">
        <v>39461</v>
      </c>
      <c r="B868" s="7">
        <v>0.66666666666666663</v>
      </c>
      <c r="C868" s="5">
        <v>208</v>
      </c>
      <c r="D868" s="5">
        <v>208</v>
      </c>
      <c r="E868" s="5">
        <v>197</v>
      </c>
      <c r="F868" s="5">
        <v>202.3</v>
      </c>
      <c r="G868" s="5">
        <v>17000</v>
      </c>
      <c r="I868" s="6">
        <v>41100</v>
      </c>
      <c r="J868" s="7">
        <v>0.66666666666666663</v>
      </c>
      <c r="K868" s="5">
        <v>7350</v>
      </c>
      <c r="L868" s="5">
        <v>7374.9902000000002</v>
      </c>
      <c r="M868" s="5">
        <v>7345</v>
      </c>
      <c r="N868" s="5">
        <v>7373.4102000000003</v>
      </c>
      <c r="O868" s="5">
        <v>702</v>
      </c>
      <c r="Q868" s="6">
        <v>39435</v>
      </c>
      <c r="R868" s="7">
        <v>0.66666666666666663</v>
      </c>
      <c r="S868" s="5">
        <v>265</v>
      </c>
      <c r="T868" s="5">
        <v>267.95</v>
      </c>
      <c r="U868" s="5">
        <v>263.5</v>
      </c>
      <c r="V868" s="5">
        <v>264.75</v>
      </c>
      <c r="W868" s="5">
        <v>1938300</v>
      </c>
      <c r="Y868" s="6">
        <f t="shared" si="26"/>
        <v>41100</v>
      </c>
      <c r="Z868" s="5">
        <f t="shared" si="27"/>
        <v>7373.4102000000003</v>
      </c>
      <c r="AA868" s="5">
        <v>124.2</v>
      </c>
      <c r="AB868" s="5">
        <v>121.37</v>
      </c>
    </row>
    <row r="869" spans="1:28" x14ac:dyDescent="0.3">
      <c r="A869" s="6">
        <v>39462</v>
      </c>
      <c r="B869" s="7">
        <v>0.66666666666666663</v>
      </c>
      <c r="C869" s="5">
        <v>203</v>
      </c>
      <c r="D869" s="5">
        <v>203</v>
      </c>
      <c r="E869" s="5">
        <v>200</v>
      </c>
      <c r="F869" s="5">
        <v>202.9</v>
      </c>
      <c r="G869" s="5">
        <v>10100</v>
      </c>
      <c r="I869" s="6">
        <v>41101</v>
      </c>
      <c r="J869" s="7">
        <v>0.66666666666666663</v>
      </c>
      <c r="K869" s="5">
        <v>7390</v>
      </c>
      <c r="L869" s="5">
        <v>7400</v>
      </c>
      <c r="M869" s="5">
        <v>7390</v>
      </c>
      <c r="N869" s="5">
        <v>7398.6899000000003</v>
      </c>
      <c r="O869" s="5">
        <v>78</v>
      </c>
      <c r="Q869" s="6">
        <v>39440</v>
      </c>
      <c r="R869" s="7">
        <v>0.66666666666666663</v>
      </c>
      <c r="S869" s="5">
        <v>264.75</v>
      </c>
      <c r="T869" s="5">
        <v>267.39999999999998</v>
      </c>
      <c r="U869" s="5">
        <v>263.25</v>
      </c>
      <c r="V869" s="5">
        <v>264</v>
      </c>
      <c r="W869" s="5">
        <v>1867300</v>
      </c>
      <c r="Y869" s="6">
        <f t="shared" si="26"/>
        <v>41101</v>
      </c>
      <c r="Z869" s="5">
        <f t="shared" si="27"/>
        <v>7398.6899000000003</v>
      </c>
      <c r="AA869" s="5">
        <v>124.33</v>
      </c>
      <c r="AB869" s="5">
        <v>120.28</v>
      </c>
    </row>
    <row r="870" spans="1:28" x14ac:dyDescent="0.3">
      <c r="A870" s="6">
        <v>39463</v>
      </c>
      <c r="B870" s="7">
        <v>0.66666666666666663</v>
      </c>
      <c r="C870" s="5">
        <v>204</v>
      </c>
      <c r="D870" s="5">
        <v>204</v>
      </c>
      <c r="E870" s="5">
        <v>202</v>
      </c>
      <c r="F870" s="5">
        <v>202</v>
      </c>
      <c r="G870" s="5">
        <v>8500</v>
      </c>
      <c r="I870" s="6">
        <v>41102</v>
      </c>
      <c r="J870" s="7">
        <v>0.66666666666666663</v>
      </c>
      <c r="K870" s="5">
        <v>7213.1298999999999</v>
      </c>
      <c r="L870" s="5">
        <v>7249.9902000000002</v>
      </c>
      <c r="M870" s="5">
        <v>7200</v>
      </c>
      <c r="N870" s="5">
        <v>7213.5</v>
      </c>
      <c r="O870" s="5">
        <v>83</v>
      </c>
      <c r="Q870" s="6">
        <v>39442</v>
      </c>
      <c r="R870" s="7">
        <v>0.66666666666666663</v>
      </c>
      <c r="S870" s="5">
        <v>264</v>
      </c>
      <c r="T870" s="5">
        <v>270.45</v>
      </c>
      <c r="U870" s="5">
        <v>263.75</v>
      </c>
      <c r="V870" s="5">
        <v>266.55</v>
      </c>
      <c r="W870" s="5">
        <v>4030300</v>
      </c>
      <c r="Y870" s="6">
        <f t="shared" si="26"/>
        <v>41102</v>
      </c>
      <c r="Z870" s="5">
        <f t="shared" si="27"/>
        <v>7213.5</v>
      </c>
      <c r="AA870" s="5">
        <v>126.7</v>
      </c>
      <c r="AB870" s="5">
        <v>120.68</v>
      </c>
    </row>
    <row r="871" spans="1:28" x14ac:dyDescent="0.3">
      <c r="A871" s="6">
        <v>39464</v>
      </c>
      <c r="B871" s="7">
        <v>0.66666666666666663</v>
      </c>
      <c r="C871" s="5">
        <v>201.5</v>
      </c>
      <c r="D871" s="5">
        <v>202</v>
      </c>
      <c r="E871" s="5">
        <v>199.95</v>
      </c>
      <c r="F871" s="5">
        <v>201.75</v>
      </c>
      <c r="G871" s="5">
        <v>11700</v>
      </c>
      <c r="I871" s="6">
        <v>41103</v>
      </c>
      <c r="J871" s="7">
        <v>0.66666666666666663</v>
      </c>
      <c r="K871" s="5">
        <v>7200</v>
      </c>
      <c r="L871" s="5">
        <v>7200</v>
      </c>
      <c r="M871" s="5">
        <v>7110</v>
      </c>
      <c r="N871" s="5">
        <v>7110</v>
      </c>
      <c r="O871" s="5">
        <v>23</v>
      </c>
      <c r="Q871" s="6">
        <v>39443</v>
      </c>
      <c r="R871" s="7">
        <v>0.66666666666666663</v>
      </c>
      <c r="S871" s="5">
        <v>266.55</v>
      </c>
      <c r="T871" s="5">
        <v>268.5</v>
      </c>
      <c r="U871" s="5">
        <v>263</v>
      </c>
      <c r="V871" s="5">
        <v>264.5</v>
      </c>
      <c r="W871" s="5">
        <v>1782500</v>
      </c>
      <c r="Y871" s="6">
        <f t="shared" si="26"/>
        <v>41103</v>
      </c>
      <c r="Z871" s="5">
        <f t="shared" si="27"/>
        <v>7110</v>
      </c>
      <c r="AA871" s="5">
        <v>125.27</v>
      </c>
      <c r="AB871" s="5">
        <v>126.71</v>
      </c>
    </row>
    <row r="872" spans="1:28" x14ac:dyDescent="0.3">
      <c r="A872" s="6">
        <v>39465</v>
      </c>
      <c r="B872" s="7">
        <v>0.66666666666666663</v>
      </c>
      <c r="C872" s="5">
        <v>201</v>
      </c>
      <c r="D872" s="5">
        <v>208</v>
      </c>
      <c r="E872" s="5">
        <v>200</v>
      </c>
      <c r="F872" s="5">
        <v>202.05</v>
      </c>
      <c r="G872" s="5">
        <v>10400</v>
      </c>
      <c r="I872" s="6">
        <v>41106</v>
      </c>
      <c r="J872" s="7">
        <v>0.66666666666666663</v>
      </c>
      <c r="K872" s="5">
        <v>7121</v>
      </c>
      <c r="L872" s="5">
        <v>7140</v>
      </c>
      <c r="M872" s="5">
        <v>7120</v>
      </c>
      <c r="N872" s="5">
        <v>7121.48</v>
      </c>
      <c r="O872" s="5">
        <v>28</v>
      </c>
      <c r="Q872" s="6">
        <v>39447</v>
      </c>
      <c r="R872" s="7">
        <v>0.66666666666666663</v>
      </c>
      <c r="S872" s="5">
        <v>251.3</v>
      </c>
      <c r="T872" s="5">
        <v>251.3</v>
      </c>
      <c r="U872" s="5">
        <v>251.3</v>
      </c>
      <c r="V872" s="5">
        <v>251.3</v>
      </c>
      <c r="W872" s="5">
        <v>22600</v>
      </c>
      <c r="Y872" s="6">
        <f t="shared" si="26"/>
        <v>41106</v>
      </c>
      <c r="Z872" s="5">
        <f t="shared" si="27"/>
        <v>7121.48</v>
      </c>
      <c r="AA872" s="5">
        <v>125.6</v>
      </c>
      <c r="AB872" s="5">
        <v>133.04</v>
      </c>
    </row>
    <row r="873" spans="1:28" x14ac:dyDescent="0.3">
      <c r="A873" s="6">
        <v>39468</v>
      </c>
      <c r="B873" s="7">
        <v>0.66666666666666663</v>
      </c>
      <c r="C873" s="5">
        <v>204</v>
      </c>
      <c r="D873" s="5">
        <v>207</v>
      </c>
      <c r="E873" s="5">
        <v>200</v>
      </c>
      <c r="F873" s="5">
        <v>203</v>
      </c>
      <c r="G873" s="5">
        <v>25600</v>
      </c>
      <c r="I873" s="6">
        <v>41107</v>
      </c>
      <c r="J873" s="7">
        <v>0.66666666666666663</v>
      </c>
      <c r="K873" s="5">
        <v>7155</v>
      </c>
      <c r="L873" s="5">
        <v>7275</v>
      </c>
      <c r="M873" s="5">
        <v>7155</v>
      </c>
      <c r="N873" s="5">
        <v>7156</v>
      </c>
      <c r="O873" s="5">
        <v>180</v>
      </c>
      <c r="Q873" s="6">
        <v>39448</v>
      </c>
      <c r="R873" s="7">
        <v>0.66666666666666663</v>
      </c>
      <c r="S873" s="5">
        <v>238.75</v>
      </c>
      <c r="T873" s="5">
        <v>238.75</v>
      </c>
      <c r="U873" s="5">
        <v>238.75</v>
      </c>
      <c r="V873" s="5">
        <v>238.75</v>
      </c>
      <c r="W873" s="5">
        <v>223200</v>
      </c>
      <c r="Y873" s="6">
        <f t="shared" si="26"/>
        <v>41107</v>
      </c>
      <c r="Z873" s="5">
        <f t="shared" si="27"/>
        <v>7156</v>
      </c>
      <c r="AA873" s="5">
        <v>125.84</v>
      </c>
      <c r="AB873" s="5">
        <v>133.41</v>
      </c>
    </row>
    <row r="874" spans="1:28" x14ac:dyDescent="0.3">
      <c r="A874" s="6">
        <v>39469</v>
      </c>
      <c r="B874" s="7">
        <v>0.66666666666666663</v>
      </c>
      <c r="C874" s="5">
        <v>199.05</v>
      </c>
      <c r="D874" s="5">
        <v>205.8</v>
      </c>
      <c r="E874" s="5">
        <v>199.05</v>
      </c>
      <c r="F874" s="5">
        <v>204</v>
      </c>
      <c r="G874" s="5">
        <v>9500</v>
      </c>
      <c r="I874" s="6">
        <v>41108</v>
      </c>
      <c r="J874" s="7">
        <v>0.66666666666666663</v>
      </c>
      <c r="K874" s="5">
        <v>7287</v>
      </c>
      <c r="L874" s="5">
        <v>7287</v>
      </c>
      <c r="M874" s="5">
        <v>7275</v>
      </c>
      <c r="N874" s="5">
        <v>7280.25</v>
      </c>
      <c r="O874" s="5">
        <v>4</v>
      </c>
      <c r="Q874" s="6">
        <v>39449</v>
      </c>
      <c r="R874" s="7">
        <v>0.66666666666666663</v>
      </c>
      <c r="S874" s="5">
        <v>235.5</v>
      </c>
      <c r="T874" s="5">
        <v>235.5</v>
      </c>
      <c r="U874" s="5">
        <v>226.85</v>
      </c>
      <c r="V874" s="5">
        <v>226.85</v>
      </c>
      <c r="W874" s="5">
        <v>4498800</v>
      </c>
      <c r="Y874" s="6">
        <f t="shared" si="26"/>
        <v>41108</v>
      </c>
      <c r="Z874" s="5">
        <f t="shared" si="27"/>
        <v>7280.25</v>
      </c>
      <c r="AA874" s="5">
        <v>126.83</v>
      </c>
      <c r="AB874" s="5">
        <v>139.5</v>
      </c>
    </row>
    <row r="875" spans="1:28" x14ac:dyDescent="0.3">
      <c r="A875" s="6">
        <v>39470</v>
      </c>
      <c r="B875" s="7">
        <v>0.66666666666666663</v>
      </c>
      <c r="C875" s="5">
        <v>204.6</v>
      </c>
      <c r="D875" s="5">
        <v>206.95</v>
      </c>
      <c r="E875" s="5">
        <v>204.5</v>
      </c>
      <c r="F875" s="5">
        <v>204.55</v>
      </c>
      <c r="G875" s="5">
        <v>12300</v>
      </c>
      <c r="I875" s="6">
        <v>41109</v>
      </c>
      <c r="J875" s="7">
        <v>0.66666666666666663</v>
      </c>
      <c r="K875" s="5">
        <v>7325</v>
      </c>
      <c r="L875" s="5">
        <v>7325</v>
      </c>
      <c r="M875" s="5">
        <v>7250</v>
      </c>
      <c r="N875" s="5">
        <v>7300</v>
      </c>
      <c r="O875" s="5">
        <v>51</v>
      </c>
      <c r="Q875" s="6">
        <v>39450</v>
      </c>
      <c r="R875" s="7">
        <v>0.66666666666666663</v>
      </c>
      <c r="S875" s="5">
        <v>231.9</v>
      </c>
      <c r="T875" s="5">
        <v>238.15</v>
      </c>
      <c r="U875" s="5">
        <v>231.9</v>
      </c>
      <c r="V875" s="5">
        <v>238.15</v>
      </c>
      <c r="W875" s="5">
        <v>2184700</v>
      </c>
      <c r="Y875" s="6">
        <f t="shared" si="26"/>
        <v>41109</v>
      </c>
      <c r="Z875" s="5">
        <f t="shared" si="27"/>
        <v>7300</v>
      </c>
      <c r="AA875" s="5">
        <v>126.09</v>
      </c>
      <c r="AB875" s="5">
        <v>146.47</v>
      </c>
    </row>
    <row r="876" spans="1:28" x14ac:dyDescent="0.3">
      <c r="A876" s="6">
        <v>39471</v>
      </c>
      <c r="B876" s="7">
        <v>0.66666666666666663</v>
      </c>
      <c r="C876" s="5">
        <v>200.5</v>
      </c>
      <c r="D876" s="5">
        <v>200.55</v>
      </c>
      <c r="E876" s="5">
        <v>195</v>
      </c>
      <c r="F876" s="5">
        <v>197</v>
      </c>
      <c r="G876" s="5">
        <v>59700</v>
      </c>
      <c r="I876" s="6">
        <v>41110</v>
      </c>
      <c r="J876" s="7">
        <v>0.66666666666666663</v>
      </c>
      <c r="K876" s="5">
        <v>7125</v>
      </c>
      <c r="L876" s="5">
        <v>7500</v>
      </c>
      <c r="M876" s="5">
        <v>7125</v>
      </c>
      <c r="N876" s="5">
        <v>7350</v>
      </c>
      <c r="O876" s="5">
        <v>241</v>
      </c>
      <c r="Q876" s="6">
        <v>39451</v>
      </c>
      <c r="R876" s="7">
        <v>0.66666666666666663</v>
      </c>
      <c r="S876" s="5">
        <v>240.1</v>
      </c>
      <c r="T876" s="5">
        <v>250.05</v>
      </c>
      <c r="U876" s="5">
        <v>240.1</v>
      </c>
      <c r="V876" s="5">
        <v>250.05</v>
      </c>
      <c r="W876" s="5">
        <v>5500700</v>
      </c>
      <c r="Y876" s="6">
        <f t="shared" si="26"/>
        <v>41110</v>
      </c>
      <c r="Z876" s="5">
        <f t="shared" si="27"/>
        <v>7350</v>
      </c>
      <c r="AA876" s="5">
        <v>125.29</v>
      </c>
      <c r="AB876" s="5">
        <v>149.93</v>
      </c>
    </row>
    <row r="877" spans="1:28" x14ac:dyDescent="0.3">
      <c r="A877" s="6">
        <v>39472</v>
      </c>
      <c r="B877" s="7">
        <v>0.66666666666666663</v>
      </c>
      <c r="C877" s="5">
        <v>192</v>
      </c>
      <c r="D877" s="5">
        <v>192.5</v>
      </c>
      <c r="E877" s="5">
        <v>187.15</v>
      </c>
      <c r="F877" s="5">
        <v>188</v>
      </c>
      <c r="G877" s="5">
        <v>35900</v>
      </c>
      <c r="I877" s="6">
        <v>41114</v>
      </c>
      <c r="J877" s="7">
        <v>0.66666666666666663</v>
      </c>
      <c r="K877" s="5">
        <v>7350</v>
      </c>
      <c r="L877" s="5">
        <v>7350</v>
      </c>
      <c r="M877" s="5">
        <v>7350</v>
      </c>
      <c r="N877" s="5">
        <v>7350</v>
      </c>
      <c r="O877" s="5">
        <v>20</v>
      </c>
      <c r="Q877" s="6">
        <v>39454</v>
      </c>
      <c r="R877" s="7">
        <v>0.66666666666666663</v>
      </c>
      <c r="S877" s="5">
        <v>250.05</v>
      </c>
      <c r="T877" s="5">
        <v>260.8</v>
      </c>
      <c r="U877" s="5">
        <v>246.6</v>
      </c>
      <c r="V877" s="5">
        <v>257.10000000000002</v>
      </c>
      <c r="W877" s="5">
        <v>6348500</v>
      </c>
      <c r="Y877" s="6">
        <f t="shared" si="26"/>
        <v>41114</v>
      </c>
      <c r="Z877" s="5">
        <f t="shared" si="27"/>
        <v>7350</v>
      </c>
      <c r="AA877" s="5">
        <v>123.94</v>
      </c>
      <c r="AB877" s="5">
        <v>146.15</v>
      </c>
    </row>
    <row r="878" spans="1:28" x14ac:dyDescent="0.3">
      <c r="A878" s="6">
        <v>39475</v>
      </c>
      <c r="B878" s="7">
        <v>0.66666666666666663</v>
      </c>
      <c r="C878" s="5">
        <v>190.7</v>
      </c>
      <c r="D878" s="5">
        <v>193.6</v>
      </c>
      <c r="E878" s="5">
        <v>185.9</v>
      </c>
      <c r="F878" s="5">
        <v>191</v>
      </c>
      <c r="G878" s="5">
        <v>30000</v>
      </c>
      <c r="I878" s="6">
        <v>41115</v>
      </c>
      <c r="J878" s="7">
        <v>0.66666666666666663</v>
      </c>
      <c r="K878" s="5">
        <v>7399.9902000000002</v>
      </c>
      <c r="L878" s="5">
        <v>7399.9902000000002</v>
      </c>
      <c r="M878" s="5">
        <v>7325</v>
      </c>
      <c r="N878" s="5">
        <v>7325</v>
      </c>
      <c r="O878" s="5">
        <v>60</v>
      </c>
      <c r="Q878" s="6">
        <v>39455</v>
      </c>
      <c r="R878" s="7">
        <v>0.66666666666666663</v>
      </c>
      <c r="S878" s="5">
        <v>258</v>
      </c>
      <c r="T878" s="5">
        <v>269.95</v>
      </c>
      <c r="U878" s="5">
        <v>258</v>
      </c>
      <c r="V878" s="5">
        <v>269.95</v>
      </c>
      <c r="W878" s="5">
        <v>8843300</v>
      </c>
      <c r="Y878" s="6">
        <f t="shared" si="26"/>
        <v>41115</v>
      </c>
      <c r="Z878" s="5">
        <f t="shared" si="27"/>
        <v>7325</v>
      </c>
      <c r="AA878" s="5">
        <v>124.66</v>
      </c>
      <c r="AB878" s="5">
        <v>149.74</v>
      </c>
    </row>
    <row r="879" spans="1:28" x14ac:dyDescent="0.3">
      <c r="A879" s="6">
        <v>39476</v>
      </c>
      <c r="B879" s="7">
        <v>0.66666666666666663</v>
      </c>
      <c r="C879" s="5">
        <v>192.95</v>
      </c>
      <c r="D879" s="5">
        <v>193</v>
      </c>
      <c r="E879" s="5">
        <v>189.55</v>
      </c>
      <c r="F879" s="5">
        <v>190</v>
      </c>
      <c r="G879" s="5">
        <v>7100</v>
      </c>
      <c r="I879" s="6">
        <v>41116</v>
      </c>
      <c r="J879" s="7">
        <v>0.66666666666666663</v>
      </c>
      <c r="K879" s="5">
        <v>7300</v>
      </c>
      <c r="L879" s="5">
        <v>7325</v>
      </c>
      <c r="M879" s="5">
        <v>7300</v>
      </c>
      <c r="N879" s="5">
        <v>7325</v>
      </c>
      <c r="O879" s="5">
        <v>140</v>
      </c>
      <c r="Q879" s="6">
        <v>39456</v>
      </c>
      <c r="R879" s="7">
        <v>0.66666666666666663</v>
      </c>
      <c r="S879" s="5">
        <v>270.8</v>
      </c>
      <c r="T879" s="5">
        <v>283.39999999999998</v>
      </c>
      <c r="U879" s="5">
        <v>270.8</v>
      </c>
      <c r="V879" s="5">
        <v>281.55</v>
      </c>
      <c r="W879" s="5">
        <v>13806700</v>
      </c>
      <c r="Y879" s="6">
        <f t="shared" si="26"/>
        <v>41116</v>
      </c>
      <c r="Z879" s="5">
        <f t="shared" si="27"/>
        <v>7325</v>
      </c>
      <c r="AA879" s="5">
        <v>124.61</v>
      </c>
      <c r="AB879" s="5">
        <v>157.22</v>
      </c>
    </row>
    <row r="880" spans="1:28" x14ac:dyDescent="0.3">
      <c r="A880" s="6">
        <v>39477</v>
      </c>
      <c r="B880" s="7">
        <v>0.66666666666666663</v>
      </c>
      <c r="C880" s="5">
        <v>191</v>
      </c>
      <c r="D880" s="5">
        <v>191</v>
      </c>
      <c r="E880" s="5">
        <v>188</v>
      </c>
      <c r="F880" s="5">
        <v>188.8</v>
      </c>
      <c r="G880" s="5">
        <v>6600</v>
      </c>
      <c r="I880" s="6">
        <v>41117</v>
      </c>
      <c r="J880" s="7">
        <v>0.66666666666666663</v>
      </c>
      <c r="K880" s="5">
        <v>7350</v>
      </c>
      <c r="L880" s="5">
        <v>7360</v>
      </c>
      <c r="M880" s="5">
        <v>7350</v>
      </c>
      <c r="N880" s="5">
        <v>7360</v>
      </c>
      <c r="O880" s="5">
        <v>160</v>
      </c>
      <c r="Q880" s="6">
        <v>39457</v>
      </c>
      <c r="R880" s="7">
        <v>0.66666666666666663</v>
      </c>
      <c r="S880" s="5">
        <v>281.55</v>
      </c>
      <c r="T880" s="5">
        <v>282.64999999999998</v>
      </c>
      <c r="U880" s="5">
        <v>271.5</v>
      </c>
      <c r="V880" s="5">
        <v>272.10000000000002</v>
      </c>
      <c r="W880" s="5">
        <v>7235600</v>
      </c>
      <c r="Y880" s="6">
        <f t="shared" si="26"/>
        <v>41117</v>
      </c>
      <c r="Z880" s="5">
        <f t="shared" si="27"/>
        <v>7360</v>
      </c>
      <c r="AA880" s="5">
        <v>124.35</v>
      </c>
      <c r="AB880" s="5">
        <v>163.29</v>
      </c>
    </row>
    <row r="881" spans="1:28" x14ac:dyDescent="0.3">
      <c r="A881" s="6">
        <v>39478</v>
      </c>
      <c r="B881" s="7">
        <v>0.66666666666666663</v>
      </c>
      <c r="C881" s="5">
        <v>188.1</v>
      </c>
      <c r="D881" s="5">
        <v>197.95</v>
      </c>
      <c r="E881" s="5">
        <v>188</v>
      </c>
      <c r="F881" s="5">
        <v>190.55</v>
      </c>
      <c r="G881" s="5">
        <v>50400</v>
      </c>
      <c r="I881" s="6">
        <v>41120</v>
      </c>
      <c r="J881" s="7">
        <v>0.66666666666666663</v>
      </c>
      <c r="K881" s="5">
        <v>7500</v>
      </c>
      <c r="L881" s="5">
        <v>7728</v>
      </c>
      <c r="M881" s="5">
        <v>7500</v>
      </c>
      <c r="N881" s="5">
        <v>7728</v>
      </c>
      <c r="O881" s="5">
        <v>120</v>
      </c>
      <c r="Q881" s="6">
        <v>39458</v>
      </c>
      <c r="R881" s="7">
        <v>0.66666666666666663</v>
      </c>
      <c r="S881" s="5">
        <v>272.10000000000002</v>
      </c>
      <c r="T881" s="5">
        <v>275</v>
      </c>
      <c r="U881" s="5">
        <v>258.5</v>
      </c>
      <c r="V881" s="5">
        <v>265</v>
      </c>
      <c r="W881" s="5">
        <v>5624600</v>
      </c>
      <c r="Y881" s="6">
        <f t="shared" si="26"/>
        <v>41120</v>
      </c>
      <c r="Z881" s="5">
        <f t="shared" si="27"/>
        <v>7728</v>
      </c>
      <c r="AA881" s="5">
        <v>124.76</v>
      </c>
      <c r="AB881" s="5">
        <v>170.17</v>
      </c>
    </row>
    <row r="882" spans="1:28" x14ac:dyDescent="0.3">
      <c r="A882" s="6">
        <v>39479</v>
      </c>
      <c r="B882" s="7">
        <v>0.66666666666666663</v>
      </c>
      <c r="C882" s="5">
        <v>192.9</v>
      </c>
      <c r="D882" s="5">
        <v>199.75</v>
      </c>
      <c r="E882" s="5">
        <v>191.95</v>
      </c>
      <c r="F882" s="5">
        <v>192</v>
      </c>
      <c r="G882" s="5">
        <v>66000</v>
      </c>
      <c r="I882" s="6">
        <v>41121</v>
      </c>
      <c r="J882" s="7">
        <v>0.66666666666666663</v>
      </c>
      <c r="K882" s="5">
        <v>7750</v>
      </c>
      <c r="L882" s="5">
        <v>7755</v>
      </c>
      <c r="M882" s="5">
        <v>7750</v>
      </c>
      <c r="N882" s="5">
        <v>7755</v>
      </c>
      <c r="O882" s="5">
        <v>80</v>
      </c>
      <c r="Q882" s="6">
        <v>39461</v>
      </c>
      <c r="R882" s="7">
        <v>0.66666666666666663</v>
      </c>
      <c r="S882" s="5">
        <v>265</v>
      </c>
      <c r="T882" s="5">
        <v>278.25</v>
      </c>
      <c r="U882" s="5">
        <v>263.64999999999998</v>
      </c>
      <c r="V882" s="5">
        <v>278.25</v>
      </c>
      <c r="W882" s="5">
        <v>9410900</v>
      </c>
      <c r="Y882" s="6">
        <f t="shared" si="26"/>
        <v>41121</v>
      </c>
      <c r="Z882" s="5">
        <f t="shared" si="27"/>
        <v>7755</v>
      </c>
      <c r="AA882" s="5">
        <v>124.95</v>
      </c>
      <c r="AB882" s="5">
        <v>165.95</v>
      </c>
    </row>
    <row r="883" spans="1:28" x14ac:dyDescent="0.3">
      <c r="A883" s="6">
        <v>39482</v>
      </c>
      <c r="B883" s="7">
        <v>0.66666666666666663</v>
      </c>
      <c r="C883" s="5">
        <v>192</v>
      </c>
      <c r="D883" s="5">
        <v>199</v>
      </c>
      <c r="E883" s="5">
        <v>192</v>
      </c>
      <c r="F883" s="5">
        <v>195.05</v>
      </c>
      <c r="G883" s="5">
        <v>51100</v>
      </c>
      <c r="I883" s="6">
        <v>41122</v>
      </c>
      <c r="J883" s="7">
        <v>0.66666666666666663</v>
      </c>
      <c r="K883" s="5">
        <v>7750</v>
      </c>
      <c r="L883" s="5">
        <v>8000</v>
      </c>
      <c r="M883" s="5">
        <v>7750</v>
      </c>
      <c r="N883" s="5">
        <v>8000</v>
      </c>
      <c r="O883" s="5">
        <v>80</v>
      </c>
      <c r="Q883" s="6">
        <v>39462</v>
      </c>
      <c r="R883" s="7">
        <v>0.66666666666666663</v>
      </c>
      <c r="S883" s="5">
        <v>278.25</v>
      </c>
      <c r="T883" s="5">
        <v>287.5</v>
      </c>
      <c r="U883" s="5">
        <v>275.25</v>
      </c>
      <c r="V883" s="5">
        <v>280.35000000000002</v>
      </c>
      <c r="W883" s="5">
        <v>14129400</v>
      </c>
      <c r="Y883" s="6">
        <f t="shared" si="26"/>
        <v>41122</v>
      </c>
      <c r="Z883" s="5">
        <f t="shared" si="27"/>
        <v>8000</v>
      </c>
      <c r="AA883" s="5">
        <v>126.21</v>
      </c>
      <c r="AB883" s="5">
        <v>170.96</v>
      </c>
    </row>
    <row r="884" spans="1:28" x14ac:dyDescent="0.3">
      <c r="A884" s="6">
        <v>39484</v>
      </c>
      <c r="B884" s="7">
        <v>0.66666666666666663</v>
      </c>
      <c r="C884" s="5">
        <v>196</v>
      </c>
      <c r="D884" s="5">
        <v>204.8</v>
      </c>
      <c r="E884" s="5">
        <v>196</v>
      </c>
      <c r="F884" s="5">
        <v>203.7</v>
      </c>
      <c r="G884" s="5">
        <v>72800</v>
      </c>
      <c r="I884" s="6">
        <v>41123</v>
      </c>
      <c r="J884" s="7">
        <v>0.66666666666666663</v>
      </c>
      <c r="K884" s="5">
        <v>8350</v>
      </c>
      <c r="L884" s="5">
        <v>8350</v>
      </c>
      <c r="M884" s="5">
        <v>8300</v>
      </c>
      <c r="N884" s="5">
        <v>8300</v>
      </c>
      <c r="O884" s="5">
        <v>40</v>
      </c>
      <c r="Q884" s="6">
        <v>39463</v>
      </c>
      <c r="R884" s="7">
        <v>0.66666666666666663</v>
      </c>
      <c r="S884" s="5">
        <v>280.35000000000002</v>
      </c>
      <c r="T884" s="5">
        <v>282.2</v>
      </c>
      <c r="U884" s="5">
        <v>270.25</v>
      </c>
      <c r="V884" s="5">
        <v>271.10000000000002</v>
      </c>
      <c r="W884" s="5">
        <v>5648600</v>
      </c>
      <c r="Y884" s="6">
        <f t="shared" si="26"/>
        <v>41123</v>
      </c>
      <c r="Z884" s="5">
        <f t="shared" si="27"/>
        <v>8300</v>
      </c>
      <c r="AA884" s="5">
        <v>126.45</v>
      </c>
      <c r="AB884" s="5">
        <v>178.02</v>
      </c>
    </row>
    <row r="885" spans="1:28" x14ac:dyDescent="0.3">
      <c r="A885" s="6">
        <v>39485</v>
      </c>
      <c r="B885" s="7">
        <v>0.66666666666666663</v>
      </c>
      <c r="C885" s="5">
        <v>204.9</v>
      </c>
      <c r="D885" s="5">
        <v>209</v>
      </c>
      <c r="E885" s="5">
        <v>202</v>
      </c>
      <c r="F885" s="5">
        <v>208</v>
      </c>
      <c r="G885" s="5">
        <v>63100</v>
      </c>
      <c r="I885" s="6">
        <v>41124</v>
      </c>
      <c r="J885" s="7">
        <v>0.66666666666666663</v>
      </c>
      <c r="K885" s="5">
        <v>8400</v>
      </c>
      <c r="L885" s="5">
        <v>8624</v>
      </c>
      <c r="M885" s="5">
        <v>8400</v>
      </c>
      <c r="N885" s="5">
        <v>8444.7998000000007</v>
      </c>
      <c r="O885" s="5">
        <v>140</v>
      </c>
      <c r="Q885" s="6">
        <v>39464</v>
      </c>
      <c r="R885" s="7">
        <v>0.66666666666666663</v>
      </c>
      <c r="S885" s="5">
        <v>271.10000000000002</v>
      </c>
      <c r="T885" s="5">
        <v>274.45</v>
      </c>
      <c r="U885" s="5">
        <v>263</v>
      </c>
      <c r="V885" s="5">
        <v>265</v>
      </c>
      <c r="W885" s="5">
        <v>4841300</v>
      </c>
      <c r="Y885" s="6">
        <f t="shared" si="26"/>
        <v>41124</v>
      </c>
      <c r="Z885" s="5">
        <f t="shared" si="27"/>
        <v>8444.7998000000007</v>
      </c>
      <c r="AA885" s="5">
        <v>125.36</v>
      </c>
      <c r="AB885" s="5">
        <v>181.75</v>
      </c>
    </row>
    <row r="886" spans="1:28" x14ac:dyDescent="0.3">
      <c r="A886" s="6">
        <v>39486</v>
      </c>
      <c r="B886" s="7">
        <v>0.66666666666666663</v>
      </c>
      <c r="C886" s="5">
        <v>204</v>
      </c>
      <c r="D886" s="5">
        <v>213.9</v>
      </c>
      <c r="E886" s="5">
        <v>204</v>
      </c>
      <c r="F886" s="5">
        <v>209</v>
      </c>
      <c r="G886" s="5">
        <v>109600</v>
      </c>
      <c r="I886" s="6">
        <v>41127</v>
      </c>
      <c r="J886" s="7">
        <v>0.66666666666666663</v>
      </c>
      <c r="K886" s="5">
        <v>8449</v>
      </c>
      <c r="L886" s="5">
        <v>8455</v>
      </c>
      <c r="M886" s="5">
        <v>8400</v>
      </c>
      <c r="N886" s="5">
        <v>8400</v>
      </c>
      <c r="O886" s="5">
        <v>180</v>
      </c>
      <c r="Q886" s="6">
        <v>39465</v>
      </c>
      <c r="R886" s="7">
        <v>0.66666666666666663</v>
      </c>
      <c r="S886" s="5">
        <v>265</v>
      </c>
      <c r="T886" s="5">
        <v>275.89999999999998</v>
      </c>
      <c r="U886" s="5">
        <v>263.5</v>
      </c>
      <c r="V886" s="5">
        <v>273.89999999999998</v>
      </c>
      <c r="W886" s="5">
        <v>5930600</v>
      </c>
      <c r="Y886" s="6">
        <f t="shared" si="26"/>
        <v>41127</v>
      </c>
      <c r="Z886" s="5">
        <f t="shared" si="27"/>
        <v>8400</v>
      </c>
      <c r="AA886" s="5">
        <v>124.64</v>
      </c>
      <c r="AB886" s="5">
        <v>187.75</v>
      </c>
    </row>
    <row r="887" spans="1:28" x14ac:dyDescent="0.3">
      <c r="A887" s="6">
        <v>39489</v>
      </c>
      <c r="B887" s="7">
        <v>0.66666666666666663</v>
      </c>
      <c r="C887" s="5">
        <v>209</v>
      </c>
      <c r="D887" s="5">
        <v>209</v>
      </c>
      <c r="E887" s="5">
        <v>203.25</v>
      </c>
      <c r="F887" s="5">
        <v>204</v>
      </c>
      <c r="G887" s="5">
        <v>17800</v>
      </c>
      <c r="I887" s="6">
        <v>41129</v>
      </c>
      <c r="J887" s="7">
        <v>0.66666666666666663</v>
      </c>
      <c r="K887" s="5">
        <v>8449</v>
      </c>
      <c r="L887" s="5">
        <v>8549</v>
      </c>
      <c r="M887" s="5">
        <v>8449</v>
      </c>
      <c r="N887" s="5">
        <v>8548</v>
      </c>
      <c r="O887" s="5">
        <v>120</v>
      </c>
      <c r="Q887" s="6">
        <v>39468</v>
      </c>
      <c r="R887" s="7">
        <v>0.66666666666666663</v>
      </c>
      <c r="S887" s="5">
        <v>275.05</v>
      </c>
      <c r="T887" s="5">
        <v>282.7</v>
      </c>
      <c r="U887" s="5">
        <v>275.05</v>
      </c>
      <c r="V887" s="5">
        <v>276</v>
      </c>
      <c r="W887" s="5">
        <v>8545900</v>
      </c>
      <c r="Y887" s="6">
        <f t="shared" si="26"/>
        <v>41129</v>
      </c>
      <c r="Z887" s="5">
        <f t="shared" si="27"/>
        <v>8548</v>
      </c>
      <c r="AA887" s="5">
        <v>124.47</v>
      </c>
      <c r="AB887" s="5">
        <v>191.17</v>
      </c>
    </row>
    <row r="888" spans="1:28" x14ac:dyDescent="0.3">
      <c r="A888" s="6">
        <v>39490</v>
      </c>
      <c r="B888" s="7">
        <v>0.66666666666666663</v>
      </c>
      <c r="C888" s="5">
        <v>205</v>
      </c>
      <c r="D888" s="5">
        <v>205</v>
      </c>
      <c r="E888" s="5">
        <v>202.5</v>
      </c>
      <c r="F888" s="5">
        <v>203</v>
      </c>
      <c r="G888" s="5">
        <v>17500</v>
      </c>
      <c r="I888" s="6">
        <v>41130</v>
      </c>
      <c r="J888" s="7">
        <v>0.66666666666666663</v>
      </c>
      <c r="K888" s="5">
        <v>8540</v>
      </c>
      <c r="L888" s="5">
        <v>8649</v>
      </c>
      <c r="M888" s="5">
        <v>8540</v>
      </c>
      <c r="N888" s="5">
        <v>8649</v>
      </c>
      <c r="O888" s="5">
        <v>220</v>
      </c>
      <c r="Q888" s="6">
        <v>39469</v>
      </c>
      <c r="R888" s="7">
        <v>0.66666666666666663</v>
      </c>
      <c r="S888" s="5">
        <v>275.5</v>
      </c>
      <c r="T888" s="5">
        <v>275.5</v>
      </c>
      <c r="U888" s="5">
        <v>268</v>
      </c>
      <c r="V888" s="5">
        <v>273.7</v>
      </c>
      <c r="W888" s="5">
        <v>4364100</v>
      </c>
      <c r="Y888" s="6">
        <f t="shared" si="26"/>
        <v>41130</v>
      </c>
      <c r="Z888" s="5">
        <f t="shared" si="27"/>
        <v>8649</v>
      </c>
      <c r="AA888" s="5">
        <v>124.38</v>
      </c>
      <c r="AB888" s="5">
        <v>189.78</v>
      </c>
    </row>
    <row r="889" spans="1:28" x14ac:dyDescent="0.3">
      <c r="A889" s="6">
        <v>39491</v>
      </c>
      <c r="B889" s="7">
        <v>0.66666666666666663</v>
      </c>
      <c r="C889" s="5">
        <v>203</v>
      </c>
      <c r="D889" s="5">
        <v>207.5</v>
      </c>
      <c r="E889" s="5">
        <v>203</v>
      </c>
      <c r="F889" s="5">
        <v>203.25</v>
      </c>
      <c r="G889" s="5">
        <v>19900</v>
      </c>
      <c r="I889" s="6">
        <v>41131</v>
      </c>
      <c r="J889" s="7">
        <v>0.66666666666666663</v>
      </c>
      <c r="K889" s="5">
        <v>8560</v>
      </c>
      <c r="L889" s="5">
        <v>8650</v>
      </c>
      <c r="M889" s="5">
        <v>8560</v>
      </c>
      <c r="N889" s="5">
        <v>8650</v>
      </c>
      <c r="O889" s="5">
        <v>40</v>
      </c>
      <c r="Q889" s="6">
        <v>39470</v>
      </c>
      <c r="R889" s="7">
        <v>0.66666666666666663</v>
      </c>
      <c r="S889" s="5">
        <v>273.7</v>
      </c>
      <c r="T889" s="5">
        <v>279.75</v>
      </c>
      <c r="U889" s="5">
        <v>272.25</v>
      </c>
      <c r="V889" s="5">
        <v>272.75</v>
      </c>
      <c r="W889" s="5">
        <v>5191300</v>
      </c>
      <c r="Y889" s="6">
        <f t="shared" si="26"/>
        <v>41131</v>
      </c>
      <c r="Z889" s="5">
        <f t="shared" si="27"/>
        <v>8650</v>
      </c>
      <c r="AA889" s="5">
        <v>124.25</v>
      </c>
      <c r="AB889" s="5">
        <v>185.2</v>
      </c>
    </row>
    <row r="890" spans="1:28" x14ac:dyDescent="0.3">
      <c r="A890" s="6">
        <v>39492</v>
      </c>
      <c r="B890" s="7">
        <v>0.66666666666666663</v>
      </c>
      <c r="C890" s="5">
        <v>203.25</v>
      </c>
      <c r="D890" s="5">
        <v>204</v>
      </c>
      <c r="E890" s="5">
        <v>203</v>
      </c>
      <c r="F890" s="5">
        <v>204</v>
      </c>
      <c r="G890" s="5">
        <v>19500</v>
      </c>
      <c r="I890" s="6">
        <v>41137</v>
      </c>
      <c r="J890" s="7">
        <v>0.66666666666666663</v>
      </c>
      <c r="K890" s="5">
        <v>8540</v>
      </c>
      <c r="L890" s="5">
        <v>8890</v>
      </c>
      <c r="M890" s="5">
        <v>8540</v>
      </c>
      <c r="N890" s="5">
        <v>8850.0498000000007</v>
      </c>
      <c r="O890" s="5">
        <v>1660</v>
      </c>
      <c r="Q890" s="6">
        <v>39471</v>
      </c>
      <c r="R890" s="7">
        <v>0.66666666666666663</v>
      </c>
      <c r="S890" s="5">
        <v>272.75</v>
      </c>
      <c r="T890" s="5">
        <v>277.25</v>
      </c>
      <c r="U890" s="5">
        <v>269.5</v>
      </c>
      <c r="V890" s="5">
        <v>269.60000000000002</v>
      </c>
      <c r="W890" s="5">
        <v>4514400</v>
      </c>
      <c r="Y890" s="6">
        <f t="shared" si="26"/>
        <v>41137</v>
      </c>
      <c r="Z890" s="5">
        <f t="shared" si="27"/>
        <v>8850.0498000000007</v>
      </c>
      <c r="AA890" s="5">
        <v>125.43</v>
      </c>
      <c r="AB890" s="5">
        <v>191.27</v>
      </c>
    </row>
    <row r="891" spans="1:28" x14ac:dyDescent="0.3">
      <c r="A891" s="6">
        <v>39497</v>
      </c>
      <c r="B891" s="7">
        <v>0.66666666666666663</v>
      </c>
      <c r="C891" s="5">
        <v>202</v>
      </c>
      <c r="D891" s="5">
        <v>208</v>
      </c>
      <c r="E891" s="5">
        <v>197</v>
      </c>
      <c r="F891" s="5">
        <v>203</v>
      </c>
      <c r="G891" s="5">
        <v>50400</v>
      </c>
      <c r="I891" s="6">
        <v>41145</v>
      </c>
      <c r="J891" s="7">
        <v>0.66666666666666663</v>
      </c>
      <c r="K891" s="5">
        <v>8850</v>
      </c>
      <c r="L891" s="5">
        <v>8850</v>
      </c>
      <c r="M891" s="5">
        <v>8550</v>
      </c>
      <c r="N891" s="5">
        <v>8550</v>
      </c>
      <c r="O891" s="5">
        <v>260</v>
      </c>
      <c r="Q891" s="6">
        <v>39472</v>
      </c>
      <c r="R891" s="7">
        <v>0.66666666666666663</v>
      </c>
      <c r="S891" s="5">
        <v>271.10000000000002</v>
      </c>
      <c r="T891" s="5">
        <v>277.89999999999998</v>
      </c>
      <c r="U891" s="5">
        <v>271.10000000000002</v>
      </c>
      <c r="V891" s="5">
        <v>275.8</v>
      </c>
      <c r="W891" s="5">
        <v>5732500</v>
      </c>
      <c r="Y891" s="6">
        <f t="shared" si="26"/>
        <v>41145</v>
      </c>
      <c r="Z891" s="5">
        <f t="shared" si="27"/>
        <v>8550</v>
      </c>
      <c r="AA891" s="5">
        <v>125.61</v>
      </c>
      <c r="AB891" s="5">
        <v>196.46</v>
      </c>
    </row>
    <row r="892" spans="1:28" x14ac:dyDescent="0.3">
      <c r="A892" s="6">
        <v>39498</v>
      </c>
      <c r="B892" s="7">
        <v>0.66666666666666663</v>
      </c>
      <c r="C892" s="5">
        <v>204.5</v>
      </c>
      <c r="D892" s="5">
        <v>204.95</v>
      </c>
      <c r="E892" s="5">
        <v>200.75</v>
      </c>
      <c r="F892" s="5">
        <v>200.85</v>
      </c>
      <c r="G892" s="5">
        <v>9600</v>
      </c>
      <c r="I892" s="6">
        <v>41148</v>
      </c>
      <c r="J892" s="7">
        <v>0.66666666666666663</v>
      </c>
      <c r="K892" s="5">
        <v>8840</v>
      </c>
      <c r="L892" s="5">
        <v>8850</v>
      </c>
      <c r="M892" s="5">
        <v>8840</v>
      </c>
      <c r="N892" s="5">
        <v>8850</v>
      </c>
      <c r="O892" s="5">
        <v>640</v>
      </c>
      <c r="Q892" s="6">
        <v>39475</v>
      </c>
      <c r="R892" s="7">
        <v>0.66666666666666663</v>
      </c>
      <c r="S892" s="5">
        <v>275.8</v>
      </c>
      <c r="T892" s="5">
        <v>285.39999999999998</v>
      </c>
      <c r="U892" s="5">
        <v>274.95</v>
      </c>
      <c r="V892" s="5">
        <v>279.7</v>
      </c>
      <c r="W892" s="5">
        <v>12594000</v>
      </c>
      <c r="Y892" s="6">
        <f t="shared" si="26"/>
        <v>41148</v>
      </c>
      <c r="Z892" s="5">
        <f t="shared" si="27"/>
        <v>8850</v>
      </c>
      <c r="AA892" s="5">
        <v>125.96</v>
      </c>
      <c r="AB892" s="5">
        <v>193.7</v>
      </c>
    </row>
    <row r="893" spans="1:28" x14ac:dyDescent="0.3">
      <c r="A893" s="6">
        <v>39499</v>
      </c>
      <c r="B893" s="7">
        <v>0.66666666666666663</v>
      </c>
      <c r="C893" s="5">
        <v>201.95</v>
      </c>
      <c r="D893" s="5">
        <v>208.5</v>
      </c>
      <c r="E893" s="5">
        <v>200.55</v>
      </c>
      <c r="F893" s="5">
        <v>203.8</v>
      </c>
      <c r="G893" s="5">
        <v>31700</v>
      </c>
      <c r="I893" s="6">
        <v>41149</v>
      </c>
      <c r="J893" s="7">
        <v>0.66666666666666663</v>
      </c>
      <c r="K893" s="5">
        <v>8850</v>
      </c>
      <c r="L893" s="5">
        <v>8850</v>
      </c>
      <c r="M893" s="5">
        <v>8501</v>
      </c>
      <c r="N893" s="5">
        <v>8501.5</v>
      </c>
      <c r="O893" s="5">
        <v>300</v>
      </c>
      <c r="Q893" s="6">
        <v>39476</v>
      </c>
      <c r="R893" s="7">
        <v>0.66666666666666663</v>
      </c>
      <c r="S893" s="5">
        <v>279.7</v>
      </c>
      <c r="T893" s="5">
        <v>283.3</v>
      </c>
      <c r="U893" s="5">
        <v>276.60000000000002</v>
      </c>
      <c r="V893" s="5">
        <v>278.05</v>
      </c>
      <c r="W893" s="5">
        <v>5091000</v>
      </c>
      <c r="Y893" s="6">
        <f t="shared" si="26"/>
        <v>41149</v>
      </c>
      <c r="Z893" s="5">
        <f t="shared" si="27"/>
        <v>8501.5</v>
      </c>
      <c r="AA893" s="5">
        <v>126.1</v>
      </c>
      <c r="AB893" s="5">
        <v>203.38</v>
      </c>
    </row>
    <row r="894" spans="1:28" x14ac:dyDescent="0.3">
      <c r="A894" s="6">
        <v>39500</v>
      </c>
      <c r="B894" s="7">
        <v>0.66666666666666663</v>
      </c>
      <c r="C894" s="5">
        <v>202.05</v>
      </c>
      <c r="D894" s="5">
        <v>205.9</v>
      </c>
      <c r="E894" s="5">
        <v>202</v>
      </c>
      <c r="F894" s="5">
        <v>202</v>
      </c>
      <c r="G894" s="5">
        <v>13500</v>
      </c>
      <c r="I894" s="6">
        <v>41157</v>
      </c>
      <c r="J894" s="7">
        <v>0.66666666666666663</v>
      </c>
      <c r="K894" s="5">
        <v>8800</v>
      </c>
      <c r="L894" s="5">
        <v>8800</v>
      </c>
      <c r="M894" s="5">
        <v>8800</v>
      </c>
      <c r="N894" s="5">
        <v>8800</v>
      </c>
      <c r="O894" s="5">
        <v>20</v>
      </c>
      <c r="Q894" s="6">
        <v>39477</v>
      </c>
      <c r="R894" s="7">
        <v>0.66666666666666663</v>
      </c>
      <c r="S894" s="5">
        <v>278.05</v>
      </c>
      <c r="T894" s="5">
        <v>281.10000000000002</v>
      </c>
      <c r="U894" s="5">
        <v>274.5</v>
      </c>
      <c r="V894" s="5">
        <v>275.2</v>
      </c>
      <c r="W894" s="5">
        <v>3212700</v>
      </c>
      <c r="Y894" s="6">
        <f t="shared" si="26"/>
        <v>41157</v>
      </c>
      <c r="Z894" s="5">
        <f t="shared" si="27"/>
        <v>8800</v>
      </c>
      <c r="AA894" s="5">
        <v>128.22</v>
      </c>
      <c r="AB894" s="5">
        <v>199.96</v>
      </c>
    </row>
    <row r="895" spans="1:28" x14ac:dyDescent="0.3">
      <c r="A895" s="6">
        <v>39503</v>
      </c>
      <c r="B895" s="7">
        <v>0.66666666666666663</v>
      </c>
      <c r="C895" s="5">
        <v>203</v>
      </c>
      <c r="D895" s="5">
        <v>203.75</v>
      </c>
      <c r="E895" s="5">
        <v>200.05</v>
      </c>
      <c r="F895" s="5">
        <v>201</v>
      </c>
      <c r="G895" s="5">
        <v>8700</v>
      </c>
      <c r="I895" s="6">
        <v>41159</v>
      </c>
      <c r="J895" s="7">
        <v>0.66666666666666663</v>
      </c>
      <c r="K895" s="5">
        <v>9240</v>
      </c>
      <c r="L895" s="5">
        <v>9240</v>
      </c>
      <c r="M895" s="5">
        <v>9240</v>
      </c>
      <c r="N895" s="5">
        <v>9240</v>
      </c>
      <c r="O895" s="5">
        <v>120</v>
      </c>
      <c r="Q895" s="6">
        <v>39478</v>
      </c>
      <c r="R895" s="7">
        <v>0.66666666666666663</v>
      </c>
      <c r="S895" s="5">
        <v>275.2</v>
      </c>
      <c r="T895" s="5">
        <v>277.89999999999998</v>
      </c>
      <c r="U895" s="5">
        <v>272.55</v>
      </c>
      <c r="V895" s="5">
        <v>275.10000000000002</v>
      </c>
      <c r="W895" s="5">
        <v>3572400</v>
      </c>
      <c r="Y895" s="6">
        <f t="shared" si="26"/>
        <v>41159</v>
      </c>
      <c r="Z895" s="5">
        <f t="shared" si="27"/>
        <v>9240</v>
      </c>
      <c r="AA895" s="5">
        <v>126.63</v>
      </c>
      <c r="AB895" s="5">
        <v>200.27</v>
      </c>
    </row>
    <row r="896" spans="1:28" x14ac:dyDescent="0.3">
      <c r="A896" s="6">
        <v>39504</v>
      </c>
      <c r="B896" s="7">
        <v>0.66666666666666663</v>
      </c>
      <c r="C896" s="5">
        <v>200</v>
      </c>
      <c r="D896" s="5">
        <v>200</v>
      </c>
      <c r="E896" s="5">
        <v>198</v>
      </c>
      <c r="F896" s="5">
        <v>200</v>
      </c>
      <c r="G896" s="5">
        <v>12700</v>
      </c>
      <c r="I896" s="6">
        <v>41166</v>
      </c>
      <c r="J896" s="7">
        <v>0.66666666666666663</v>
      </c>
      <c r="K896" s="5">
        <v>9700</v>
      </c>
      <c r="L896" s="5">
        <v>9700</v>
      </c>
      <c r="M896" s="5">
        <v>9700</v>
      </c>
      <c r="N896" s="5">
        <v>9700</v>
      </c>
      <c r="O896" s="5">
        <v>20</v>
      </c>
      <c r="Q896" s="6">
        <v>39479</v>
      </c>
      <c r="R896" s="7">
        <v>0.66666666666666663</v>
      </c>
      <c r="S896" s="5">
        <v>275.10000000000002</v>
      </c>
      <c r="T896" s="5">
        <v>280.5</v>
      </c>
      <c r="U896" s="5">
        <v>273.5</v>
      </c>
      <c r="V896" s="5">
        <v>276.25</v>
      </c>
      <c r="W896" s="5">
        <v>6714500</v>
      </c>
      <c r="Y896" s="6">
        <f t="shared" si="26"/>
        <v>41166</v>
      </c>
      <c r="Z896" s="5">
        <f t="shared" si="27"/>
        <v>9700</v>
      </c>
      <c r="AA896" s="5">
        <v>127.46</v>
      </c>
      <c r="AB896" s="5">
        <v>200.88</v>
      </c>
    </row>
    <row r="897" spans="1:28" x14ac:dyDescent="0.3">
      <c r="A897" s="6">
        <v>39505</v>
      </c>
      <c r="B897" s="7">
        <v>0.66666666666666663</v>
      </c>
      <c r="C897" s="5">
        <v>201.95</v>
      </c>
      <c r="D897" s="5">
        <v>201.95</v>
      </c>
      <c r="E897" s="5">
        <v>199.15</v>
      </c>
      <c r="F897" s="5">
        <v>200.75</v>
      </c>
      <c r="G897" s="5">
        <v>3400</v>
      </c>
      <c r="I897" s="6">
        <v>41177</v>
      </c>
      <c r="J897" s="7">
        <v>0.66666666666666663</v>
      </c>
      <c r="K897" s="5">
        <v>9250</v>
      </c>
      <c r="L897" s="5">
        <v>9400</v>
      </c>
      <c r="M897" s="5">
        <v>9250</v>
      </c>
      <c r="N897" s="5">
        <v>9400</v>
      </c>
      <c r="O897" s="5">
        <v>180</v>
      </c>
      <c r="Q897" s="6">
        <v>39482</v>
      </c>
      <c r="R897" s="7">
        <v>0.66666666666666663</v>
      </c>
      <c r="S897" s="5">
        <v>276.25</v>
      </c>
      <c r="T897" s="5">
        <v>277.89999999999998</v>
      </c>
      <c r="U897" s="5">
        <v>273.7</v>
      </c>
      <c r="V897" s="5">
        <v>274.45</v>
      </c>
      <c r="W897" s="5">
        <v>3046300</v>
      </c>
      <c r="Y897" s="6">
        <f t="shared" si="26"/>
        <v>41177</v>
      </c>
      <c r="Z897" s="5">
        <f t="shared" si="27"/>
        <v>9400</v>
      </c>
      <c r="AA897" s="5">
        <v>125.54</v>
      </c>
      <c r="AB897" s="5">
        <v>194.53</v>
      </c>
    </row>
    <row r="898" spans="1:28" x14ac:dyDescent="0.3">
      <c r="A898" s="6">
        <v>39506</v>
      </c>
      <c r="B898" s="7">
        <v>0.66666666666666663</v>
      </c>
      <c r="C898" s="5">
        <v>200</v>
      </c>
      <c r="D898" s="5">
        <v>200</v>
      </c>
      <c r="E898" s="5">
        <v>198.1</v>
      </c>
      <c r="F898" s="5">
        <v>200</v>
      </c>
      <c r="G898" s="5">
        <v>4600</v>
      </c>
      <c r="I898" s="6">
        <v>41179</v>
      </c>
      <c r="J898" s="7">
        <v>0.66666666666666663</v>
      </c>
      <c r="K898" s="5">
        <v>9400</v>
      </c>
      <c r="L898" s="5">
        <v>9400</v>
      </c>
      <c r="M898" s="5">
        <v>9400</v>
      </c>
      <c r="N898" s="5">
        <v>9400</v>
      </c>
      <c r="O898" s="5">
        <v>20</v>
      </c>
      <c r="Q898" s="6">
        <v>39484</v>
      </c>
      <c r="R898" s="7">
        <v>0.66666666666666663</v>
      </c>
      <c r="S898" s="5">
        <v>274.45</v>
      </c>
      <c r="T898" s="5">
        <v>276.35000000000002</v>
      </c>
      <c r="U898" s="5">
        <v>274</v>
      </c>
      <c r="V898" s="5">
        <v>274.25</v>
      </c>
      <c r="W898" s="5">
        <v>2264500</v>
      </c>
      <c r="Y898" s="6">
        <f t="shared" si="26"/>
        <v>41179</v>
      </c>
      <c r="Z898" s="5">
        <f t="shared" si="27"/>
        <v>9400</v>
      </c>
      <c r="AA898" s="5">
        <v>126.03</v>
      </c>
      <c r="AB898" s="5">
        <v>201.56</v>
      </c>
    </row>
    <row r="899" spans="1:28" x14ac:dyDescent="0.3">
      <c r="A899" s="6">
        <v>39507</v>
      </c>
      <c r="B899" s="7">
        <v>0.66666666666666663</v>
      </c>
      <c r="C899" s="5">
        <v>199.95</v>
      </c>
      <c r="D899" s="5">
        <v>200</v>
      </c>
      <c r="E899" s="5">
        <v>198.3</v>
      </c>
      <c r="F899" s="5">
        <v>200</v>
      </c>
      <c r="G899" s="5">
        <v>2100</v>
      </c>
      <c r="I899" s="6">
        <v>41180</v>
      </c>
      <c r="J899" s="7">
        <v>0.66666666666666663</v>
      </c>
      <c r="K899" s="5">
        <v>9700</v>
      </c>
      <c r="L899" s="5">
        <v>9700</v>
      </c>
      <c r="M899" s="5">
        <v>9700</v>
      </c>
      <c r="N899" s="5">
        <v>9700</v>
      </c>
      <c r="O899" s="5">
        <v>1380</v>
      </c>
      <c r="Q899" s="6">
        <v>39485</v>
      </c>
      <c r="R899" s="7">
        <v>0.66666666666666663</v>
      </c>
      <c r="S899" s="5">
        <v>274.25</v>
      </c>
      <c r="T899" s="5">
        <v>275.35000000000002</v>
      </c>
      <c r="U899" s="5">
        <v>269.14999999999998</v>
      </c>
      <c r="V899" s="5">
        <v>269.8</v>
      </c>
      <c r="W899" s="5">
        <v>1893200</v>
      </c>
      <c r="Y899" s="6">
        <f t="shared" si="26"/>
        <v>41180</v>
      </c>
      <c r="Z899" s="5">
        <f t="shared" si="27"/>
        <v>9700</v>
      </c>
      <c r="AA899" s="5">
        <v>127.02</v>
      </c>
      <c r="AB899" s="5">
        <v>211.63</v>
      </c>
    </row>
    <row r="900" spans="1:28" x14ac:dyDescent="0.3">
      <c r="A900" s="6">
        <v>39510</v>
      </c>
      <c r="B900" s="7">
        <v>0.66666666666666663</v>
      </c>
      <c r="C900" s="5">
        <v>199.05</v>
      </c>
      <c r="D900" s="5">
        <v>199.05</v>
      </c>
      <c r="E900" s="5">
        <v>198</v>
      </c>
      <c r="F900" s="5">
        <v>198</v>
      </c>
      <c r="G900" s="5">
        <v>4000</v>
      </c>
      <c r="I900" s="6">
        <v>41183</v>
      </c>
      <c r="J900" s="7">
        <v>0.66666666666666663</v>
      </c>
      <c r="K900" s="5">
        <v>10000</v>
      </c>
      <c r="L900" s="5">
        <v>10000</v>
      </c>
      <c r="M900" s="5">
        <v>10000</v>
      </c>
      <c r="N900" s="5">
        <v>10000</v>
      </c>
      <c r="O900" s="5">
        <v>200</v>
      </c>
      <c r="Q900" s="6">
        <v>39486</v>
      </c>
      <c r="R900" s="7">
        <v>0.66666666666666663</v>
      </c>
      <c r="S900" s="5">
        <v>269.8</v>
      </c>
      <c r="T900" s="5">
        <v>273.75</v>
      </c>
      <c r="U900" s="5">
        <v>269.14999999999998</v>
      </c>
      <c r="V900" s="5">
        <v>270.25</v>
      </c>
      <c r="W900" s="5">
        <v>2865300</v>
      </c>
      <c r="Y900" s="6">
        <f t="shared" ref="Y900:Y963" si="28">I900</f>
        <v>41183</v>
      </c>
      <c r="Z900" s="5">
        <f t="shared" ref="Z900:Z963" si="29">N900</f>
        <v>10000</v>
      </c>
      <c r="AA900" s="5">
        <v>133.37</v>
      </c>
      <c r="AB900" s="5">
        <v>209</v>
      </c>
    </row>
    <row r="901" spans="1:28" x14ac:dyDescent="0.3">
      <c r="A901" s="6">
        <v>39511</v>
      </c>
      <c r="B901" s="7">
        <v>0.66666666666666663</v>
      </c>
      <c r="C901" s="5">
        <v>197.5</v>
      </c>
      <c r="D901" s="5">
        <v>197.8</v>
      </c>
      <c r="E901" s="5">
        <v>191</v>
      </c>
      <c r="F901" s="5">
        <v>194</v>
      </c>
      <c r="G901" s="5">
        <v>25900</v>
      </c>
      <c r="I901" s="6">
        <v>41185</v>
      </c>
      <c r="J901" s="7">
        <v>0.66666666666666663</v>
      </c>
      <c r="K901" s="5">
        <v>10000</v>
      </c>
      <c r="L901" s="5">
        <v>10500</v>
      </c>
      <c r="M901" s="5">
        <v>10000</v>
      </c>
      <c r="N901" s="5">
        <v>10500</v>
      </c>
      <c r="O901" s="5">
        <v>100</v>
      </c>
      <c r="Q901" s="6">
        <v>39489</v>
      </c>
      <c r="R901" s="7">
        <v>0.66666666666666663</v>
      </c>
      <c r="S901" s="5">
        <v>270.25</v>
      </c>
      <c r="T901" s="5">
        <v>270.45</v>
      </c>
      <c r="U901" s="5">
        <v>256.75</v>
      </c>
      <c r="V901" s="5">
        <v>258</v>
      </c>
      <c r="W901" s="5">
        <v>7239900</v>
      </c>
      <c r="Y901" s="6">
        <f t="shared" si="28"/>
        <v>41185</v>
      </c>
      <c r="Z901" s="5">
        <f t="shared" si="29"/>
        <v>10500</v>
      </c>
      <c r="AA901" s="5">
        <v>147.03</v>
      </c>
      <c r="AB901" s="5">
        <v>200.02</v>
      </c>
    </row>
    <row r="902" spans="1:28" x14ac:dyDescent="0.3">
      <c r="A902" s="6">
        <v>39512</v>
      </c>
      <c r="B902" s="7">
        <v>0.66666666666666663</v>
      </c>
      <c r="C902" s="5">
        <v>196.25</v>
      </c>
      <c r="D902" s="5">
        <v>197.75</v>
      </c>
      <c r="E902" s="5">
        <v>193</v>
      </c>
      <c r="F902" s="5">
        <v>194</v>
      </c>
      <c r="G902" s="5">
        <v>8200</v>
      </c>
      <c r="I902" s="6">
        <v>41186</v>
      </c>
      <c r="J902" s="7">
        <v>0.66666666666666663</v>
      </c>
      <c r="K902" s="5">
        <v>10100</v>
      </c>
      <c r="L902" s="5">
        <v>10400</v>
      </c>
      <c r="M902" s="5">
        <v>10000</v>
      </c>
      <c r="N902" s="5">
        <v>10000</v>
      </c>
      <c r="O902" s="5">
        <v>140</v>
      </c>
      <c r="Q902" s="6">
        <v>39490</v>
      </c>
      <c r="R902" s="7">
        <v>0.66666666666666663</v>
      </c>
      <c r="S902" s="5">
        <v>260.5</v>
      </c>
      <c r="T902" s="5">
        <v>264.39999999999998</v>
      </c>
      <c r="U902" s="5">
        <v>260.5</v>
      </c>
      <c r="V902" s="5">
        <v>262.3</v>
      </c>
      <c r="W902" s="5">
        <v>4444900</v>
      </c>
      <c r="Y902" s="6">
        <f t="shared" si="28"/>
        <v>41186</v>
      </c>
      <c r="Z902" s="5">
        <f t="shared" si="29"/>
        <v>10000</v>
      </c>
      <c r="AA902" s="5">
        <v>150.87</v>
      </c>
      <c r="AB902" s="5">
        <v>201.78</v>
      </c>
    </row>
    <row r="903" spans="1:28" x14ac:dyDescent="0.3">
      <c r="A903" s="6">
        <v>39513</v>
      </c>
      <c r="B903" s="7">
        <v>0.66666666666666663</v>
      </c>
      <c r="C903" s="5">
        <v>199</v>
      </c>
      <c r="D903" s="5">
        <v>199</v>
      </c>
      <c r="E903" s="5">
        <v>195</v>
      </c>
      <c r="F903" s="5">
        <v>195.1</v>
      </c>
      <c r="G903" s="5">
        <v>2700</v>
      </c>
      <c r="I903" s="6">
        <v>41191</v>
      </c>
      <c r="J903" s="7">
        <v>0.66666666666666663</v>
      </c>
      <c r="K903" s="5">
        <v>9600</v>
      </c>
      <c r="L903" s="5">
        <v>10195</v>
      </c>
      <c r="M903" s="5">
        <v>9600</v>
      </c>
      <c r="N903" s="5">
        <v>10195</v>
      </c>
      <c r="O903" s="5">
        <v>40</v>
      </c>
      <c r="Q903" s="6">
        <v>39491</v>
      </c>
      <c r="R903" s="7">
        <v>0.66666666666666663</v>
      </c>
      <c r="S903" s="5">
        <v>262.3</v>
      </c>
      <c r="T903" s="5">
        <v>266.60000000000002</v>
      </c>
      <c r="U903" s="5">
        <v>260.55</v>
      </c>
      <c r="V903" s="5">
        <v>263.25</v>
      </c>
      <c r="W903" s="5">
        <v>4179100</v>
      </c>
      <c r="Y903" s="6">
        <f t="shared" si="28"/>
        <v>41191</v>
      </c>
      <c r="Z903" s="5">
        <f t="shared" si="29"/>
        <v>10195</v>
      </c>
      <c r="AA903" s="5">
        <v>152.22</v>
      </c>
      <c r="AB903" s="5">
        <v>197.92</v>
      </c>
    </row>
    <row r="904" spans="1:28" x14ac:dyDescent="0.3">
      <c r="A904" s="6">
        <v>39514</v>
      </c>
      <c r="B904" s="7">
        <v>0.66666666666666663</v>
      </c>
      <c r="C904" s="5">
        <v>193</v>
      </c>
      <c r="D904" s="5">
        <v>194.5</v>
      </c>
      <c r="E904" s="5">
        <v>191</v>
      </c>
      <c r="F904" s="5">
        <v>192</v>
      </c>
      <c r="G904" s="5">
        <v>11900</v>
      </c>
      <c r="I904" s="6">
        <v>41192</v>
      </c>
      <c r="J904" s="7">
        <v>0.66666666666666663</v>
      </c>
      <c r="K904" s="5">
        <v>10195</v>
      </c>
      <c r="L904" s="5">
        <v>10195</v>
      </c>
      <c r="M904" s="5">
        <v>10195</v>
      </c>
      <c r="N904" s="5">
        <v>10195</v>
      </c>
      <c r="O904" s="5">
        <v>180</v>
      </c>
      <c r="Q904" s="6">
        <v>39492</v>
      </c>
      <c r="R904" s="7">
        <v>0.66666666666666663</v>
      </c>
      <c r="S904" s="5">
        <v>261.8</v>
      </c>
      <c r="T904" s="5">
        <v>261.8</v>
      </c>
      <c r="U904" s="5">
        <v>258.10000000000002</v>
      </c>
      <c r="V904" s="5">
        <v>258.5</v>
      </c>
      <c r="W904" s="5">
        <v>3194200</v>
      </c>
      <c r="Y904" s="6">
        <f t="shared" si="28"/>
        <v>41192</v>
      </c>
      <c r="Z904" s="5">
        <f t="shared" si="29"/>
        <v>10195</v>
      </c>
      <c r="AA904" s="5">
        <v>143.63999999999999</v>
      </c>
      <c r="AB904" s="5">
        <v>205.94</v>
      </c>
    </row>
    <row r="905" spans="1:28" x14ac:dyDescent="0.3">
      <c r="A905" s="6">
        <v>39517</v>
      </c>
      <c r="B905" s="7">
        <v>0.66666666666666663</v>
      </c>
      <c r="C905" s="5">
        <v>192.05</v>
      </c>
      <c r="D905" s="5">
        <v>193</v>
      </c>
      <c r="E905" s="5">
        <v>188.95</v>
      </c>
      <c r="F905" s="5">
        <v>190.5</v>
      </c>
      <c r="G905" s="5">
        <v>29000</v>
      </c>
      <c r="I905" s="6">
        <v>41193</v>
      </c>
      <c r="J905" s="7">
        <v>0.66666666666666663</v>
      </c>
      <c r="K905" s="5">
        <v>10100</v>
      </c>
      <c r="L905" s="5">
        <v>10195</v>
      </c>
      <c r="M905" s="5">
        <v>9750</v>
      </c>
      <c r="N905" s="5">
        <v>9750</v>
      </c>
      <c r="O905" s="5">
        <v>320</v>
      </c>
      <c r="Q905" s="6">
        <v>39493</v>
      </c>
      <c r="R905" s="7">
        <v>0.66666666666666663</v>
      </c>
      <c r="S905" s="5">
        <v>259.05</v>
      </c>
      <c r="T905" s="5">
        <v>267.35000000000002</v>
      </c>
      <c r="U905" s="5">
        <v>259.05</v>
      </c>
      <c r="V905" s="5">
        <v>260.25</v>
      </c>
      <c r="W905" s="5">
        <v>5571000</v>
      </c>
      <c r="Y905" s="6">
        <f t="shared" si="28"/>
        <v>41193</v>
      </c>
      <c r="Z905" s="5">
        <f t="shared" si="29"/>
        <v>9750</v>
      </c>
      <c r="AA905" s="5">
        <v>144</v>
      </c>
      <c r="AB905" s="5">
        <v>210.13</v>
      </c>
    </row>
    <row r="906" spans="1:28" x14ac:dyDescent="0.3">
      <c r="A906" s="6">
        <v>39518</v>
      </c>
      <c r="B906" s="7">
        <v>0.66666666666666663</v>
      </c>
      <c r="C906" s="5">
        <v>188</v>
      </c>
      <c r="D906" s="5">
        <v>190</v>
      </c>
      <c r="E906" s="5">
        <v>184</v>
      </c>
      <c r="F906" s="5">
        <v>184</v>
      </c>
      <c r="G906" s="5">
        <v>35300</v>
      </c>
      <c r="I906" s="6">
        <v>41194</v>
      </c>
      <c r="J906" s="7">
        <v>0.66666666666666663</v>
      </c>
      <c r="K906" s="5">
        <v>9400</v>
      </c>
      <c r="L906" s="5">
        <v>10000</v>
      </c>
      <c r="M906" s="5">
        <v>9400</v>
      </c>
      <c r="N906" s="5">
        <v>9536.6699000000008</v>
      </c>
      <c r="O906" s="5">
        <v>100</v>
      </c>
      <c r="Q906" s="6">
        <v>39497</v>
      </c>
      <c r="R906" s="7">
        <v>0.66666666666666663</v>
      </c>
      <c r="S906" s="5">
        <v>263</v>
      </c>
      <c r="T906" s="5">
        <v>269.7</v>
      </c>
      <c r="U906" s="5">
        <v>263</v>
      </c>
      <c r="V906" s="5">
        <v>267.60000000000002</v>
      </c>
      <c r="W906" s="5">
        <v>3996200</v>
      </c>
      <c r="Y906" s="6">
        <f t="shared" si="28"/>
        <v>41194</v>
      </c>
      <c r="Z906" s="5">
        <f t="shared" si="29"/>
        <v>9536.6699000000008</v>
      </c>
      <c r="AA906" s="5">
        <v>143.65</v>
      </c>
      <c r="AB906" s="5">
        <v>210.36</v>
      </c>
    </row>
    <row r="907" spans="1:28" x14ac:dyDescent="0.3">
      <c r="A907" s="6">
        <v>39519</v>
      </c>
      <c r="B907" s="7">
        <v>0.66666666666666663</v>
      </c>
      <c r="C907" s="5">
        <v>186.15</v>
      </c>
      <c r="D907" s="5">
        <v>188.8</v>
      </c>
      <c r="E907" s="5">
        <v>186</v>
      </c>
      <c r="F907" s="5">
        <v>188.8</v>
      </c>
      <c r="G907" s="5">
        <v>12700</v>
      </c>
      <c r="I907" s="6">
        <v>41197</v>
      </c>
      <c r="J907" s="7">
        <v>0.66666666666666663</v>
      </c>
      <c r="K907" s="5">
        <v>9536.6699000000008</v>
      </c>
      <c r="L907" s="5">
        <v>9949.9902000000002</v>
      </c>
      <c r="M907" s="5">
        <v>9536.6699000000008</v>
      </c>
      <c r="N907" s="5">
        <v>9941.6602000000003</v>
      </c>
      <c r="O907" s="5">
        <v>440</v>
      </c>
      <c r="Q907" s="6">
        <v>39498</v>
      </c>
      <c r="R907" s="7">
        <v>0.66666666666666663</v>
      </c>
      <c r="S907" s="5">
        <v>268.5</v>
      </c>
      <c r="T907" s="5">
        <v>275.75</v>
      </c>
      <c r="U907" s="5">
        <v>268.5</v>
      </c>
      <c r="V907" s="5">
        <v>269</v>
      </c>
      <c r="W907" s="5">
        <v>7582700</v>
      </c>
      <c r="Y907" s="6">
        <f t="shared" si="28"/>
        <v>41197</v>
      </c>
      <c r="Z907" s="5">
        <f t="shared" si="29"/>
        <v>9941.6602000000003</v>
      </c>
      <c r="AA907" s="5">
        <v>142.59</v>
      </c>
      <c r="AB907" s="5">
        <v>220.16</v>
      </c>
    </row>
    <row r="908" spans="1:28" x14ac:dyDescent="0.3">
      <c r="A908" s="6">
        <v>39520</v>
      </c>
      <c r="B908" s="7">
        <v>0.66666666666666663</v>
      </c>
      <c r="C908" s="5">
        <v>186</v>
      </c>
      <c r="D908" s="5">
        <v>191.5</v>
      </c>
      <c r="E908" s="5">
        <v>186</v>
      </c>
      <c r="F908" s="5">
        <v>187.9</v>
      </c>
      <c r="G908" s="5">
        <v>13000</v>
      </c>
      <c r="I908" s="6">
        <v>41198</v>
      </c>
      <c r="J908" s="7">
        <v>0.66666666666666663</v>
      </c>
      <c r="K908" s="5">
        <v>9700</v>
      </c>
      <c r="L908" s="5">
        <v>9900</v>
      </c>
      <c r="M908" s="5">
        <v>9700</v>
      </c>
      <c r="N908" s="5">
        <v>9900</v>
      </c>
      <c r="O908" s="5">
        <v>380</v>
      </c>
      <c r="Q908" s="6">
        <v>39499</v>
      </c>
      <c r="R908" s="7">
        <v>0.66666666666666663</v>
      </c>
      <c r="S908" s="5">
        <v>269</v>
      </c>
      <c r="T908" s="5">
        <v>272.45</v>
      </c>
      <c r="U908" s="5">
        <v>268.5</v>
      </c>
      <c r="V908" s="5">
        <v>269.95</v>
      </c>
      <c r="W908" s="5">
        <v>3710800</v>
      </c>
      <c r="Y908" s="6">
        <f t="shared" si="28"/>
        <v>41198</v>
      </c>
      <c r="Z908" s="5">
        <f t="shared" si="29"/>
        <v>9900</v>
      </c>
      <c r="AA908" s="5">
        <v>146.94</v>
      </c>
      <c r="AB908" s="5">
        <v>210.15</v>
      </c>
    </row>
    <row r="909" spans="1:28" x14ac:dyDescent="0.3">
      <c r="A909" s="6">
        <v>39521</v>
      </c>
      <c r="B909" s="7">
        <v>0.66666666666666663</v>
      </c>
      <c r="C909" s="5">
        <v>187</v>
      </c>
      <c r="D909" s="5">
        <v>189.15</v>
      </c>
      <c r="E909" s="5">
        <v>187</v>
      </c>
      <c r="F909" s="5">
        <v>189.15</v>
      </c>
      <c r="G909" s="5">
        <v>2700</v>
      </c>
      <c r="I909" s="6">
        <v>41200</v>
      </c>
      <c r="J909" s="7">
        <v>0.66666666666666663</v>
      </c>
      <c r="K909" s="5">
        <v>9700</v>
      </c>
      <c r="L909" s="5">
        <v>9900</v>
      </c>
      <c r="M909" s="5">
        <v>9700</v>
      </c>
      <c r="N909" s="5">
        <v>9700.0097999999998</v>
      </c>
      <c r="O909" s="5">
        <v>460</v>
      </c>
      <c r="Q909" s="6">
        <v>39500</v>
      </c>
      <c r="R909" s="7">
        <v>0.66666666666666663</v>
      </c>
      <c r="S909" s="5">
        <v>269.95</v>
      </c>
      <c r="T909" s="5">
        <v>272.10000000000002</v>
      </c>
      <c r="U909" s="5">
        <v>260.10000000000002</v>
      </c>
      <c r="V909" s="5">
        <v>260.89999999999998</v>
      </c>
      <c r="W909" s="5">
        <v>4052900</v>
      </c>
      <c r="Y909" s="6">
        <f t="shared" si="28"/>
        <v>41200</v>
      </c>
      <c r="Z909" s="5">
        <f t="shared" si="29"/>
        <v>9700.0097999999998</v>
      </c>
      <c r="AA909" s="5">
        <v>154.09</v>
      </c>
      <c r="AB909" s="5">
        <v>210.17</v>
      </c>
    </row>
    <row r="910" spans="1:28" x14ac:dyDescent="0.3">
      <c r="A910" s="6">
        <v>39524</v>
      </c>
      <c r="B910" s="7">
        <v>0.66666666666666663</v>
      </c>
      <c r="C910" s="5">
        <v>189</v>
      </c>
      <c r="D910" s="5">
        <v>189</v>
      </c>
      <c r="E910" s="5">
        <v>187</v>
      </c>
      <c r="F910" s="5">
        <v>187.15</v>
      </c>
      <c r="G910" s="5">
        <v>7300</v>
      </c>
      <c r="I910" s="6">
        <v>41201</v>
      </c>
      <c r="J910" s="7">
        <v>0.66666666666666663</v>
      </c>
      <c r="K910" s="5">
        <v>9900</v>
      </c>
      <c r="L910" s="5">
        <v>10000</v>
      </c>
      <c r="M910" s="5">
        <v>9900</v>
      </c>
      <c r="N910" s="5">
        <v>10000</v>
      </c>
      <c r="O910" s="5">
        <v>80</v>
      </c>
      <c r="Q910" s="6">
        <v>39503</v>
      </c>
      <c r="R910" s="7">
        <v>0.66666666666666663</v>
      </c>
      <c r="S910" s="5">
        <v>261</v>
      </c>
      <c r="T910" s="5">
        <v>265.89999999999998</v>
      </c>
      <c r="U910" s="5">
        <v>261</v>
      </c>
      <c r="V910" s="5">
        <v>261.95</v>
      </c>
      <c r="W910" s="5">
        <v>2505800</v>
      </c>
      <c r="Y910" s="6">
        <f t="shared" si="28"/>
        <v>41201</v>
      </c>
      <c r="Z910" s="5">
        <f t="shared" si="29"/>
        <v>10000</v>
      </c>
      <c r="AA910" s="5">
        <v>161.79</v>
      </c>
      <c r="AB910" s="5">
        <v>210.67</v>
      </c>
    </row>
    <row r="911" spans="1:28" x14ac:dyDescent="0.3">
      <c r="A911" s="6">
        <v>39525</v>
      </c>
      <c r="B911" s="7">
        <v>0.66666666666666663</v>
      </c>
      <c r="C911" s="5">
        <v>187.05</v>
      </c>
      <c r="D911" s="5">
        <v>188</v>
      </c>
      <c r="E911" s="5">
        <v>183</v>
      </c>
      <c r="F911" s="5">
        <v>188</v>
      </c>
      <c r="G911" s="5">
        <v>7000</v>
      </c>
      <c r="I911" s="6">
        <v>41204</v>
      </c>
      <c r="J911" s="7">
        <v>0.66666666666666663</v>
      </c>
      <c r="K911" s="5">
        <v>10000</v>
      </c>
      <c r="L911" s="5">
        <v>10000</v>
      </c>
      <c r="M911" s="5">
        <v>9700</v>
      </c>
      <c r="N911" s="5">
        <v>9709.2001999999993</v>
      </c>
      <c r="O911" s="5">
        <v>920</v>
      </c>
      <c r="Q911" s="6">
        <v>39504</v>
      </c>
      <c r="R911" s="7">
        <v>0.66666666666666663</v>
      </c>
      <c r="S911" s="5">
        <v>261.95</v>
      </c>
      <c r="T911" s="5">
        <v>265.75</v>
      </c>
      <c r="U911" s="5">
        <v>260</v>
      </c>
      <c r="V911" s="5">
        <v>265.3</v>
      </c>
      <c r="W911" s="5">
        <v>1842200</v>
      </c>
      <c r="Y911" s="6">
        <f t="shared" si="28"/>
        <v>41204</v>
      </c>
      <c r="Z911" s="5">
        <f t="shared" si="29"/>
        <v>9709.2001999999993</v>
      </c>
      <c r="AA911" s="5">
        <v>169.47</v>
      </c>
      <c r="AB911" s="5">
        <v>210.11</v>
      </c>
    </row>
    <row r="912" spans="1:28" x14ac:dyDescent="0.3">
      <c r="A912" s="6">
        <v>39526</v>
      </c>
      <c r="B912" s="7">
        <v>0.66666666666666663</v>
      </c>
      <c r="C912" s="5">
        <v>189.9</v>
      </c>
      <c r="D912" s="5">
        <v>189.9</v>
      </c>
      <c r="E912" s="5">
        <v>186.55</v>
      </c>
      <c r="F912" s="5">
        <v>187</v>
      </c>
      <c r="G912" s="5">
        <v>6000</v>
      </c>
      <c r="I912" s="6">
        <v>41206</v>
      </c>
      <c r="J912" s="7">
        <v>0.66666666666666663</v>
      </c>
      <c r="K912" s="5">
        <v>9760</v>
      </c>
      <c r="L912" s="5">
        <v>9760</v>
      </c>
      <c r="M912" s="5">
        <v>9225</v>
      </c>
      <c r="N912" s="5">
        <v>9498.0400000000009</v>
      </c>
      <c r="O912" s="5">
        <v>560</v>
      </c>
      <c r="Q912" s="6">
        <v>39505</v>
      </c>
      <c r="R912" s="7">
        <v>0.66666666666666663</v>
      </c>
      <c r="S912" s="5">
        <v>266.5</v>
      </c>
      <c r="T912" s="5">
        <v>277.7</v>
      </c>
      <c r="U912" s="5">
        <v>266.5</v>
      </c>
      <c r="V912" s="5">
        <v>274.25</v>
      </c>
      <c r="W912" s="5">
        <v>10468400</v>
      </c>
      <c r="Y912" s="6">
        <f t="shared" si="28"/>
        <v>41206</v>
      </c>
      <c r="Z912" s="5">
        <f t="shared" si="29"/>
        <v>9498.0400000000009</v>
      </c>
      <c r="AA912" s="5">
        <v>169.65</v>
      </c>
      <c r="AB912" s="5">
        <v>210.01</v>
      </c>
    </row>
    <row r="913" spans="1:28" x14ac:dyDescent="0.3">
      <c r="A913" s="6">
        <v>39527</v>
      </c>
      <c r="B913" s="7">
        <v>0.66666666666666663</v>
      </c>
      <c r="C913" s="5">
        <v>192</v>
      </c>
      <c r="D913" s="5">
        <v>192</v>
      </c>
      <c r="E913" s="5">
        <v>185</v>
      </c>
      <c r="F913" s="5">
        <v>188</v>
      </c>
      <c r="G913" s="5">
        <v>3200</v>
      </c>
      <c r="I913" s="6">
        <v>41214</v>
      </c>
      <c r="J913" s="7">
        <v>0.66666666666666663</v>
      </c>
      <c r="K913" s="5">
        <v>9510</v>
      </c>
      <c r="L913" s="5">
        <v>9510</v>
      </c>
      <c r="M913" s="5">
        <v>9510</v>
      </c>
      <c r="N913" s="5">
        <v>9510</v>
      </c>
      <c r="O913" s="5">
        <v>40</v>
      </c>
      <c r="Q913" s="6">
        <v>39506</v>
      </c>
      <c r="R913" s="7">
        <v>0.66666666666666663</v>
      </c>
      <c r="S913" s="5">
        <v>274.25</v>
      </c>
      <c r="T913" s="5">
        <v>277</v>
      </c>
      <c r="U913" s="5">
        <v>271</v>
      </c>
      <c r="V913" s="5">
        <v>272</v>
      </c>
      <c r="W913" s="5">
        <v>2246400</v>
      </c>
      <c r="Y913" s="6">
        <f t="shared" si="28"/>
        <v>41214</v>
      </c>
      <c r="Z913" s="5">
        <f t="shared" si="29"/>
        <v>9510</v>
      </c>
      <c r="AA913" s="5">
        <v>164.98</v>
      </c>
      <c r="AB913" s="5">
        <v>215.1</v>
      </c>
    </row>
    <row r="914" spans="1:28" x14ac:dyDescent="0.3">
      <c r="A914" s="6">
        <v>39531</v>
      </c>
      <c r="B914" s="7">
        <v>0.66666666666666663</v>
      </c>
      <c r="C914" s="5">
        <v>189.95</v>
      </c>
      <c r="D914" s="5">
        <v>189.95</v>
      </c>
      <c r="E914" s="5">
        <v>186</v>
      </c>
      <c r="F914" s="5">
        <v>188</v>
      </c>
      <c r="G914" s="5">
        <v>3600</v>
      </c>
      <c r="I914" s="6">
        <v>41215</v>
      </c>
      <c r="J914" s="7">
        <v>0.66666666666666663</v>
      </c>
      <c r="K914" s="5">
        <v>9985.5</v>
      </c>
      <c r="L914" s="5">
        <v>9985.5</v>
      </c>
      <c r="M914" s="5">
        <v>9985</v>
      </c>
      <c r="N914" s="5">
        <v>9985.2998000000007</v>
      </c>
      <c r="O914" s="5">
        <v>100</v>
      </c>
      <c r="Q914" s="6">
        <v>39507</v>
      </c>
      <c r="R914" s="7">
        <v>0.66666666666666663</v>
      </c>
      <c r="S914" s="5">
        <v>272</v>
      </c>
      <c r="T914" s="5">
        <v>274.5</v>
      </c>
      <c r="U914" s="5">
        <v>270.89999999999998</v>
      </c>
      <c r="V914" s="5">
        <v>273</v>
      </c>
      <c r="W914" s="5">
        <v>2222300</v>
      </c>
      <c r="Y914" s="6">
        <f t="shared" si="28"/>
        <v>41215</v>
      </c>
      <c r="Z914" s="5">
        <f t="shared" si="29"/>
        <v>9985.2998000000007</v>
      </c>
      <c r="AA914" s="5">
        <v>162.69</v>
      </c>
      <c r="AB914" s="5">
        <v>217.46</v>
      </c>
    </row>
    <row r="915" spans="1:28" x14ac:dyDescent="0.3">
      <c r="A915" s="6">
        <v>39532</v>
      </c>
      <c r="B915" s="7">
        <v>0.66666666666666663</v>
      </c>
      <c r="C915" s="5">
        <v>188</v>
      </c>
      <c r="D915" s="5">
        <v>188</v>
      </c>
      <c r="E915" s="5">
        <v>185</v>
      </c>
      <c r="F915" s="5">
        <v>188</v>
      </c>
      <c r="G915" s="5">
        <v>8700</v>
      </c>
      <c r="I915" s="6">
        <v>41218</v>
      </c>
      <c r="J915" s="7">
        <v>0.66666666666666663</v>
      </c>
      <c r="K915" s="5">
        <v>9999.9902000000002</v>
      </c>
      <c r="L915" s="5">
        <v>10000</v>
      </c>
      <c r="M915" s="5">
        <v>9700</v>
      </c>
      <c r="N915" s="5">
        <v>9849.5</v>
      </c>
      <c r="O915" s="5">
        <v>380</v>
      </c>
      <c r="Q915" s="6">
        <v>39510</v>
      </c>
      <c r="R915" s="7">
        <v>0.66666666666666663</v>
      </c>
      <c r="S915" s="5">
        <v>273</v>
      </c>
      <c r="T915" s="5">
        <v>275</v>
      </c>
      <c r="U915" s="5">
        <v>269.25</v>
      </c>
      <c r="V915" s="5">
        <v>274.45</v>
      </c>
      <c r="W915" s="5">
        <v>3673700</v>
      </c>
      <c r="Y915" s="6">
        <f t="shared" si="28"/>
        <v>41218</v>
      </c>
      <c r="Z915" s="5">
        <f t="shared" si="29"/>
        <v>9849.5</v>
      </c>
      <c r="AA915" s="5">
        <v>156.91</v>
      </c>
      <c r="AB915" s="5">
        <v>220.02</v>
      </c>
    </row>
    <row r="916" spans="1:28" x14ac:dyDescent="0.3">
      <c r="A916" s="6">
        <v>39533</v>
      </c>
      <c r="B916" s="7">
        <v>0.66666666666666663</v>
      </c>
      <c r="C916" s="5">
        <v>185</v>
      </c>
      <c r="D916" s="5">
        <v>186.9</v>
      </c>
      <c r="E916" s="5">
        <v>182</v>
      </c>
      <c r="F916" s="5">
        <v>186.6</v>
      </c>
      <c r="G916" s="5">
        <v>9400</v>
      </c>
      <c r="I916" s="6">
        <v>41219</v>
      </c>
      <c r="J916" s="7">
        <v>0.66666666666666663</v>
      </c>
      <c r="K916" s="5">
        <v>9500.0097999999998</v>
      </c>
      <c r="L916" s="5">
        <v>9601</v>
      </c>
      <c r="M916" s="5">
        <v>9500</v>
      </c>
      <c r="N916" s="5">
        <v>9600.5</v>
      </c>
      <c r="O916" s="5">
        <v>4500</v>
      </c>
      <c r="Q916" s="6">
        <v>39511</v>
      </c>
      <c r="R916" s="7">
        <v>0.66666666666666663</v>
      </c>
      <c r="S916" s="5">
        <v>274.45</v>
      </c>
      <c r="T916" s="5">
        <v>278</v>
      </c>
      <c r="U916" s="5">
        <v>266.75</v>
      </c>
      <c r="V916" s="5">
        <v>271.39999999999998</v>
      </c>
      <c r="W916" s="5">
        <v>3227200</v>
      </c>
      <c r="Y916" s="6">
        <f t="shared" si="28"/>
        <v>41219</v>
      </c>
      <c r="Z916" s="5">
        <f t="shared" si="29"/>
        <v>9600.5</v>
      </c>
      <c r="AA916" s="5">
        <v>152.38</v>
      </c>
      <c r="AB916" s="5">
        <v>223.71</v>
      </c>
    </row>
    <row r="917" spans="1:28" x14ac:dyDescent="0.3">
      <c r="A917" s="6">
        <v>39534</v>
      </c>
      <c r="B917" s="7">
        <v>0.66666666666666663</v>
      </c>
      <c r="C917" s="5">
        <v>183.1</v>
      </c>
      <c r="D917" s="5">
        <v>184.2</v>
      </c>
      <c r="E917" s="5">
        <v>180</v>
      </c>
      <c r="F917" s="5">
        <v>184</v>
      </c>
      <c r="G917" s="5">
        <v>22000</v>
      </c>
      <c r="I917" s="6">
        <v>41220</v>
      </c>
      <c r="J917" s="7">
        <v>0.66666666666666663</v>
      </c>
      <c r="K917" s="5">
        <v>9799</v>
      </c>
      <c r="L917" s="5">
        <v>9799</v>
      </c>
      <c r="M917" s="5">
        <v>9774.9902000000002</v>
      </c>
      <c r="N917" s="5">
        <v>9774.9902000000002</v>
      </c>
      <c r="O917" s="5">
        <v>40</v>
      </c>
      <c r="Q917" s="6">
        <v>39512</v>
      </c>
      <c r="R917" s="7">
        <v>0.66666666666666663</v>
      </c>
      <c r="S917" s="5">
        <v>271.95</v>
      </c>
      <c r="T917" s="5">
        <v>274.25</v>
      </c>
      <c r="U917" s="5">
        <v>271.95</v>
      </c>
      <c r="V917" s="5">
        <v>272.85000000000002</v>
      </c>
      <c r="W917" s="5">
        <v>1347300</v>
      </c>
      <c r="Y917" s="6">
        <f t="shared" si="28"/>
        <v>41220</v>
      </c>
      <c r="Z917" s="5">
        <f t="shared" si="29"/>
        <v>9774.9902000000002</v>
      </c>
      <c r="AA917" s="5">
        <v>159.99</v>
      </c>
      <c r="AB917" s="5">
        <v>225.55</v>
      </c>
    </row>
    <row r="918" spans="1:28" x14ac:dyDescent="0.3">
      <c r="A918" s="6">
        <v>39535</v>
      </c>
      <c r="B918" s="7">
        <v>0.66666666666666663</v>
      </c>
      <c r="C918" s="5">
        <v>184</v>
      </c>
      <c r="D918" s="5">
        <v>184.95</v>
      </c>
      <c r="E918" s="5">
        <v>180.75</v>
      </c>
      <c r="F918" s="5">
        <v>183.9</v>
      </c>
      <c r="G918" s="5">
        <v>7200</v>
      </c>
      <c r="I918" s="6">
        <v>41221</v>
      </c>
      <c r="J918" s="7">
        <v>0.66666666666666663</v>
      </c>
      <c r="K918" s="5">
        <v>9501</v>
      </c>
      <c r="L918" s="5">
        <v>9501</v>
      </c>
      <c r="M918" s="5">
        <v>9501</v>
      </c>
      <c r="N918" s="5">
        <v>9501</v>
      </c>
      <c r="O918" s="5">
        <v>20</v>
      </c>
      <c r="Q918" s="6">
        <v>39513</v>
      </c>
      <c r="R918" s="7">
        <v>0.66666666666666663</v>
      </c>
      <c r="S918" s="5">
        <v>272.85000000000002</v>
      </c>
      <c r="T918" s="5">
        <v>275</v>
      </c>
      <c r="U918" s="5">
        <v>270.05</v>
      </c>
      <c r="V918" s="5">
        <v>271.25</v>
      </c>
      <c r="W918" s="5">
        <v>1422700</v>
      </c>
      <c r="Y918" s="6">
        <f t="shared" si="28"/>
        <v>41221</v>
      </c>
      <c r="Z918" s="5">
        <f t="shared" si="29"/>
        <v>9501</v>
      </c>
      <c r="AA918" s="5">
        <v>167.6</v>
      </c>
      <c r="AB918" s="5">
        <v>227.28</v>
      </c>
    </row>
    <row r="919" spans="1:28" x14ac:dyDescent="0.3">
      <c r="A919" s="6">
        <v>39538</v>
      </c>
      <c r="B919" s="7">
        <v>0.66666666666666663</v>
      </c>
      <c r="C919" s="5">
        <v>183</v>
      </c>
      <c r="D919" s="5">
        <v>183</v>
      </c>
      <c r="E919" s="5">
        <v>180</v>
      </c>
      <c r="F919" s="5">
        <v>182.4</v>
      </c>
      <c r="G919" s="5">
        <v>4700</v>
      </c>
      <c r="I919" s="6">
        <v>41227</v>
      </c>
      <c r="J919" s="7">
        <v>0.66666666666666663</v>
      </c>
      <c r="K919" s="5">
        <v>9501</v>
      </c>
      <c r="L919" s="5">
        <v>9650</v>
      </c>
      <c r="M919" s="5">
        <v>9300</v>
      </c>
      <c r="N919" s="5">
        <v>9501</v>
      </c>
      <c r="O919" s="5">
        <v>300</v>
      </c>
      <c r="Q919" s="6">
        <v>39514</v>
      </c>
      <c r="R919" s="7">
        <v>0.66666666666666663</v>
      </c>
      <c r="S919" s="5">
        <v>271.25</v>
      </c>
      <c r="T919" s="5">
        <v>272.39999999999998</v>
      </c>
      <c r="U919" s="5">
        <v>267.75</v>
      </c>
      <c r="V919" s="5">
        <v>268.10000000000002</v>
      </c>
      <c r="W919" s="5">
        <v>988800</v>
      </c>
      <c r="Y919" s="6">
        <f t="shared" si="28"/>
        <v>41227</v>
      </c>
      <c r="Z919" s="5">
        <f t="shared" si="29"/>
        <v>9501</v>
      </c>
      <c r="AA919" s="5">
        <v>168.75</v>
      </c>
      <c r="AB919" s="5">
        <v>226.69</v>
      </c>
    </row>
    <row r="920" spans="1:28" x14ac:dyDescent="0.3">
      <c r="A920" s="6">
        <v>39539</v>
      </c>
      <c r="B920" s="7">
        <v>0.66666666666666663</v>
      </c>
      <c r="C920" s="5">
        <v>180.25</v>
      </c>
      <c r="D920" s="5">
        <v>183</v>
      </c>
      <c r="E920" s="5">
        <v>180</v>
      </c>
      <c r="F920" s="5">
        <v>181.25</v>
      </c>
      <c r="G920" s="5">
        <v>6000</v>
      </c>
      <c r="I920" s="6">
        <v>41232</v>
      </c>
      <c r="J920" s="7">
        <v>0.66666666666666663</v>
      </c>
      <c r="K920" s="5">
        <v>9501</v>
      </c>
      <c r="L920" s="5">
        <v>9501</v>
      </c>
      <c r="M920" s="5">
        <v>9501</v>
      </c>
      <c r="N920" s="5">
        <v>9501</v>
      </c>
      <c r="O920" s="5">
        <v>20</v>
      </c>
      <c r="Q920" s="6">
        <v>39517</v>
      </c>
      <c r="R920" s="7">
        <v>0.66666666666666663</v>
      </c>
      <c r="S920" s="5">
        <v>268.10000000000002</v>
      </c>
      <c r="T920" s="5">
        <v>269.45</v>
      </c>
      <c r="U920" s="5">
        <v>263.14999999999998</v>
      </c>
      <c r="V920" s="5">
        <v>263.2</v>
      </c>
      <c r="W920" s="5">
        <v>470900</v>
      </c>
      <c r="Y920" s="6">
        <f t="shared" si="28"/>
        <v>41232</v>
      </c>
      <c r="Z920" s="5">
        <f t="shared" si="29"/>
        <v>9501</v>
      </c>
      <c r="AA920" s="5">
        <v>166.63</v>
      </c>
      <c r="AB920" s="5">
        <v>226.71</v>
      </c>
    </row>
    <row r="921" spans="1:28" x14ac:dyDescent="0.3">
      <c r="A921" s="6">
        <v>39540</v>
      </c>
      <c r="B921" s="7">
        <v>0.66666666666666663</v>
      </c>
      <c r="C921" s="5">
        <v>180.85</v>
      </c>
      <c r="D921" s="5">
        <v>183</v>
      </c>
      <c r="E921" s="5">
        <v>180.8</v>
      </c>
      <c r="F921" s="5">
        <v>182</v>
      </c>
      <c r="G921" s="5">
        <v>4200</v>
      </c>
      <c r="I921" s="6">
        <v>41233</v>
      </c>
      <c r="J921" s="7">
        <v>0.66666666666666663</v>
      </c>
      <c r="K921" s="5">
        <v>9600</v>
      </c>
      <c r="L921" s="5">
        <v>9600</v>
      </c>
      <c r="M921" s="5">
        <v>9600</v>
      </c>
      <c r="N921" s="5">
        <v>9600</v>
      </c>
      <c r="O921" s="5">
        <v>20</v>
      </c>
      <c r="Q921" s="6">
        <v>39518</v>
      </c>
      <c r="R921" s="7">
        <v>0.66666666666666663</v>
      </c>
      <c r="S921" s="5">
        <v>263.2</v>
      </c>
      <c r="T921" s="5">
        <v>265</v>
      </c>
      <c r="U921" s="5">
        <v>261</v>
      </c>
      <c r="V921" s="5">
        <v>264.05</v>
      </c>
      <c r="W921" s="5">
        <v>729400</v>
      </c>
      <c r="Y921" s="6">
        <f t="shared" si="28"/>
        <v>41233</v>
      </c>
      <c r="Z921" s="5">
        <f t="shared" si="29"/>
        <v>9600</v>
      </c>
      <c r="AA921" s="5">
        <v>165.5</v>
      </c>
      <c r="AB921" s="5">
        <v>226.67</v>
      </c>
    </row>
    <row r="922" spans="1:28" x14ac:dyDescent="0.3">
      <c r="A922" s="6">
        <v>39541</v>
      </c>
      <c r="B922" s="7">
        <v>0.66666666666666663</v>
      </c>
      <c r="C922" s="5">
        <v>181.05</v>
      </c>
      <c r="D922" s="5">
        <v>182.9</v>
      </c>
      <c r="E922" s="5">
        <v>181</v>
      </c>
      <c r="F922" s="5">
        <v>182</v>
      </c>
      <c r="G922" s="5">
        <v>8400</v>
      </c>
      <c r="I922" s="6">
        <v>41234</v>
      </c>
      <c r="J922" s="7">
        <v>0.66666666666666663</v>
      </c>
      <c r="K922" s="5">
        <v>9300</v>
      </c>
      <c r="L922" s="5">
        <v>9600</v>
      </c>
      <c r="M922" s="5">
        <v>9300</v>
      </c>
      <c r="N922" s="5">
        <v>9596.6699000000008</v>
      </c>
      <c r="O922" s="5">
        <v>180</v>
      </c>
      <c r="Q922" s="6">
        <v>39519</v>
      </c>
      <c r="R922" s="7">
        <v>0.66666666666666663</v>
      </c>
      <c r="S922" s="5">
        <v>265</v>
      </c>
      <c r="T922" s="5">
        <v>269</v>
      </c>
      <c r="U922" s="5">
        <v>265</v>
      </c>
      <c r="V922" s="5">
        <v>267.45</v>
      </c>
      <c r="W922" s="5">
        <v>1152700</v>
      </c>
      <c r="Y922" s="6">
        <f t="shared" si="28"/>
        <v>41234</v>
      </c>
      <c r="Z922" s="5">
        <f t="shared" si="29"/>
        <v>9596.6699000000008</v>
      </c>
      <c r="AA922" s="5">
        <v>167.58</v>
      </c>
      <c r="AB922" s="5">
        <v>226.89</v>
      </c>
    </row>
    <row r="923" spans="1:28" x14ac:dyDescent="0.3">
      <c r="A923" s="6">
        <v>39542</v>
      </c>
      <c r="B923" s="7">
        <v>0.66666666666666663</v>
      </c>
      <c r="C923" s="5">
        <v>182.95</v>
      </c>
      <c r="D923" s="5">
        <v>186.5</v>
      </c>
      <c r="E923" s="5">
        <v>182.1</v>
      </c>
      <c r="F923" s="5">
        <v>184</v>
      </c>
      <c r="G923" s="5">
        <v>26900</v>
      </c>
      <c r="I923" s="6">
        <v>41235</v>
      </c>
      <c r="J923" s="7">
        <v>0.66666666666666663</v>
      </c>
      <c r="K923" s="5">
        <v>9650</v>
      </c>
      <c r="L923" s="5">
        <v>9650</v>
      </c>
      <c r="M923" s="5">
        <v>9650</v>
      </c>
      <c r="N923" s="5">
        <v>9650</v>
      </c>
      <c r="O923" s="5">
        <v>20</v>
      </c>
      <c r="Q923" s="6">
        <v>39520</v>
      </c>
      <c r="R923" s="7">
        <v>0.66666666666666663</v>
      </c>
      <c r="S923" s="5">
        <v>267.45</v>
      </c>
      <c r="T923" s="5">
        <v>269.35000000000002</v>
      </c>
      <c r="U923" s="5">
        <v>263</v>
      </c>
      <c r="V923" s="5">
        <v>263.89999999999998</v>
      </c>
      <c r="W923" s="5">
        <v>589100</v>
      </c>
      <c r="Y923" s="6">
        <f t="shared" si="28"/>
        <v>41235</v>
      </c>
      <c r="Z923" s="5">
        <f t="shared" si="29"/>
        <v>9650</v>
      </c>
      <c r="AA923" s="5">
        <v>166.58</v>
      </c>
      <c r="AB923" s="5">
        <v>227</v>
      </c>
    </row>
    <row r="924" spans="1:28" x14ac:dyDescent="0.3">
      <c r="A924" s="6">
        <v>39545</v>
      </c>
      <c r="B924" s="7">
        <v>0.66666666666666663</v>
      </c>
      <c r="C924" s="5">
        <v>185</v>
      </c>
      <c r="D924" s="5">
        <v>186.8</v>
      </c>
      <c r="E924" s="5">
        <v>184</v>
      </c>
      <c r="F924" s="5">
        <v>185</v>
      </c>
      <c r="G924" s="5">
        <v>12200</v>
      </c>
      <c r="I924" s="6">
        <v>41240</v>
      </c>
      <c r="J924" s="7">
        <v>0.66666666666666663</v>
      </c>
      <c r="K924" s="5">
        <v>9750</v>
      </c>
      <c r="L924" s="5">
        <v>9750</v>
      </c>
      <c r="M924" s="5">
        <v>9700</v>
      </c>
      <c r="N924" s="5">
        <v>9700</v>
      </c>
      <c r="O924" s="5">
        <v>40</v>
      </c>
      <c r="Q924" s="6">
        <v>39521</v>
      </c>
      <c r="R924" s="7">
        <v>0.66666666666666663</v>
      </c>
      <c r="S924" s="5">
        <v>263.89999999999998</v>
      </c>
      <c r="T924" s="5">
        <v>264.5</v>
      </c>
      <c r="U924" s="5">
        <v>260</v>
      </c>
      <c r="V924" s="5">
        <v>262</v>
      </c>
      <c r="W924" s="5">
        <v>342900</v>
      </c>
      <c r="Y924" s="6">
        <f t="shared" si="28"/>
        <v>41240</v>
      </c>
      <c r="Z924" s="5">
        <f t="shared" si="29"/>
        <v>9700</v>
      </c>
      <c r="AA924" s="5">
        <v>164.42</v>
      </c>
      <c r="AB924" s="5">
        <v>226</v>
      </c>
    </row>
    <row r="925" spans="1:28" x14ac:dyDescent="0.3">
      <c r="A925" s="6">
        <v>39546</v>
      </c>
      <c r="B925" s="7">
        <v>0.66666666666666663</v>
      </c>
      <c r="C925" s="5">
        <v>184</v>
      </c>
      <c r="D925" s="5">
        <v>186</v>
      </c>
      <c r="E925" s="5">
        <v>184</v>
      </c>
      <c r="F925" s="5">
        <v>185</v>
      </c>
      <c r="G925" s="5">
        <v>3600</v>
      </c>
      <c r="I925" s="6">
        <v>41241</v>
      </c>
      <c r="J925" s="7">
        <v>0.66666666666666663</v>
      </c>
      <c r="K925" s="5">
        <v>10185</v>
      </c>
      <c r="L925" s="5">
        <v>10185</v>
      </c>
      <c r="M925" s="5">
        <v>10185</v>
      </c>
      <c r="N925" s="5">
        <v>10185</v>
      </c>
      <c r="O925" s="5">
        <v>3460</v>
      </c>
      <c r="Q925" s="6">
        <v>39524</v>
      </c>
      <c r="R925" s="7">
        <v>0.66666666666666663</v>
      </c>
      <c r="S925" s="5">
        <v>262</v>
      </c>
      <c r="T925" s="5">
        <v>263.45</v>
      </c>
      <c r="U925" s="5">
        <v>256</v>
      </c>
      <c r="V925" s="5">
        <v>257.95</v>
      </c>
      <c r="W925" s="5">
        <v>411800</v>
      </c>
      <c r="Y925" s="6">
        <f t="shared" si="28"/>
        <v>41241</v>
      </c>
      <c r="Z925" s="5">
        <f t="shared" si="29"/>
        <v>10185</v>
      </c>
      <c r="AA925" s="5">
        <v>163.16</v>
      </c>
      <c r="AB925" s="5">
        <v>226</v>
      </c>
    </row>
    <row r="926" spans="1:28" x14ac:dyDescent="0.3">
      <c r="A926" s="6">
        <v>39547</v>
      </c>
      <c r="B926" s="7">
        <v>0.66666666666666663</v>
      </c>
      <c r="C926" s="5">
        <v>185.25</v>
      </c>
      <c r="D926" s="5">
        <v>185.5</v>
      </c>
      <c r="E926" s="5">
        <v>183</v>
      </c>
      <c r="F926" s="5">
        <v>183.2</v>
      </c>
      <c r="G926" s="5">
        <v>8400</v>
      </c>
      <c r="I926" s="6">
        <v>41242</v>
      </c>
      <c r="J926" s="7">
        <v>0.66666666666666663</v>
      </c>
      <c r="K926" s="5">
        <v>10694.25</v>
      </c>
      <c r="L926" s="5">
        <v>10694.25</v>
      </c>
      <c r="M926" s="5">
        <v>10600</v>
      </c>
      <c r="N926" s="5">
        <v>10694.25</v>
      </c>
      <c r="O926" s="5">
        <v>5620</v>
      </c>
      <c r="Q926" s="6">
        <v>39525</v>
      </c>
      <c r="R926" s="7">
        <v>0.66666666666666663</v>
      </c>
      <c r="S926" s="5">
        <v>257.95</v>
      </c>
      <c r="T926" s="5">
        <v>258.75</v>
      </c>
      <c r="U926" s="5">
        <v>245.1</v>
      </c>
      <c r="V926" s="5">
        <v>245.1</v>
      </c>
      <c r="W926" s="5">
        <v>1383100</v>
      </c>
      <c r="Y926" s="6">
        <f t="shared" si="28"/>
        <v>41242</v>
      </c>
      <c r="Z926" s="5">
        <f t="shared" si="29"/>
        <v>10694.25</v>
      </c>
      <c r="AA926" s="5">
        <v>165.55</v>
      </c>
      <c r="AB926" s="5">
        <v>224.5</v>
      </c>
    </row>
    <row r="927" spans="1:28" x14ac:dyDescent="0.3">
      <c r="A927" s="6">
        <v>39548</v>
      </c>
      <c r="B927" s="7">
        <v>0.66666666666666663</v>
      </c>
      <c r="C927" s="5">
        <v>182</v>
      </c>
      <c r="D927" s="5">
        <v>183</v>
      </c>
      <c r="E927" s="5">
        <v>181</v>
      </c>
      <c r="F927" s="5">
        <v>183</v>
      </c>
      <c r="G927" s="5">
        <v>3000</v>
      </c>
      <c r="I927" s="6">
        <v>41243</v>
      </c>
      <c r="J927" s="7">
        <v>0.66666666666666663</v>
      </c>
      <c r="K927" s="5">
        <v>11000</v>
      </c>
      <c r="L927" s="5">
        <v>11228.96</v>
      </c>
      <c r="M927" s="5">
        <v>10159.540000000001</v>
      </c>
      <c r="N927" s="5">
        <v>10159.540000000001</v>
      </c>
      <c r="O927" s="5">
        <v>10200</v>
      </c>
      <c r="Q927" s="6">
        <v>39526</v>
      </c>
      <c r="R927" s="7">
        <v>0.66666666666666663</v>
      </c>
      <c r="S927" s="5">
        <v>246.05</v>
      </c>
      <c r="T927" s="5">
        <v>256</v>
      </c>
      <c r="U927" s="5">
        <v>246.05</v>
      </c>
      <c r="V927" s="5">
        <v>254.4</v>
      </c>
      <c r="W927" s="5">
        <v>1591700</v>
      </c>
      <c r="Y927" s="6">
        <f t="shared" si="28"/>
        <v>41243</v>
      </c>
      <c r="Z927" s="5">
        <f t="shared" si="29"/>
        <v>10159.540000000001</v>
      </c>
      <c r="AA927" s="5">
        <v>170.27</v>
      </c>
      <c r="AB927" s="5">
        <v>224.68</v>
      </c>
    </row>
    <row r="928" spans="1:28" x14ac:dyDescent="0.3">
      <c r="A928" s="6">
        <v>39549</v>
      </c>
      <c r="B928" s="7">
        <v>0.66666666666666663</v>
      </c>
      <c r="C928" s="5">
        <v>183.9</v>
      </c>
      <c r="D928" s="5">
        <v>183.9</v>
      </c>
      <c r="E928" s="5">
        <v>182.1</v>
      </c>
      <c r="F928" s="5">
        <v>182.75</v>
      </c>
      <c r="G928" s="5">
        <v>3800</v>
      </c>
      <c r="I928" s="6">
        <v>41246</v>
      </c>
      <c r="J928" s="7">
        <v>0.66666666666666663</v>
      </c>
      <c r="K928" s="5">
        <v>9900</v>
      </c>
      <c r="L928" s="5">
        <v>10000</v>
      </c>
      <c r="M928" s="5">
        <v>9800</v>
      </c>
      <c r="N928" s="5">
        <v>9995.9599999999991</v>
      </c>
      <c r="O928" s="5">
        <v>6480</v>
      </c>
      <c r="Q928" s="6">
        <v>39527</v>
      </c>
      <c r="R928" s="7">
        <v>0.66666666666666663</v>
      </c>
      <c r="S928" s="5">
        <v>254.4</v>
      </c>
      <c r="T928" s="5">
        <v>267.10000000000002</v>
      </c>
      <c r="U928" s="5">
        <v>249.25</v>
      </c>
      <c r="V928" s="5">
        <v>267.10000000000002</v>
      </c>
      <c r="W928" s="5">
        <v>2995200</v>
      </c>
      <c r="Y928" s="6">
        <f t="shared" si="28"/>
        <v>41246</v>
      </c>
      <c r="Z928" s="5">
        <f t="shared" si="29"/>
        <v>9995.9599999999991</v>
      </c>
      <c r="AA928" s="5">
        <v>167.83</v>
      </c>
      <c r="AB928" s="5" t="e">
        <v>#N/A</v>
      </c>
    </row>
    <row r="929" spans="1:28" x14ac:dyDescent="0.3">
      <c r="A929" s="6">
        <v>39552</v>
      </c>
      <c r="B929" s="7">
        <v>0.66666666666666663</v>
      </c>
      <c r="C929" s="5">
        <v>182</v>
      </c>
      <c r="D929" s="5">
        <v>184</v>
      </c>
      <c r="E929" s="5">
        <v>182</v>
      </c>
      <c r="F929" s="5">
        <v>183.5</v>
      </c>
      <c r="G929" s="5">
        <v>3100</v>
      </c>
      <c r="I929" s="6">
        <v>41247</v>
      </c>
      <c r="J929" s="7">
        <v>0.66666666666666663</v>
      </c>
      <c r="K929" s="5">
        <v>9995.9599999999991</v>
      </c>
      <c r="L929" s="5">
        <v>10100</v>
      </c>
      <c r="M929" s="5">
        <v>9800</v>
      </c>
      <c r="N929" s="5">
        <v>9805</v>
      </c>
      <c r="O929" s="5">
        <v>3660</v>
      </c>
      <c r="Q929" s="6">
        <v>39531</v>
      </c>
      <c r="R929" s="7">
        <v>0.66666666666666663</v>
      </c>
      <c r="S929" s="5">
        <v>268.60000000000002</v>
      </c>
      <c r="T929" s="5">
        <v>275.5</v>
      </c>
      <c r="U929" s="5">
        <v>268.60000000000002</v>
      </c>
      <c r="V929" s="5">
        <v>270.5</v>
      </c>
      <c r="W929" s="5">
        <v>4346200</v>
      </c>
      <c r="Y929" s="6">
        <f t="shared" si="28"/>
        <v>41247</v>
      </c>
      <c r="Z929" s="5">
        <f t="shared" si="29"/>
        <v>9805</v>
      </c>
      <c r="AA929" s="5">
        <v>167.99</v>
      </c>
      <c r="AB929" s="5">
        <v>227.64</v>
      </c>
    </row>
    <row r="930" spans="1:28" x14ac:dyDescent="0.3">
      <c r="A930" s="6">
        <v>39553</v>
      </c>
      <c r="B930" s="7">
        <v>0.66666666666666663</v>
      </c>
      <c r="C930" s="5">
        <v>185</v>
      </c>
      <c r="D930" s="5">
        <v>185.5</v>
      </c>
      <c r="E930" s="5">
        <v>183.5</v>
      </c>
      <c r="F930" s="5">
        <v>183.95</v>
      </c>
      <c r="G930" s="5">
        <v>5800</v>
      </c>
      <c r="I930" s="6">
        <v>41248</v>
      </c>
      <c r="J930" s="7">
        <v>0.66666666666666663</v>
      </c>
      <c r="K930" s="5">
        <v>9800</v>
      </c>
      <c r="L930" s="5">
        <v>9900</v>
      </c>
      <c r="M930" s="5">
        <v>9700</v>
      </c>
      <c r="N930" s="5">
        <v>9803.5596000000005</v>
      </c>
      <c r="O930" s="5">
        <v>12020</v>
      </c>
      <c r="Q930" s="6">
        <v>39532</v>
      </c>
      <c r="R930" s="7">
        <v>0.66666666666666663</v>
      </c>
      <c r="S930" s="5">
        <v>270.5</v>
      </c>
      <c r="T930" s="5">
        <v>270.89999999999998</v>
      </c>
      <c r="U930" s="5">
        <v>262.5</v>
      </c>
      <c r="V930" s="5">
        <v>263</v>
      </c>
      <c r="W930" s="5">
        <v>1892000</v>
      </c>
      <c r="Y930" s="6">
        <f t="shared" si="28"/>
        <v>41248</v>
      </c>
      <c r="Z930" s="5">
        <f t="shared" si="29"/>
        <v>9803.5596000000005</v>
      </c>
      <c r="AA930" s="5">
        <v>168.17</v>
      </c>
      <c r="AB930" s="5">
        <v>226.5</v>
      </c>
    </row>
    <row r="931" spans="1:28" x14ac:dyDescent="0.3">
      <c r="A931" s="6">
        <v>39554</v>
      </c>
      <c r="B931" s="7">
        <v>0.66666666666666663</v>
      </c>
      <c r="C931" s="5">
        <v>184</v>
      </c>
      <c r="D931" s="5">
        <v>185</v>
      </c>
      <c r="E931" s="5">
        <v>183.65</v>
      </c>
      <c r="F931" s="5">
        <v>184.5</v>
      </c>
      <c r="G931" s="5">
        <v>8300</v>
      </c>
      <c r="I931" s="6">
        <v>41249</v>
      </c>
      <c r="J931" s="7">
        <v>0.66666666666666663</v>
      </c>
      <c r="K931" s="5">
        <v>9900</v>
      </c>
      <c r="L931" s="5">
        <v>9999</v>
      </c>
      <c r="M931" s="5">
        <v>9800</v>
      </c>
      <c r="N931" s="5">
        <v>9953.4501999999993</v>
      </c>
      <c r="O931" s="5">
        <v>2180</v>
      </c>
      <c r="Q931" s="6">
        <v>39533</v>
      </c>
      <c r="R931" s="7">
        <v>0.66666666666666663</v>
      </c>
      <c r="S931" s="5">
        <v>263</v>
      </c>
      <c r="T931" s="5">
        <v>267</v>
      </c>
      <c r="U931" s="5">
        <v>262</v>
      </c>
      <c r="V931" s="5">
        <v>263.5</v>
      </c>
      <c r="W931" s="5">
        <v>1091600</v>
      </c>
      <c r="Y931" s="6">
        <f t="shared" si="28"/>
        <v>41249</v>
      </c>
      <c r="Z931" s="5">
        <f t="shared" si="29"/>
        <v>9953.4501999999993</v>
      </c>
      <c r="AA931" s="5">
        <v>170.52</v>
      </c>
      <c r="AB931" s="5">
        <v>227.22</v>
      </c>
    </row>
    <row r="932" spans="1:28" x14ac:dyDescent="0.3">
      <c r="A932" s="6">
        <v>39555</v>
      </c>
      <c r="B932" s="7">
        <v>0.66666666666666663</v>
      </c>
      <c r="C932" s="5">
        <v>184</v>
      </c>
      <c r="D932" s="5">
        <v>186.5</v>
      </c>
      <c r="E932" s="5">
        <v>183.05</v>
      </c>
      <c r="F932" s="5">
        <v>186</v>
      </c>
      <c r="G932" s="5">
        <v>47600</v>
      </c>
      <c r="I932" s="6">
        <v>41250</v>
      </c>
      <c r="J932" s="7">
        <v>0.66666666666666663</v>
      </c>
      <c r="K932" s="5">
        <v>9900</v>
      </c>
      <c r="L932" s="5">
        <v>10000</v>
      </c>
      <c r="M932" s="5">
        <v>9800.0097999999998</v>
      </c>
      <c r="N932" s="5">
        <v>9802.4696999999996</v>
      </c>
      <c r="O932" s="5">
        <v>3040</v>
      </c>
      <c r="Q932" s="6">
        <v>39534</v>
      </c>
      <c r="R932" s="7">
        <v>0.66666666666666663</v>
      </c>
      <c r="S932" s="5">
        <v>263.8</v>
      </c>
      <c r="T932" s="5">
        <v>269.39999999999998</v>
      </c>
      <c r="U932" s="5">
        <v>263.8</v>
      </c>
      <c r="V932" s="5">
        <v>266.7</v>
      </c>
      <c r="W932" s="5">
        <v>2122700</v>
      </c>
      <c r="Y932" s="6">
        <f t="shared" si="28"/>
        <v>41250</v>
      </c>
      <c r="Z932" s="5">
        <f t="shared" si="29"/>
        <v>9802.4696999999996</v>
      </c>
      <c r="AA932" s="5">
        <v>168.72</v>
      </c>
      <c r="AB932" s="5">
        <v>227.5</v>
      </c>
    </row>
    <row r="933" spans="1:28" x14ac:dyDescent="0.3">
      <c r="A933" s="6">
        <v>39556</v>
      </c>
      <c r="B933" s="7">
        <v>0.66666666666666663</v>
      </c>
      <c r="C933" s="5">
        <v>186</v>
      </c>
      <c r="D933" s="5">
        <v>186.5</v>
      </c>
      <c r="E933" s="5">
        <v>184.5</v>
      </c>
      <c r="F933" s="5">
        <v>184.5</v>
      </c>
      <c r="G933" s="5">
        <v>14100</v>
      </c>
      <c r="I933" s="6">
        <v>41253</v>
      </c>
      <c r="J933" s="7">
        <v>0.66666666666666663</v>
      </c>
      <c r="K933" s="5">
        <v>9950</v>
      </c>
      <c r="L933" s="5">
        <v>9950</v>
      </c>
      <c r="M933" s="5">
        <v>9800</v>
      </c>
      <c r="N933" s="5">
        <v>9801</v>
      </c>
      <c r="O933" s="5">
        <v>8220</v>
      </c>
      <c r="Q933" s="6">
        <v>39535</v>
      </c>
      <c r="R933" s="7">
        <v>0.66666666666666663</v>
      </c>
      <c r="S933" s="5">
        <v>266.7</v>
      </c>
      <c r="T933" s="5">
        <v>267.45</v>
      </c>
      <c r="U933" s="5">
        <v>263.5</v>
      </c>
      <c r="V933" s="5">
        <v>263.5</v>
      </c>
      <c r="W933" s="5">
        <v>934900</v>
      </c>
      <c r="Y933" s="6">
        <f t="shared" si="28"/>
        <v>41253</v>
      </c>
      <c r="Z933" s="5">
        <f t="shared" si="29"/>
        <v>9801</v>
      </c>
      <c r="AA933" s="5">
        <v>167.23</v>
      </c>
      <c r="AB933" s="5">
        <v>226.83</v>
      </c>
    </row>
    <row r="934" spans="1:28" x14ac:dyDescent="0.3">
      <c r="A934" s="6">
        <v>39559</v>
      </c>
      <c r="B934" s="7">
        <v>0.66666666666666663</v>
      </c>
      <c r="C934" s="5">
        <v>186</v>
      </c>
      <c r="D934" s="5">
        <v>186</v>
      </c>
      <c r="E934" s="5">
        <v>183</v>
      </c>
      <c r="F934" s="5">
        <v>184</v>
      </c>
      <c r="G934" s="5">
        <v>3800</v>
      </c>
      <c r="I934" s="6">
        <v>41254</v>
      </c>
      <c r="J934" s="7">
        <v>0.66666666666666663</v>
      </c>
      <c r="K934" s="5">
        <v>9949</v>
      </c>
      <c r="L934" s="5">
        <v>9950</v>
      </c>
      <c r="M934" s="5">
        <v>9850</v>
      </c>
      <c r="N934" s="5">
        <v>9897.8300999999992</v>
      </c>
      <c r="O934" s="5">
        <v>2440</v>
      </c>
      <c r="Q934" s="6">
        <v>39538</v>
      </c>
      <c r="R934" s="7">
        <v>0.66666666666666663</v>
      </c>
      <c r="S934" s="5">
        <v>263.5</v>
      </c>
      <c r="T934" s="5">
        <v>265.3</v>
      </c>
      <c r="U934" s="5">
        <v>257.5</v>
      </c>
      <c r="V934" s="5">
        <v>260</v>
      </c>
      <c r="W934" s="5">
        <v>969500</v>
      </c>
      <c r="Y934" s="6">
        <f t="shared" si="28"/>
        <v>41254</v>
      </c>
      <c r="Z934" s="5">
        <f t="shared" si="29"/>
        <v>9897.8300999999992</v>
      </c>
      <c r="AA934" s="5">
        <v>167.33</v>
      </c>
      <c r="AB934" s="5">
        <v>227.69</v>
      </c>
    </row>
    <row r="935" spans="1:28" x14ac:dyDescent="0.3">
      <c r="A935" s="6">
        <v>39560</v>
      </c>
      <c r="B935" s="7">
        <v>0.66666666666666663</v>
      </c>
      <c r="C935" s="5">
        <v>185</v>
      </c>
      <c r="D935" s="5">
        <v>185</v>
      </c>
      <c r="E935" s="5">
        <v>182.25</v>
      </c>
      <c r="F935" s="5">
        <v>184</v>
      </c>
      <c r="G935" s="5">
        <v>4000</v>
      </c>
      <c r="I935" s="6">
        <v>41255</v>
      </c>
      <c r="J935" s="7">
        <v>0.66666666666666663</v>
      </c>
      <c r="K935" s="5">
        <v>9900</v>
      </c>
      <c r="L935" s="5">
        <v>9960</v>
      </c>
      <c r="M935" s="5">
        <v>9900</v>
      </c>
      <c r="N935" s="5">
        <v>9900.3096000000005</v>
      </c>
      <c r="O935" s="5">
        <v>2760</v>
      </c>
      <c r="Q935" s="6">
        <v>39539</v>
      </c>
      <c r="R935" s="7">
        <v>0.66666666666666663</v>
      </c>
      <c r="S935" s="5">
        <v>260</v>
      </c>
      <c r="T935" s="5">
        <v>263</v>
      </c>
      <c r="U935" s="5">
        <v>258.25</v>
      </c>
      <c r="V935" s="5">
        <v>261</v>
      </c>
      <c r="W935" s="5">
        <v>650500</v>
      </c>
      <c r="Y935" s="6">
        <f t="shared" si="28"/>
        <v>41255</v>
      </c>
      <c r="Z935" s="5">
        <f t="shared" si="29"/>
        <v>9900.3096000000005</v>
      </c>
      <c r="AA935" s="5">
        <v>167.94</v>
      </c>
      <c r="AB935" s="5">
        <v>226.25</v>
      </c>
    </row>
    <row r="936" spans="1:28" x14ac:dyDescent="0.3">
      <c r="A936" s="6">
        <v>39561</v>
      </c>
      <c r="B936" s="7">
        <v>0.66666666666666663</v>
      </c>
      <c r="C936" s="5">
        <v>184.5</v>
      </c>
      <c r="D936" s="5">
        <v>185.6</v>
      </c>
      <c r="E936" s="5">
        <v>183</v>
      </c>
      <c r="F936" s="5">
        <v>183.5</v>
      </c>
      <c r="G936" s="5">
        <v>27900</v>
      </c>
      <c r="I936" s="6">
        <v>41256</v>
      </c>
      <c r="J936" s="7">
        <v>0.66666666666666663</v>
      </c>
      <c r="K936" s="5">
        <v>9900.3096000000005</v>
      </c>
      <c r="L936" s="5">
        <v>10010</v>
      </c>
      <c r="M936" s="5">
        <v>9900</v>
      </c>
      <c r="N936" s="5">
        <v>10000.4805</v>
      </c>
      <c r="O936" s="5">
        <v>3220</v>
      </c>
      <c r="Q936" s="6">
        <v>39540</v>
      </c>
      <c r="R936" s="7">
        <v>0.66666666666666663</v>
      </c>
      <c r="S936" s="5">
        <v>261</v>
      </c>
      <c r="T936" s="5">
        <v>264.89999999999998</v>
      </c>
      <c r="U936" s="5">
        <v>261</v>
      </c>
      <c r="V936" s="5">
        <v>262.35000000000002</v>
      </c>
      <c r="W936" s="5">
        <v>800300</v>
      </c>
      <c r="Y936" s="6">
        <f t="shared" si="28"/>
        <v>41256</v>
      </c>
      <c r="Z936" s="5">
        <f t="shared" si="29"/>
        <v>10000.4805</v>
      </c>
      <c r="AA936" s="5">
        <v>170.79</v>
      </c>
      <c r="AB936" s="5">
        <v>227.5</v>
      </c>
    </row>
    <row r="937" spans="1:28" x14ac:dyDescent="0.3">
      <c r="A937" s="6">
        <v>39562</v>
      </c>
      <c r="B937" s="7">
        <v>0.66666666666666663</v>
      </c>
      <c r="C937" s="5">
        <v>183.05</v>
      </c>
      <c r="D937" s="5">
        <v>183.5</v>
      </c>
      <c r="E937" s="5">
        <v>183</v>
      </c>
      <c r="F937" s="5">
        <v>183.5</v>
      </c>
      <c r="G937" s="5">
        <v>2700</v>
      </c>
      <c r="I937" s="6">
        <v>41257</v>
      </c>
      <c r="J937" s="7">
        <v>0.66666666666666663</v>
      </c>
      <c r="K937" s="5">
        <v>10000</v>
      </c>
      <c r="L937" s="5">
        <v>10020</v>
      </c>
      <c r="M937" s="5">
        <v>10000</v>
      </c>
      <c r="N937" s="5">
        <v>10020</v>
      </c>
      <c r="O937" s="5">
        <v>18380</v>
      </c>
      <c r="Q937" s="6">
        <v>39541</v>
      </c>
      <c r="R937" s="7">
        <v>0.66666666666666663</v>
      </c>
      <c r="S937" s="5">
        <v>262.35000000000002</v>
      </c>
      <c r="T937" s="5">
        <v>264</v>
      </c>
      <c r="U937" s="5">
        <v>261.5</v>
      </c>
      <c r="V937" s="5">
        <v>262</v>
      </c>
      <c r="W937" s="5">
        <v>321500</v>
      </c>
      <c r="Y937" s="6">
        <f t="shared" si="28"/>
        <v>41257</v>
      </c>
      <c r="Z937" s="5">
        <f t="shared" si="29"/>
        <v>10020</v>
      </c>
      <c r="AA937" s="5">
        <v>173.31</v>
      </c>
      <c r="AB937" s="5">
        <v>225.1</v>
      </c>
    </row>
    <row r="938" spans="1:28" x14ac:dyDescent="0.3">
      <c r="A938" s="6">
        <v>39563</v>
      </c>
      <c r="B938" s="7">
        <v>0.66666666666666663</v>
      </c>
      <c r="C938" s="5">
        <v>184</v>
      </c>
      <c r="D938" s="5">
        <v>184.1</v>
      </c>
      <c r="E938" s="5">
        <v>182</v>
      </c>
      <c r="F938" s="5">
        <v>182</v>
      </c>
      <c r="G938" s="5">
        <v>3400</v>
      </c>
      <c r="I938" s="6">
        <v>41260</v>
      </c>
      <c r="J938" s="7">
        <v>0.66666666666666663</v>
      </c>
      <c r="K938" s="5">
        <v>10060</v>
      </c>
      <c r="L938" s="5">
        <v>10100</v>
      </c>
      <c r="M938" s="5">
        <v>10060</v>
      </c>
      <c r="N938" s="5">
        <v>10100</v>
      </c>
      <c r="O938" s="5">
        <v>200</v>
      </c>
      <c r="Q938" s="6">
        <v>39542</v>
      </c>
      <c r="R938" s="7">
        <v>0.66666666666666663</v>
      </c>
      <c r="S938" s="5">
        <v>262</v>
      </c>
      <c r="T938" s="5">
        <v>265.89999999999998</v>
      </c>
      <c r="U938" s="5">
        <v>262</v>
      </c>
      <c r="V938" s="5">
        <v>262.8</v>
      </c>
      <c r="W938" s="5">
        <v>1007800</v>
      </c>
      <c r="Y938" s="6">
        <f t="shared" si="28"/>
        <v>41260</v>
      </c>
      <c r="Z938" s="5">
        <f t="shared" si="29"/>
        <v>10100</v>
      </c>
      <c r="AA938" s="5">
        <v>170.34</v>
      </c>
      <c r="AB938" s="5">
        <v>226.99</v>
      </c>
    </row>
    <row r="939" spans="1:28" x14ac:dyDescent="0.3">
      <c r="A939" s="6">
        <v>39566</v>
      </c>
      <c r="B939" s="7">
        <v>0.66666666666666663</v>
      </c>
      <c r="C939" s="5">
        <v>183</v>
      </c>
      <c r="D939" s="5">
        <v>185.8</v>
      </c>
      <c r="E939" s="5">
        <v>182</v>
      </c>
      <c r="F939" s="5">
        <v>183.5</v>
      </c>
      <c r="G939" s="5">
        <v>48900</v>
      </c>
      <c r="I939" s="6">
        <v>41261</v>
      </c>
      <c r="J939" s="7">
        <v>0.66666666666666663</v>
      </c>
      <c r="K939" s="5">
        <v>10100</v>
      </c>
      <c r="L939" s="5">
        <v>10100</v>
      </c>
      <c r="M939" s="5">
        <v>10020</v>
      </c>
      <c r="N939" s="5">
        <v>10075.559600000001</v>
      </c>
      <c r="O939" s="5">
        <v>520</v>
      </c>
      <c r="Q939" s="6">
        <v>39545</v>
      </c>
      <c r="R939" s="7">
        <v>0.66666666666666663</v>
      </c>
      <c r="S939" s="5">
        <v>262.89999999999998</v>
      </c>
      <c r="T939" s="5">
        <v>264.8</v>
      </c>
      <c r="U939" s="5">
        <v>262.89999999999998</v>
      </c>
      <c r="V939" s="5">
        <v>263.5</v>
      </c>
      <c r="W939" s="5">
        <v>862500</v>
      </c>
      <c r="Y939" s="6">
        <f t="shared" si="28"/>
        <v>41261</v>
      </c>
      <c r="Z939" s="5">
        <f t="shared" si="29"/>
        <v>10075.559600000001</v>
      </c>
      <c r="AA939" s="5">
        <v>170.04</v>
      </c>
      <c r="AB939" s="5">
        <v>226.92</v>
      </c>
    </row>
    <row r="940" spans="1:28" x14ac:dyDescent="0.3">
      <c r="A940" s="6">
        <v>39567</v>
      </c>
      <c r="B940" s="7">
        <v>0.66666666666666663</v>
      </c>
      <c r="C940" s="5">
        <v>182.5</v>
      </c>
      <c r="D940" s="5">
        <v>182.5</v>
      </c>
      <c r="E940" s="5">
        <v>182</v>
      </c>
      <c r="F940" s="5">
        <v>182</v>
      </c>
      <c r="G940" s="5">
        <v>2100</v>
      </c>
      <c r="I940" s="6">
        <v>41262</v>
      </c>
      <c r="J940" s="7">
        <v>0.66666666666666663</v>
      </c>
      <c r="K940" s="5">
        <v>10000</v>
      </c>
      <c r="L940" s="5">
        <v>10098</v>
      </c>
      <c r="M940" s="5">
        <v>10000</v>
      </c>
      <c r="N940" s="5">
        <v>10075.5303</v>
      </c>
      <c r="O940" s="5">
        <v>460</v>
      </c>
      <c r="Q940" s="6">
        <v>39546</v>
      </c>
      <c r="R940" s="7">
        <v>0.66666666666666663</v>
      </c>
      <c r="S940" s="5">
        <v>263.5</v>
      </c>
      <c r="T940" s="5">
        <v>263.8</v>
      </c>
      <c r="U940" s="5">
        <v>261.10000000000002</v>
      </c>
      <c r="V940" s="5">
        <v>262.25</v>
      </c>
      <c r="W940" s="5">
        <v>447700</v>
      </c>
      <c r="Y940" s="6">
        <f t="shared" si="28"/>
        <v>41262</v>
      </c>
      <c r="Z940" s="5">
        <f t="shared" si="29"/>
        <v>10075.5303</v>
      </c>
      <c r="AA940" s="5">
        <v>171.03</v>
      </c>
      <c r="AB940" s="5">
        <v>227.1</v>
      </c>
    </row>
    <row r="941" spans="1:28" x14ac:dyDescent="0.3">
      <c r="A941" s="6">
        <v>39568</v>
      </c>
      <c r="B941" s="7">
        <v>0.66666666666666663</v>
      </c>
      <c r="C941" s="5">
        <v>182</v>
      </c>
      <c r="D941" s="5">
        <v>182.51</v>
      </c>
      <c r="E941" s="5">
        <v>181.1</v>
      </c>
      <c r="F941" s="5">
        <v>182</v>
      </c>
      <c r="G941" s="5">
        <v>2400</v>
      </c>
      <c r="I941" s="6">
        <v>41263</v>
      </c>
      <c r="J941" s="7">
        <v>0.66666666666666663</v>
      </c>
      <c r="K941" s="5">
        <v>10090</v>
      </c>
      <c r="L941" s="5">
        <v>10100</v>
      </c>
      <c r="M941" s="5">
        <v>10089</v>
      </c>
      <c r="N941" s="5">
        <v>10100</v>
      </c>
      <c r="O941" s="5">
        <v>6240</v>
      </c>
      <c r="Q941" s="6">
        <v>39547</v>
      </c>
      <c r="R941" s="7">
        <v>0.66666666666666663</v>
      </c>
      <c r="S941" s="5">
        <v>262.25</v>
      </c>
      <c r="T941" s="5">
        <v>263.5</v>
      </c>
      <c r="U941" s="5">
        <v>254.1</v>
      </c>
      <c r="V941" s="5">
        <v>257</v>
      </c>
      <c r="W941" s="5">
        <v>498900</v>
      </c>
      <c r="Y941" s="6">
        <f t="shared" si="28"/>
        <v>41263</v>
      </c>
      <c r="Z941" s="5">
        <f t="shared" si="29"/>
        <v>10100</v>
      </c>
      <c r="AA941" s="5">
        <v>170.96</v>
      </c>
      <c r="AB941" s="5">
        <v>225</v>
      </c>
    </row>
    <row r="942" spans="1:28" x14ac:dyDescent="0.3">
      <c r="A942" s="6">
        <v>39570</v>
      </c>
      <c r="B942" s="7">
        <v>0.66666666666666663</v>
      </c>
      <c r="C942" s="5">
        <v>181.5</v>
      </c>
      <c r="D942" s="5">
        <v>182.6</v>
      </c>
      <c r="E942" s="5">
        <v>179.85</v>
      </c>
      <c r="F942" s="5">
        <v>181.2</v>
      </c>
      <c r="G942" s="5">
        <v>10500</v>
      </c>
      <c r="I942" s="6">
        <v>41264</v>
      </c>
      <c r="J942" s="7">
        <v>0.66666666666666663</v>
      </c>
      <c r="K942" s="5">
        <v>10130</v>
      </c>
      <c r="L942" s="5">
        <v>10130</v>
      </c>
      <c r="M942" s="5">
        <v>10100</v>
      </c>
      <c r="N942" s="5">
        <v>10100</v>
      </c>
      <c r="O942" s="5">
        <v>440</v>
      </c>
      <c r="Q942" s="6">
        <v>39548</v>
      </c>
      <c r="R942" s="7">
        <v>0.66666666666666663</v>
      </c>
      <c r="S942" s="5">
        <v>257</v>
      </c>
      <c r="T942" s="5">
        <v>260</v>
      </c>
      <c r="U942" s="5">
        <v>254</v>
      </c>
      <c r="V942" s="5">
        <v>257</v>
      </c>
      <c r="W942" s="5">
        <v>845400</v>
      </c>
      <c r="Y942" s="6">
        <f t="shared" si="28"/>
        <v>41264</v>
      </c>
      <c r="Z942" s="5">
        <f t="shared" si="29"/>
        <v>10100</v>
      </c>
      <c r="AA942" s="5">
        <v>169.01</v>
      </c>
      <c r="AB942" s="5">
        <v>225.01</v>
      </c>
    </row>
    <row r="943" spans="1:28" x14ac:dyDescent="0.3">
      <c r="A943" s="6">
        <v>39573</v>
      </c>
      <c r="B943" s="7">
        <v>0.66666666666666663</v>
      </c>
      <c r="C943" s="5">
        <v>179.7</v>
      </c>
      <c r="D943" s="5">
        <v>180</v>
      </c>
      <c r="E943" s="5">
        <v>172.25</v>
      </c>
      <c r="F943" s="5">
        <v>177</v>
      </c>
      <c r="G943" s="5">
        <v>29600</v>
      </c>
      <c r="I943" s="6">
        <v>41267</v>
      </c>
      <c r="J943" s="7">
        <v>0.66666666666666663</v>
      </c>
      <c r="K943" s="5">
        <v>10200</v>
      </c>
      <c r="L943" s="5">
        <v>10200</v>
      </c>
      <c r="M943" s="5">
        <v>10100</v>
      </c>
      <c r="N943" s="5">
        <v>10150</v>
      </c>
      <c r="O943" s="5">
        <v>440</v>
      </c>
      <c r="Q943" s="6">
        <v>39549</v>
      </c>
      <c r="R943" s="7">
        <v>0.66666666666666663</v>
      </c>
      <c r="S943" s="5">
        <v>257</v>
      </c>
      <c r="T943" s="5">
        <v>266</v>
      </c>
      <c r="U943" s="5">
        <v>257</v>
      </c>
      <c r="V943" s="5">
        <v>262.25</v>
      </c>
      <c r="W943" s="5">
        <v>2662500</v>
      </c>
      <c r="Y943" s="6">
        <f t="shared" si="28"/>
        <v>41267</v>
      </c>
      <c r="Z943" s="5">
        <f t="shared" si="29"/>
        <v>10150</v>
      </c>
      <c r="AA943" s="5">
        <v>168.31</v>
      </c>
      <c r="AB943" s="5">
        <v>226.5</v>
      </c>
    </row>
    <row r="944" spans="1:28" x14ac:dyDescent="0.3">
      <c r="A944" s="6">
        <v>39574</v>
      </c>
      <c r="B944" s="7">
        <v>0.66666666666666663</v>
      </c>
      <c r="C944" s="5">
        <v>172.05</v>
      </c>
      <c r="D944" s="5">
        <v>179</v>
      </c>
      <c r="E944" s="5">
        <v>172</v>
      </c>
      <c r="F944" s="5">
        <v>172.2</v>
      </c>
      <c r="G944" s="5">
        <v>19800</v>
      </c>
      <c r="I944" s="6">
        <v>41269</v>
      </c>
      <c r="J944" s="7">
        <v>0.66666666666666663</v>
      </c>
      <c r="K944" s="5">
        <v>10020.0098</v>
      </c>
      <c r="L944" s="5">
        <v>10030</v>
      </c>
      <c r="M944" s="5">
        <v>10000</v>
      </c>
      <c r="N944" s="5">
        <v>10007.5</v>
      </c>
      <c r="O944" s="5">
        <v>100</v>
      </c>
      <c r="Q944" s="6">
        <v>39552</v>
      </c>
      <c r="R944" s="7">
        <v>0.66666666666666663</v>
      </c>
      <c r="S944" s="5">
        <v>262.25</v>
      </c>
      <c r="T944" s="5">
        <v>262.5</v>
      </c>
      <c r="U944" s="5">
        <v>259.7</v>
      </c>
      <c r="V944" s="5">
        <v>260.75</v>
      </c>
      <c r="W944" s="5">
        <v>562200</v>
      </c>
      <c r="Y944" s="6">
        <f t="shared" si="28"/>
        <v>41269</v>
      </c>
      <c r="Z944" s="5">
        <f t="shared" si="29"/>
        <v>10007.5</v>
      </c>
      <c r="AA944" s="5">
        <v>168.78</v>
      </c>
      <c r="AB944" s="5">
        <v>226</v>
      </c>
    </row>
    <row r="945" spans="1:28" x14ac:dyDescent="0.3">
      <c r="A945" s="6">
        <v>39575</v>
      </c>
      <c r="B945" s="7">
        <v>0.66666666666666663</v>
      </c>
      <c r="C945" s="5">
        <v>173</v>
      </c>
      <c r="D945" s="5">
        <v>174</v>
      </c>
      <c r="E945" s="5">
        <v>170</v>
      </c>
      <c r="F945" s="5">
        <v>172.5</v>
      </c>
      <c r="G945" s="5">
        <v>14900</v>
      </c>
      <c r="I945" s="6">
        <v>41270</v>
      </c>
      <c r="J945" s="7">
        <v>0.66666666666666663</v>
      </c>
      <c r="K945" s="5">
        <v>10000.0098</v>
      </c>
      <c r="L945" s="5">
        <v>10000.0098</v>
      </c>
      <c r="M945" s="5">
        <v>10000.0098</v>
      </c>
      <c r="N945" s="5">
        <v>10000.0098</v>
      </c>
      <c r="O945" s="5">
        <v>20</v>
      </c>
      <c r="Q945" s="6">
        <v>39553</v>
      </c>
      <c r="R945" s="7">
        <v>0.66666666666666663</v>
      </c>
      <c r="S945" s="5">
        <v>260.75</v>
      </c>
      <c r="T945" s="5">
        <v>263.39999999999998</v>
      </c>
      <c r="U945" s="5">
        <v>260.10000000000002</v>
      </c>
      <c r="V945" s="5">
        <v>261.45</v>
      </c>
      <c r="W945" s="5">
        <v>339200</v>
      </c>
      <c r="Y945" s="6">
        <f t="shared" si="28"/>
        <v>41270</v>
      </c>
      <c r="Z945" s="5">
        <f t="shared" si="29"/>
        <v>10000.0098</v>
      </c>
      <c r="AA945" s="5">
        <v>168.46</v>
      </c>
      <c r="AB945" s="5">
        <v>226.51</v>
      </c>
    </row>
    <row r="946" spans="1:28" x14ac:dyDescent="0.3">
      <c r="A946" s="6">
        <v>39576</v>
      </c>
      <c r="B946" s="7">
        <v>0.66666666666666663</v>
      </c>
      <c r="C946" s="5">
        <v>174</v>
      </c>
      <c r="D946" s="5">
        <v>175</v>
      </c>
      <c r="E946" s="5">
        <v>170</v>
      </c>
      <c r="F946" s="5">
        <v>170</v>
      </c>
      <c r="G946" s="5">
        <v>16700</v>
      </c>
      <c r="I946" s="6">
        <v>41271</v>
      </c>
      <c r="J946" s="7">
        <v>0.66666666666666663</v>
      </c>
      <c r="K946" s="5">
        <v>10100</v>
      </c>
      <c r="L946" s="5">
        <v>10500</v>
      </c>
      <c r="M946" s="5">
        <v>10000</v>
      </c>
      <c r="N946" s="5">
        <v>10500</v>
      </c>
      <c r="O946" s="5">
        <v>380</v>
      </c>
      <c r="Q946" s="6">
        <v>39554</v>
      </c>
      <c r="R946" s="7">
        <v>0.66666666666666663</v>
      </c>
      <c r="S946" s="5">
        <v>261.45</v>
      </c>
      <c r="T946" s="5">
        <v>263</v>
      </c>
      <c r="U946" s="5">
        <v>259.5</v>
      </c>
      <c r="V946" s="5">
        <v>260.39999999999998</v>
      </c>
      <c r="W946" s="5">
        <v>436700</v>
      </c>
      <c r="Y946" s="6">
        <f t="shared" si="28"/>
        <v>41271</v>
      </c>
      <c r="Z946" s="5">
        <f t="shared" si="29"/>
        <v>10500</v>
      </c>
      <c r="AA946" s="5">
        <v>168.34</v>
      </c>
      <c r="AB946" s="5">
        <v>226</v>
      </c>
    </row>
    <row r="947" spans="1:28" x14ac:dyDescent="0.3">
      <c r="A947" s="6">
        <v>39577</v>
      </c>
      <c r="B947" s="7">
        <v>0.66666666666666663</v>
      </c>
      <c r="C947" s="5">
        <v>173</v>
      </c>
      <c r="D947" s="5">
        <v>173</v>
      </c>
      <c r="E947" s="5">
        <v>170.5</v>
      </c>
      <c r="F947" s="5">
        <v>171</v>
      </c>
      <c r="G947" s="5">
        <v>7000</v>
      </c>
      <c r="I947" s="6">
        <v>41274</v>
      </c>
      <c r="J947" s="7">
        <v>0.66666666666666663</v>
      </c>
      <c r="K947" s="5">
        <v>10100</v>
      </c>
      <c r="L947" s="5">
        <v>10100.0098</v>
      </c>
      <c r="M947" s="5">
        <v>10100</v>
      </c>
      <c r="N947" s="5">
        <v>10100</v>
      </c>
      <c r="O947" s="5">
        <v>120</v>
      </c>
      <c r="Q947" s="6">
        <v>39555</v>
      </c>
      <c r="R947" s="7">
        <v>0.66666666666666663</v>
      </c>
      <c r="S947" s="5">
        <v>261.5</v>
      </c>
      <c r="T947" s="5">
        <v>264.5</v>
      </c>
      <c r="U947" s="5">
        <v>261.5</v>
      </c>
      <c r="V947" s="5">
        <v>262</v>
      </c>
      <c r="W947" s="5">
        <v>1052800</v>
      </c>
      <c r="Y947" s="6">
        <f t="shared" si="28"/>
        <v>41274</v>
      </c>
      <c r="Z947" s="5">
        <f t="shared" si="29"/>
        <v>10100</v>
      </c>
      <c r="AA947" s="5">
        <v>167.58</v>
      </c>
      <c r="AB947" s="5">
        <v>229.5</v>
      </c>
    </row>
    <row r="948" spans="1:28" x14ac:dyDescent="0.3">
      <c r="A948" s="6">
        <v>39580</v>
      </c>
      <c r="B948" s="7">
        <v>0.66666666666666663</v>
      </c>
      <c r="C948" s="5">
        <v>167</v>
      </c>
      <c r="D948" s="5">
        <v>174</v>
      </c>
      <c r="E948" s="5">
        <v>167</v>
      </c>
      <c r="F948" s="5">
        <v>172</v>
      </c>
      <c r="G948" s="5">
        <v>2200</v>
      </c>
      <c r="I948" s="6">
        <v>41275</v>
      </c>
      <c r="J948" s="7">
        <v>0.66666666666666663</v>
      </c>
      <c r="K948" s="5">
        <v>9801.0097999999998</v>
      </c>
      <c r="L948" s="5">
        <v>10050</v>
      </c>
      <c r="M948" s="5">
        <v>9801.0097999999998</v>
      </c>
      <c r="N948" s="5">
        <v>10000</v>
      </c>
      <c r="O948" s="5">
        <v>300</v>
      </c>
      <c r="Q948" s="6">
        <v>39556</v>
      </c>
      <c r="R948" s="7">
        <v>0.66666666666666663</v>
      </c>
      <c r="S948" s="5">
        <v>262</v>
      </c>
      <c r="T948" s="5">
        <v>263.5</v>
      </c>
      <c r="U948" s="5">
        <v>260</v>
      </c>
      <c r="V948" s="5">
        <v>260.8</v>
      </c>
      <c r="W948" s="5">
        <v>367600</v>
      </c>
      <c r="Y948" s="6">
        <f t="shared" si="28"/>
        <v>41275</v>
      </c>
      <c r="Z948" s="5">
        <f t="shared" si="29"/>
        <v>10000</v>
      </c>
      <c r="AA948" s="5">
        <v>167.41</v>
      </c>
      <c r="AB948" s="5">
        <v>228.14</v>
      </c>
    </row>
    <row r="949" spans="1:28" x14ac:dyDescent="0.3">
      <c r="A949" s="6">
        <v>39581</v>
      </c>
      <c r="B949" s="7">
        <v>0.66666666666666663</v>
      </c>
      <c r="C949" s="5">
        <v>174</v>
      </c>
      <c r="D949" s="5">
        <v>174</v>
      </c>
      <c r="E949" s="5">
        <v>170</v>
      </c>
      <c r="F949" s="5">
        <v>170.01</v>
      </c>
      <c r="G949" s="5">
        <v>1700</v>
      </c>
      <c r="I949" s="6">
        <v>41276</v>
      </c>
      <c r="J949" s="7">
        <v>0.66666666666666663</v>
      </c>
      <c r="K949" s="5">
        <v>10000</v>
      </c>
      <c r="L949" s="5">
        <v>10100</v>
      </c>
      <c r="M949" s="5">
        <v>10000</v>
      </c>
      <c r="N949" s="5">
        <v>10069.3799</v>
      </c>
      <c r="O949" s="5">
        <v>460</v>
      </c>
      <c r="Q949" s="6">
        <v>39559</v>
      </c>
      <c r="R949" s="7">
        <v>0.66666666666666663</v>
      </c>
      <c r="S949" s="5">
        <v>260.8</v>
      </c>
      <c r="T949" s="5">
        <v>262</v>
      </c>
      <c r="U949" s="5">
        <v>257</v>
      </c>
      <c r="V949" s="5">
        <v>257.05</v>
      </c>
      <c r="W949" s="5">
        <v>590800</v>
      </c>
      <c r="Y949" s="6">
        <f t="shared" si="28"/>
        <v>41276</v>
      </c>
      <c r="Z949" s="5">
        <f t="shared" si="29"/>
        <v>10069.3799</v>
      </c>
      <c r="AA949" s="5">
        <v>163.12</v>
      </c>
      <c r="AB949" s="5">
        <v>217.67</v>
      </c>
    </row>
    <row r="950" spans="1:28" x14ac:dyDescent="0.3">
      <c r="A950" s="6">
        <v>39582</v>
      </c>
      <c r="B950" s="7">
        <v>0.66666666666666663</v>
      </c>
      <c r="C950" s="5">
        <v>172.2</v>
      </c>
      <c r="D950" s="5">
        <v>174</v>
      </c>
      <c r="E950" s="5">
        <v>172.2</v>
      </c>
      <c r="F950" s="5">
        <v>174</v>
      </c>
      <c r="G950" s="5">
        <v>200</v>
      </c>
      <c r="I950" s="6">
        <v>41277</v>
      </c>
      <c r="J950" s="7">
        <v>0.66666666666666663</v>
      </c>
      <c r="K950" s="5">
        <v>10190</v>
      </c>
      <c r="L950" s="5">
        <v>10200</v>
      </c>
      <c r="M950" s="5">
        <v>10190</v>
      </c>
      <c r="N950" s="5">
        <v>10199.330099999999</v>
      </c>
      <c r="O950" s="5">
        <v>300</v>
      </c>
      <c r="Q950" s="6">
        <v>39560</v>
      </c>
      <c r="R950" s="7">
        <v>0.66666666666666663</v>
      </c>
      <c r="S950" s="5">
        <v>257.05</v>
      </c>
      <c r="T950" s="5">
        <v>258.75</v>
      </c>
      <c r="U950" s="5">
        <v>245.2</v>
      </c>
      <c r="V950" s="5">
        <v>250.5</v>
      </c>
      <c r="W950" s="5">
        <v>1100500</v>
      </c>
      <c r="Y950" s="6">
        <f t="shared" si="28"/>
        <v>41277</v>
      </c>
      <c r="Z950" s="5">
        <f t="shared" si="29"/>
        <v>10199.330099999999</v>
      </c>
      <c r="AA950" s="5">
        <v>163.03</v>
      </c>
      <c r="AB950" s="5" t="e">
        <v>#N/A</v>
      </c>
    </row>
    <row r="951" spans="1:28" x14ac:dyDescent="0.3">
      <c r="A951" s="6">
        <v>39583</v>
      </c>
      <c r="B951" s="7">
        <v>0.66666666666666663</v>
      </c>
      <c r="C951" s="5">
        <v>172.5</v>
      </c>
      <c r="D951" s="5">
        <v>174</v>
      </c>
      <c r="E951" s="5">
        <v>172</v>
      </c>
      <c r="F951" s="5">
        <v>173</v>
      </c>
      <c r="G951" s="5">
        <v>3800</v>
      </c>
      <c r="I951" s="6">
        <v>41278</v>
      </c>
      <c r="J951" s="7">
        <v>0.66666666666666663</v>
      </c>
      <c r="K951" s="5">
        <v>10200</v>
      </c>
      <c r="L951" s="5">
        <v>10200</v>
      </c>
      <c r="M951" s="5">
        <v>10200</v>
      </c>
      <c r="N951" s="5">
        <v>10200</v>
      </c>
      <c r="O951" s="5">
        <v>40</v>
      </c>
      <c r="Q951" s="6">
        <v>39561</v>
      </c>
      <c r="R951" s="7">
        <v>0.66666666666666663</v>
      </c>
      <c r="S951" s="5">
        <v>251.5</v>
      </c>
      <c r="T951" s="5">
        <v>263</v>
      </c>
      <c r="U951" s="5">
        <v>251.5</v>
      </c>
      <c r="V951" s="5">
        <v>263</v>
      </c>
      <c r="W951" s="5">
        <v>3876300</v>
      </c>
      <c r="Y951" s="6">
        <f t="shared" si="28"/>
        <v>41278</v>
      </c>
      <c r="Z951" s="5">
        <f t="shared" si="29"/>
        <v>10200</v>
      </c>
      <c r="AA951" s="5">
        <v>163.83000000000001</v>
      </c>
      <c r="AB951" s="5" t="e">
        <v>#N/A</v>
      </c>
    </row>
    <row r="952" spans="1:28" x14ac:dyDescent="0.3">
      <c r="A952" s="6">
        <v>39584</v>
      </c>
      <c r="B952" s="7">
        <v>0.66666666666666663</v>
      </c>
      <c r="C952" s="5">
        <v>172</v>
      </c>
      <c r="D952" s="5">
        <v>172</v>
      </c>
      <c r="E952" s="5">
        <v>169</v>
      </c>
      <c r="F952" s="5">
        <v>169</v>
      </c>
      <c r="G952" s="5">
        <v>2700</v>
      </c>
      <c r="I952" s="6">
        <v>41281</v>
      </c>
      <c r="J952" s="7">
        <v>0.66666666666666663</v>
      </c>
      <c r="K952" s="5">
        <v>10000</v>
      </c>
      <c r="L952" s="5">
        <v>10000</v>
      </c>
      <c r="M952" s="5">
        <v>9900</v>
      </c>
      <c r="N952" s="5">
        <v>9974.9902000000002</v>
      </c>
      <c r="O952" s="5">
        <v>220</v>
      </c>
      <c r="Q952" s="6">
        <v>39562</v>
      </c>
      <c r="R952" s="7">
        <v>0.66666666666666663</v>
      </c>
      <c r="S952" s="5">
        <v>267.25</v>
      </c>
      <c r="T952" s="5">
        <v>276.14999999999998</v>
      </c>
      <c r="U952" s="5">
        <v>267.25</v>
      </c>
      <c r="V952" s="5">
        <v>275.45</v>
      </c>
      <c r="W952" s="5">
        <v>8014800</v>
      </c>
      <c r="Y952" s="6">
        <f t="shared" si="28"/>
        <v>41281</v>
      </c>
      <c r="Z952" s="5">
        <f t="shared" si="29"/>
        <v>9974.9902000000002</v>
      </c>
      <c r="AA952" s="5">
        <v>162.32</v>
      </c>
      <c r="AB952" s="5">
        <v>213.02</v>
      </c>
    </row>
    <row r="953" spans="1:28" x14ac:dyDescent="0.3">
      <c r="A953" s="6">
        <v>39587</v>
      </c>
      <c r="B953" s="7">
        <v>0.66666666666666663</v>
      </c>
      <c r="C953" s="5">
        <v>171.94</v>
      </c>
      <c r="D953" s="5">
        <v>172.5</v>
      </c>
      <c r="E953" s="5">
        <v>170</v>
      </c>
      <c r="F953" s="5">
        <v>170</v>
      </c>
      <c r="G953" s="5">
        <v>7200</v>
      </c>
      <c r="I953" s="6">
        <v>41282</v>
      </c>
      <c r="J953" s="7">
        <v>0.66666666666666663</v>
      </c>
      <c r="K953" s="5">
        <v>9960</v>
      </c>
      <c r="L953" s="5">
        <v>10000</v>
      </c>
      <c r="M953" s="5">
        <v>9800.0097999999998</v>
      </c>
      <c r="N953" s="5">
        <v>10000</v>
      </c>
      <c r="O953" s="5">
        <v>400</v>
      </c>
      <c r="Q953" s="6">
        <v>39563</v>
      </c>
      <c r="R953" s="7">
        <v>0.66666666666666663</v>
      </c>
      <c r="S953" s="5">
        <v>278.5</v>
      </c>
      <c r="T953" s="5">
        <v>289.2</v>
      </c>
      <c r="U953" s="5">
        <v>278.5</v>
      </c>
      <c r="V953" s="5">
        <v>289.2</v>
      </c>
      <c r="W953" s="5">
        <v>6719000</v>
      </c>
      <c r="Y953" s="6">
        <f t="shared" si="28"/>
        <v>41282</v>
      </c>
      <c r="Z953" s="5">
        <f t="shared" si="29"/>
        <v>10000</v>
      </c>
      <c r="AA953" s="5">
        <v>165.43</v>
      </c>
      <c r="AB953" s="5" t="e">
        <v>#N/A</v>
      </c>
    </row>
    <row r="954" spans="1:28" x14ac:dyDescent="0.3">
      <c r="A954" s="6">
        <v>39588</v>
      </c>
      <c r="B954" s="7">
        <v>0.66666666666666663</v>
      </c>
      <c r="C954" s="5">
        <v>168</v>
      </c>
      <c r="D954" s="5">
        <v>170.5</v>
      </c>
      <c r="E954" s="5">
        <v>168</v>
      </c>
      <c r="F954" s="5">
        <v>168</v>
      </c>
      <c r="G954" s="5">
        <v>4100</v>
      </c>
      <c r="I954" s="6">
        <v>41283</v>
      </c>
      <c r="J954" s="7">
        <v>0.66666666666666663</v>
      </c>
      <c r="K954" s="5">
        <v>10025</v>
      </c>
      <c r="L954" s="5">
        <v>10100</v>
      </c>
      <c r="M954" s="5">
        <v>10025</v>
      </c>
      <c r="N954" s="5">
        <v>10080.7695</v>
      </c>
      <c r="O954" s="5">
        <v>340</v>
      </c>
      <c r="Q954" s="6">
        <v>39566</v>
      </c>
      <c r="R954" s="7">
        <v>0.66666666666666663</v>
      </c>
      <c r="S954" s="5">
        <v>293.5</v>
      </c>
      <c r="T954" s="5">
        <v>303.66000000000003</v>
      </c>
      <c r="U954" s="5">
        <v>293.5</v>
      </c>
      <c r="V954" s="5">
        <v>303.66000000000003</v>
      </c>
      <c r="W954" s="5">
        <v>4370800</v>
      </c>
      <c r="Y954" s="6">
        <f t="shared" si="28"/>
        <v>41283</v>
      </c>
      <c r="Z954" s="5">
        <f t="shared" si="29"/>
        <v>10080.7695</v>
      </c>
      <c r="AA954" s="5">
        <v>164.6</v>
      </c>
      <c r="AB954" s="5">
        <v>203.67</v>
      </c>
    </row>
    <row r="955" spans="1:28" x14ac:dyDescent="0.3">
      <c r="A955" s="6">
        <v>39589</v>
      </c>
      <c r="B955" s="7">
        <v>0.66666666666666663</v>
      </c>
      <c r="C955" s="5">
        <v>169</v>
      </c>
      <c r="D955" s="5">
        <v>170.3</v>
      </c>
      <c r="E955" s="5">
        <v>168</v>
      </c>
      <c r="F955" s="5">
        <v>169</v>
      </c>
      <c r="G955" s="5">
        <v>2000</v>
      </c>
      <c r="I955" s="6">
        <v>41284</v>
      </c>
      <c r="J955" s="7">
        <v>0.66666666666666663</v>
      </c>
      <c r="K955" s="5">
        <v>10000</v>
      </c>
      <c r="L955" s="5">
        <v>10000</v>
      </c>
      <c r="M955" s="5">
        <v>9952</v>
      </c>
      <c r="N955" s="5">
        <v>10000</v>
      </c>
      <c r="O955" s="5">
        <v>520</v>
      </c>
      <c r="Q955" s="6">
        <v>39567</v>
      </c>
      <c r="R955" s="7">
        <v>0.66666666666666663</v>
      </c>
      <c r="S955" s="5">
        <v>303.66000000000003</v>
      </c>
      <c r="T955" s="5">
        <v>315.89999999999998</v>
      </c>
      <c r="U955" s="5">
        <v>300.13</v>
      </c>
      <c r="V955" s="5">
        <v>302</v>
      </c>
      <c r="W955" s="5">
        <v>9493600</v>
      </c>
      <c r="Y955" s="6">
        <f t="shared" si="28"/>
        <v>41284</v>
      </c>
      <c r="Z955" s="5">
        <f t="shared" si="29"/>
        <v>10000</v>
      </c>
      <c r="AA955" s="5">
        <v>162.77000000000001</v>
      </c>
      <c r="AB955" s="5">
        <v>201.63</v>
      </c>
    </row>
    <row r="956" spans="1:28" x14ac:dyDescent="0.3">
      <c r="A956" s="6">
        <v>39590</v>
      </c>
      <c r="B956" s="7">
        <v>0.66666666666666663</v>
      </c>
      <c r="C956" s="5">
        <v>168.1</v>
      </c>
      <c r="D956" s="5">
        <v>169</v>
      </c>
      <c r="E956" s="5">
        <v>167.1</v>
      </c>
      <c r="F956" s="5">
        <v>167.1</v>
      </c>
      <c r="G956" s="5">
        <v>800</v>
      </c>
      <c r="I956" s="6">
        <v>41285</v>
      </c>
      <c r="J956" s="7">
        <v>0.66666666666666663</v>
      </c>
      <c r="K956" s="5">
        <v>10000</v>
      </c>
      <c r="L956" s="5">
        <v>10000</v>
      </c>
      <c r="M956" s="5">
        <v>10000</v>
      </c>
      <c r="N956" s="5">
        <v>10000</v>
      </c>
      <c r="O956" s="5">
        <v>320</v>
      </c>
      <c r="Q956" s="6">
        <v>39568</v>
      </c>
      <c r="R956" s="7">
        <v>0.66666666666666663</v>
      </c>
      <c r="S956" s="5">
        <v>302</v>
      </c>
      <c r="T956" s="5">
        <v>312</v>
      </c>
      <c r="U956" s="5">
        <v>301.06</v>
      </c>
      <c r="V956" s="5">
        <v>305.5</v>
      </c>
      <c r="W956" s="5">
        <v>5801800</v>
      </c>
      <c r="Y956" s="6">
        <f t="shared" si="28"/>
        <v>41285</v>
      </c>
      <c r="Z956" s="5">
        <f t="shared" si="29"/>
        <v>10000</v>
      </c>
      <c r="AA956" s="5">
        <v>158.30000000000001</v>
      </c>
      <c r="AB956" s="5">
        <v>201.63</v>
      </c>
    </row>
    <row r="957" spans="1:28" x14ac:dyDescent="0.3">
      <c r="A957" s="6">
        <v>39591</v>
      </c>
      <c r="B957" s="7">
        <v>0.66666666666666663</v>
      </c>
      <c r="C957" s="5">
        <v>165</v>
      </c>
      <c r="D957" s="5">
        <v>165</v>
      </c>
      <c r="E957" s="5">
        <v>158.75</v>
      </c>
      <c r="F957" s="5">
        <v>158.75</v>
      </c>
      <c r="G957" s="5">
        <v>6900</v>
      </c>
      <c r="I957" s="6">
        <v>41288</v>
      </c>
      <c r="J957" s="7">
        <v>0.66666666666666663</v>
      </c>
      <c r="K957" s="5">
        <v>10000</v>
      </c>
      <c r="L957" s="5">
        <v>10000</v>
      </c>
      <c r="M957" s="5">
        <v>10000</v>
      </c>
      <c r="N957" s="5">
        <v>10000</v>
      </c>
      <c r="O957" s="5">
        <v>140</v>
      </c>
      <c r="Q957" s="6">
        <v>39570</v>
      </c>
      <c r="R957" s="7">
        <v>0.66666666666666663</v>
      </c>
      <c r="S957" s="5">
        <v>305.5</v>
      </c>
      <c r="T957" s="5">
        <v>306</v>
      </c>
      <c r="U957" s="5">
        <v>290.23</v>
      </c>
      <c r="V957" s="5">
        <v>290.23</v>
      </c>
      <c r="W957" s="5">
        <v>2625000</v>
      </c>
      <c r="Y957" s="6">
        <f t="shared" si="28"/>
        <v>41288</v>
      </c>
      <c r="Z957" s="5">
        <f t="shared" si="29"/>
        <v>10000</v>
      </c>
      <c r="AA957" s="5">
        <v>157.65</v>
      </c>
      <c r="AB957" s="5" t="e">
        <v>#N/A</v>
      </c>
    </row>
    <row r="958" spans="1:28" x14ac:dyDescent="0.3">
      <c r="A958" s="6">
        <v>39594</v>
      </c>
      <c r="B958" s="7">
        <v>0.66666666666666663</v>
      </c>
      <c r="C958" s="5">
        <v>153</v>
      </c>
      <c r="D958" s="5">
        <v>153.19999999999999</v>
      </c>
      <c r="E958" s="5">
        <v>150.82</v>
      </c>
      <c r="F958" s="5">
        <v>153.19999999999999</v>
      </c>
      <c r="G958" s="5">
        <v>20700</v>
      </c>
      <c r="I958" s="6">
        <v>41289</v>
      </c>
      <c r="J958" s="7">
        <v>0.66666666666666663</v>
      </c>
      <c r="K958" s="5">
        <v>9998.9501999999993</v>
      </c>
      <c r="L958" s="5">
        <v>10097</v>
      </c>
      <c r="M958" s="5">
        <v>9815</v>
      </c>
      <c r="N958" s="5">
        <v>9993.4599999999991</v>
      </c>
      <c r="O958" s="5">
        <v>340</v>
      </c>
      <c r="Q958" s="6">
        <v>39573</v>
      </c>
      <c r="R958" s="7">
        <v>0.66666666666666663</v>
      </c>
      <c r="S958" s="5">
        <v>284.8</v>
      </c>
      <c r="T958" s="5">
        <v>284.8</v>
      </c>
      <c r="U958" s="5">
        <v>275.72000000000003</v>
      </c>
      <c r="V958" s="5">
        <v>275.72000000000003</v>
      </c>
      <c r="W958" s="5">
        <v>1971400</v>
      </c>
      <c r="Y958" s="6">
        <f t="shared" si="28"/>
        <v>41289</v>
      </c>
      <c r="Z958" s="5">
        <f t="shared" si="29"/>
        <v>9993.4599999999991</v>
      </c>
      <c r="AA958" s="5">
        <v>150.55000000000001</v>
      </c>
      <c r="AB958" s="5">
        <v>198.23</v>
      </c>
    </row>
    <row r="959" spans="1:28" x14ac:dyDescent="0.3">
      <c r="A959" s="6">
        <v>39595</v>
      </c>
      <c r="B959" s="7">
        <v>0.66666666666666663</v>
      </c>
      <c r="C959" s="5">
        <v>152.69999999999999</v>
      </c>
      <c r="D959" s="5">
        <v>160</v>
      </c>
      <c r="E959" s="5">
        <v>152.69999999999999</v>
      </c>
      <c r="F959" s="5">
        <v>159.75</v>
      </c>
      <c r="G959" s="5">
        <v>18600</v>
      </c>
      <c r="I959" s="6">
        <v>41290</v>
      </c>
      <c r="J959" s="7">
        <v>0.66666666666666663</v>
      </c>
      <c r="K959" s="5">
        <v>10000</v>
      </c>
      <c r="L959" s="5">
        <v>10000</v>
      </c>
      <c r="M959" s="5">
        <v>10000</v>
      </c>
      <c r="N959" s="5">
        <v>10000</v>
      </c>
      <c r="O959" s="5">
        <v>60</v>
      </c>
      <c r="Q959" s="6">
        <v>39574</v>
      </c>
      <c r="R959" s="7">
        <v>0.66666666666666663</v>
      </c>
      <c r="S959" s="5">
        <v>275.72000000000003</v>
      </c>
      <c r="T959" s="5">
        <v>282</v>
      </c>
      <c r="U959" s="5">
        <v>263.5</v>
      </c>
      <c r="V959" s="5">
        <v>273.10000000000002</v>
      </c>
      <c r="W959" s="5">
        <v>5553400</v>
      </c>
      <c r="Y959" s="6">
        <f t="shared" si="28"/>
        <v>41290</v>
      </c>
      <c r="Z959" s="5">
        <f t="shared" si="29"/>
        <v>10000</v>
      </c>
      <c r="AA959" s="5">
        <v>154.15</v>
      </c>
      <c r="AB959" s="5">
        <v>207.43</v>
      </c>
    </row>
    <row r="960" spans="1:28" x14ac:dyDescent="0.3">
      <c r="A960" s="6">
        <v>39596</v>
      </c>
      <c r="B960" s="7">
        <v>0.66666666666666663</v>
      </c>
      <c r="C960" s="5">
        <v>160</v>
      </c>
      <c r="D960" s="5">
        <v>164</v>
      </c>
      <c r="E960" s="5">
        <v>154</v>
      </c>
      <c r="F960" s="5">
        <v>155</v>
      </c>
      <c r="G960" s="5">
        <v>10600</v>
      </c>
      <c r="I960" s="6">
        <v>41291</v>
      </c>
      <c r="J960" s="7">
        <v>0.66666666666666663</v>
      </c>
      <c r="K960" s="5">
        <v>9901</v>
      </c>
      <c r="L960" s="5">
        <v>9999</v>
      </c>
      <c r="M960" s="5">
        <v>9900.0097999999998</v>
      </c>
      <c r="N960" s="5">
        <v>9969.6699000000008</v>
      </c>
      <c r="O960" s="5">
        <v>100</v>
      </c>
      <c r="Q960" s="6">
        <v>39575</v>
      </c>
      <c r="R960" s="7">
        <v>0.66666666666666663</v>
      </c>
      <c r="S960" s="5">
        <v>273.10000000000002</v>
      </c>
      <c r="T960" s="5">
        <v>286.75</v>
      </c>
      <c r="U960" s="5">
        <v>272.5</v>
      </c>
      <c r="V960" s="5">
        <v>286.75</v>
      </c>
      <c r="W960" s="5">
        <v>4443500</v>
      </c>
      <c r="Y960" s="6">
        <f t="shared" si="28"/>
        <v>41291</v>
      </c>
      <c r="Z960" s="5">
        <f t="shared" si="29"/>
        <v>9969.6699000000008</v>
      </c>
      <c r="AA960" s="5">
        <v>157.26</v>
      </c>
      <c r="AB960" s="5">
        <v>205.42</v>
      </c>
    </row>
    <row r="961" spans="1:28" x14ac:dyDescent="0.3">
      <c r="A961" s="6">
        <v>39597</v>
      </c>
      <c r="B961" s="7">
        <v>0.66666666666666663</v>
      </c>
      <c r="C961" s="5">
        <v>148</v>
      </c>
      <c r="D961" s="5">
        <v>162.75</v>
      </c>
      <c r="E961" s="5">
        <v>147.25</v>
      </c>
      <c r="F961" s="5">
        <v>159.99</v>
      </c>
      <c r="G961" s="5">
        <v>14700</v>
      </c>
      <c r="I961" s="6">
        <v>41295</v>
      </c>
      <c r="J961" s="7">
        <v>0.66666666666666663</v>
      </c>
      <c r="K961" s="5">
        <v>9900</v>
      </c>
      <c r="L961" s="5">
        <v>9900</v>
      </c>
      <c r="M961" s="5">
        <v>9900</v>
      </c>
      <c r="N961" s="5">
        <v>9900</v>
      </c>
      <c r="O961" s="5">
        <v>40</v>
      </c>
      <c r="Q961" s="6">
        <v>39576</v>
      </c>
      <c r="R961" s="7">
        <v>0.66666666666666663</v>
      </c>
      <c r="S961" s="5">
        <v>286.75</v>
      </c>
      <c r="T961" s="5">
        <v>301</v>
      </c>
      <c r="U961" s="5">
        <v>283.25</v>
      </c>
      <c r="V961" s="5">
        <v>292.05</v>
      </c>
      <c r="W961" s="5">
        <v>5702700</v>
      </c>
      <c r="Y961" s="6">
        <f t="shared" si="28"/>
        <v>41295</v>
      </c>
      <c r="Z961" s="5">
        <f t="shared" si="29"/>
        <v>9900</v>
      </c>
      <c r="AA961" s="5">
        <v>164.53</v>
      </c>
      <c r="AB961" s="5">
        <v>208</v>
      </c>
    </row>
    <row r="962" spans="1:28" x14ac:dyDescent="0.3">
      <c r="A962" s="6">
        <v>39598</v>
      </c>
      <c r="B962" s="7">
        <v>0.66666666666666663</v>
      </c>
      <c r="C962" s="5">
        <v>162.94999999999999</v>
      </c>
      <c r="D962" s="5">
        <v>162.94999999999999</v>
      </c>
      <c r="E962" s="5">
        <v>156</v>
      </c>
      <c r="F962" s="5">
        <v>160</v>
      </c>
      <c r="G962" s="5">
        <v>5000</v>
      </c>
      <c r="I962" s="6">
        <v>41296</v>
      </c>
      <c r="J962" s="7">
        <v>0.66666666666666663</v>
      </c>
      <c r="K962" s="5">
        <v>9900</v>
      </c>
      <c r="L962" s="5">
        <v>9900</v>
      </c>
      <c r="M962" s="5">
        <v>9900</v>
      </c>
      <c r="N962" s="5">
        <v>9900</v>
      </c>
      <c r="O962" s="5">
        <v>40</v>
      </c>
      <c r="Q962" s="6">
        <v>39577</v>
      </c>
      <c r="R962" s="7">
        <v>0.66666666666666663</v>
      </c>
      <c r="S962" s="5">
        <v>292.05</v>
      </c>
      <c r="T962" s="5">
        <v>295.2</v>
      </c>
      <c r="U962" s="5">
        <v>278.25</v>
      </c>
      <c r="V962" s="5">
        <v>285.25</v>
      </c>
      <c r="W962" s="5">
        <v>5819600</v>
      </c>
      <c r="Y962" s="6">
        <f t="shared" si="28"/>
        <v>41296</v>
      </c>
      <c r="Z962" s="5">
        <f t="shared" si="29"/>
        <v>9900</v>
      </c>
      <c r="AA962" s="5">
        <v>168.88</v>
      </c>
      <c r="AB962" s="5">
        <v>209.14</v>
      </c>
    </row>
    <row r="963" spans="1:28" x14ac:dyDescent="0.3">
      <c r="A963" s="6">
        <v>39601</v>
      </c>
      <c r="B963" s="7">
        <v>0.66666666666666663</v>
      </c>
      <c r="C963" s="5">
        <v>158.11000000000001</v>
      </c>
      <c r="D963" s="5">
        <v>161.15</v>
      </c>
      <c r="E963" s="5">
        <v>158</v>
      </c>
      <c r="F963" s="5">
        <v>160</v>
      </c>
      <c r="G963" s="5">
        <v>3300</v>
      </c>
      <c r="I963" s="6">
        <v>41297</v>
      </c>
      <c r="J963" s="7">
        <v>0.66666666666666663</v>
      </c>
      <c r="K963" s="5">
        <v>9949.9902000000002</v>
      </c>
      <c r="L963" s="5">
        <v>9949.9902000000002</v>
      </c>
      <c r="M963" s="5">
        <v>9949.9902000000002</v>
      </c>
      <c r="N963" s="5">
        <v>9949.9902000000002</v>
      </c>
      <c r="O963" s="5">
        <v>20</v>
      </c>
      <c r="Q963" s="6">
        <v>39580</v>
      </c>
      <c r="R963" s="7">
        <v>0.66666666666666663</v>
      </c>
      <c r="S963" s="5">
        <v>285.25</v>
      </c>
      <c r="T963" s="5">
        <v>292</v>
      </c>
      <c r="U963" s="5">
        <v>278.5</v>
      </c>
      <c r="V963" s="5">
        <v>288</v>
      </c>
      <c r="W963" s="5">
        <v>2904200</v>
      </c>
      <c r="Y963" s="6">
        <f t="shared" si="28"/>
        <v>41297</v>
      </c>
      <c r="Z963" s="5">
        <f t="shared" si="29"/>
        <v>9949.9902000000002</v>
      </c>
      <c r="AA963" s="5">
        <v>169.07</v>
      </c>
      <c r="AB963" s="5">
        <v>211</v>
      </c>
    </row>
    <row r="964" spans="1:28" x14ac:dyDescent="0.3">
      <c r="A964" s="6">
        <v>39602</v>
      </c>
      <c r="B964" s="7">
        <v>0.66666666666666663</v>
      </c>
      <c r="C964" s="5">
        <v>158.03</v>
      </c>
      <c r="D964" s="5">
        <v>162.4</v>
      </c>
      <c r="E964" s="5">
        <v>158.03</v>
      </c>
      <c r="F964" s="5">
        <v>161.5</v>
      </c>
      <c r="G964" s="5">
        <v>1900</v>
      </c>
      <c r="I964" s="6">
        <v>41298</v>
      </c>
      <c r="J964" s="7">
        <v>0.66666666666666663</v>
      </c>
      <c r="K964" s="5">
        <v>9905</v>
      </c>
      <c r="L964" s="5">
        <v>9950</v>
      </c>
      <c r="M964" s="5">
        <v>9900</v>
      </c>
      <c r="N964" s="5">
        <v>9914.8300999999992</v>
      </c>
      <c r="O964" s="5">
        <v>260</v>
      </c>
      <c r="Q964" s="6">
        <v>39581</v>
      </c>
      <c r="R964" s="7">
        <v>0.66666666666666663</v>
      </c>
      <c r="S964" s="5">
        <v>289.5</v>
      </c>
      <c r="T964" s="5">
        <v>295.95</v>
      </c>
      <c r="U964" s="5">
        <v>289.5</v>
      </c>
      <c r="V964" s="5">
        <v>293.01</v>
      </c>
      <c r="W964" s="5">
        <v>4788100</v>
      </c>
      <c r="Y964" s="6">
        <f t="shared" ref="Y964:Y1027" si="30">I964</f>
        <v>41298</v>
      </c>
      <c r="Z964" s="5">
        <f t="shared" ref="Z964:Z1027" si="31">N964</f>
        <v>9914.8300999999992</v>
      </c>
      <c r="AA964" s="5">
        <v>167.73</v>
      </c>
      <c r="AB964" s="5">
        <v>212</v>
      </c>
    </row>
    <row r="965" spans="1:28" x14ac:dyDescent="0.3">
      <c r="A965" s="6">
        <v>39603</v>
      </c>
      <c r="B965" s="7">
        <v>0.66666666666666663</v>
      </c>
      <c r="C965" s="5">
        <v>163</v>
      </c>
      <c r="D965" s="5">
        <v>169.57</v>
      </c>
      <c r="E965" s="5">
        <v>163</v>
      </c>
      <c r="F965" s="5">
        <v>169.57</v>
      </c>
      <c r="G965" s="5">
        <v>6600</v>
      </c>
      <c r="I965" s="6">
        <v>41302</v>
      </c>
      <c r="J965" s="7">
        <v>0.66666666666666663</v>
      </c>
      <c r="K965" s="5">
        <v>9925</v>
      </c>
      <c r="L965" s="5">
        <v>9925</v>
      </c>
      <c r="M965" s="5">
        <v>9850</v>
      </c>
      <c r="N965" s="5">
        <v>9883.2597999999998</v>
      </c>
      <c r="O965" s="5">
        <v>180</v>
      </c>
      <c r="Q965" s="6">
        <v>39582</v>
      </c>
      <c r="R965" s="7">
        <v>0.66666666666666663</v>
      </c>
      <c r="S965" s="5">
        <v>293.01</v>
      </c>
      <c r="T965" s="5">
        <v>296</v>
      </c>
      <c r="U965" s="5">
        <v>286.10000000000002</v>
      </c>
      <c r="V965" s="5">
        <v>287</v>
      </c>
      <c r="W965" s="5">
        <v>1953400</v>
      </c>
      <c r="Y965" s="6">
        <f t="shared" si="30"/>
        <v>41302</v>
      </c>
      <c r="Z965" s="5">
        <f t="shared" si="31"/>
        <v>9883.2597999999998</v>
      </c>
      <c r="AA965" s="5">
        <v>166.58</v>
      </c>
      <c r="AB965" s="5">
        <v>212</v>
      </c>
    </row>
    <row r="966" spans="1:28" x14ac:dyDescent="0.3">
      <c r="A966" s="6">
        <v>39604</v>
      </c>
      <c r="B966" s="7">
        <v>0.66666666666666663</v>
      </c>
      <c r="C966" s="5">
        <v>177</v>
      </c>
      <c r="D966" s="5">
        <v>178.04</v>
      </c>
      <c r="E966" s="5">
        <v>171</v>
      </c>
      <c r="F966" s="5">
        <v>173.5</v>
      </c>
      <c r="G966" s="5">
        <v>10700</v>
      </c>
      <c r="I966" s="6">
        <v>41303</v>
      </c>
      <c r="J966" s="7">
        <v>0.66666666666666663</v>
      </c>
      <c r="K966" s="5">
        <v>9949.9902000000002</v>
      </c>
      <c r="L966" s="5">
        <v>10000</v>
      </c>
      <c r="M966" s="5">
        <v>9949.9902000000002</v>
      </c>
      <c r="N966" s="5">
        <v>9994.2001999999993</v>
      </c>
      <c r="O966" s="5">
        <v>200</v>
      </c>
      <c r="Q966" s="6">
        <v>39583</v>
      </c>
      <c r="R966" s="7">
        <v>0.66666666666666663</v>
      </c>
      <c r="S966" s="5">
        <v>287</v>
      </c>
      <c r="T966" s="5">
        <v>291.5</v>
      </c>
      <c r="U966" s="5">
        <v>284</v>
      </c>
      <c r="V966" s="5">
        <v>286.5</v>
      </c>
      <c r="W966" s="5">
        <v>2690100</v>
      </c>
      <c r="Y966" s="6">
        <f t="shared" si="30"/>
        <v>41303</v>
      </c>
      <c r="Z966" s="5">
        <f t="shared" si="31"/>
        <v>9994.2001999999993</v>
      </c>
      <c r="AA966" s="5">
        <v>167.82</v>
      </c>
      <c r="AB966" s="5">
        <v>218</v>
      </c>
    </row>
    <row r="967" spans="1:28" x14ac:dyDescent="0.3">
      <c r="A967" s="6">
        <v>39605</v>
      </c>
      <c r="B967" s="7">
        <v>0.66666666666666663</v>
      </c>
      <c r="C967" s="5">
        <v>173.5</v>
      </c>
      <c r="D967" s="5">
        <v>173.5</v>
      </c>
      <c r="E967" s="5">
        <v>168</v>
      </c>
      <c r="F967" s="5">
        <v>170.5</v>
      </c>
      <c r="G967" s="5">
        <v>9500</v>
      </c>
      <c r="I967" s="6">
        <v>41304</v>
      </c>
      <c r="J967" s="7">
        <v>0.66666666666666663</v>
      </c>
      <c r="K967" s="5">
        <v>9995</v>
      </c>
      <c r="L967" s="5">
        <v>9995</v>
      </c>
      <c r="M967" s="5">
        <v>9995</v>
      </c>
      <c r="N967" s="5">
        <v>9995</v>
      </c>
      <c r="O967" s="5">
        <v>40</v>
      </c>
      <c r="Q967" s="6">
        <v>39584</v>
      </c>
      <c r="R967" s="7">
        <v>0.66666666666666663</v>
      </c>
      <c r="S967" s="5">
        <v>286.5</v>
      </c>
      <c r="T967" s="5">
        <v>287.49</v>
      </c>
      <c r="U967" s="5">
        <v>276.10000000000002</v>
      </c>
      <c r="V967" s="5">
        <v>277</v>
      </c>
      <c r="W967" s="5">
        <v>1423800</v>
      </c>
      <c r="Y967" s="6">
        <f t="shared" si="30"/>
        <v>41304</v>
      </c>
      <c r="Z967" s="5">
        <f t="shared" si="31"/>
        <v>9995</v>
      </c>
      <c r="AA967" s="5">
        <v>167.88</v>
      </c>
      <c r="AB967" s="5">
        <v>214.34</v>
      </c>
    </row>
    <row r="968" spans="1:28" x14ac:dyDescent="0.3">
      <c r="A968" s="6">
        <v>39608</v>
      </c>
      <c r="B968" s="7">
        <v>0.66666666666666663</v>
      </c>
      <c r="C968" s="5">
        <v>173.5</v>
      </c>
      <c r="D968" s="5">
        <v>174</v>
      </c>
      <c r="E968" s="5">
        <v>166.5</v>
      </c>
      <c r="F968" s="5">
        <v>166.5</v>
      </c>
      <c r="G968" s="5">
        <v>5700</v>
      </c>
      <c r="I968" s="6">
        <v>41305</v>
      </c>
      <c r="J968" s="7">
        <v>0.66666666666666663</v>
      </c>
      <c r="K968" s="5">
        <v>10000</v>
      </c>
      <c r="L968" s="5">
        <v>10000.0098</v>
      </c>
      <c r="M968" s="5">
        <v>10000</v>
      </c>
      <c r="N968" s="5">
        <v>10000.0098</v>
      </c>
      <c r="O968" s="5">
        <v>380</v>
      </c>
      <c r="Q968" s="6">
        <v>39587</v>
      </c>
      <c r="R968" s="7">
        <v>0.66666666666666663</v>
      </c>
      <c r="S968" s="5">
        <v>277</v>
      </c>
      <c r="T968" s="5">
        <v>280.8</v>
      </c>
      <c r="U968" s="5">
        <v>263.14999999999998</v>
      </c>
      <c r="V968" s="5">
        <v>263.14999999999998</v>
      </c>
      <c r="W968" s="5">
        <v>1091200</v>
      </c>
      <c r="Y968" s="6">
        <f t="shared" si="30"/>
        <v>41305</v>
      </c>
      <c r="Z968" s="5">
        <f t="shared" si="31"/>
        <v>10000.0098</v>
      </c>
      <c r="AA968" s="5">
        <v>171.43</v>
      </c>
      <c r="AB968" s="5">
        <v>214.01</v>
      </c>
    </row>
    <row r="969" spans="1:28" x14ac:dyDescent="0.3">
      <c r="A969" s="6">
        <v>39609</v>
      </c>
      <c r="B969" s="7">
        <v>0.66666666666666663</v>
      </c>
      <c r="C969" s="5">
        <v>165</v>
      </c>
      <c r="D969" s="5">
        <v>165</v>
      </c>
      <c r="E969" s="5">
        <v>162</v>
      </c>
      <c r="F969" s="5">
        <v>163</v>
      </c>
      <c r="G969" s="5">
        <v>7700</v>
      </c>
      <c r="I969" s="6">
        <v>41306</v>
      </c>
      <c r="J969" s="7">
        <v>0.66666666666666663</v>
      </c>
      <c r="K969" s="5">
        <v>10000.0098</v>
      </c>
      <c r="L969" s="5">
        <v>10140</v>
      </c>
      <c r="M969" s="5">
        <v>10000</v>
      </c>
      <c r="N969" s="5">
        <v>10000</v>
      </c>
      <c r="O969" s="5">
        <v>2300</v>
      </c>
      <c r="Q969" s="6">
        <v>39588</v>
      </c>
      <c r="R969" s="7">
        <v>0.66666666666666663</v>
      </c>
      <c r="S969" s="5">
        <v>263.14999999999998</v>
      </c>
      <c r="T969" s="5">
        <v>269.99</v>
      </c>
      <c r="U969" s="5">
        <v>250</v>
      </c>
      <c r="V969" s="5">
        <v>254</v>
      </c>
      <c r="W969" s="5">
        <v>4784300</v>
      </c>
      <c r="Y969" s="6">
        <f t="shared" si="30"/>
        <v>41306</v>
      </c>
      <c r="Z969" s="5">
        <f t="shared" si="31"/>
        <v>10000</v>
      </c>
      <c r="AA969" s="5">
        <v>172.56</v>
      </c>
      <c r="AB969" s="5">
        <v>214.03</v>
      </c>
    </row>
    <row r="970" spans="1:28" x14ac:dyDescent="0.3">
      <c r="A970" s="6">
        <v>39610</v>
      </c>
      <c r="B970" s="7">
        <v>0.66666666666666663</v>
      </c>
      <c r="C970" s="5">
        <v>165</v>
      </c>
      <c r="D970" s="5">
        <v>166.9</v>
      </c>
      <c r="E970" s="5">
        <v>164.05</v>
      </c>
      <c r="F970" s="5">
        <v>164.05</v>
      </c>
      <c r="G970" s="5">
        <v>2100</v>
      </c>
      <c r="I970" s="6">
        <v>41309</v>
      </c>
      <c r="J970" s="7">
        <v>0.66666666666666663</v>
      </c>
      <c r="K970" s="5">
        <v>10000</v>
      </c>
      <c r="L970" s="5">
        <v>10000</v>
      </c>
      <c r="M970" s="5">
        <v>10000</v>
      </c>
      <c r="N970" s="5">
        <v>10000</v>
      </c>
      <c r="O970" s="5">
        <v>120</v>
      </c>
      <c r="Q970" s="6">
        <v>39589</v>
      </c>
      <c r="R970" s="7">
        <v>0.66666666666666663</v>
      </c>
      <c r="S970" s="5">
        <v>254</v>
      </c>
      <c r="T970" s="5">
        <v>263</v>
      </c>
      <c r="U970" s="5">
        <v>247.2</v>
      </c>
      <c r="V970" s="5">
        <v>260</v>
      </c>
      <c r="W970" s="5">
        <v>6367500</v>
      </c>
      <c r="Y970" s="6">
        <f t="shared" si="30"/>
        <v>41309</v>
      </c>
      <c r="Z970" s="5">
        <f t="shared" si="31"/>
        <v>10000</v>
      </c>
      <c r="AA970" s="5">
        <v>172.51</v>
      </c>
      <c r="AB970" s="5">
        <v>214</v>
      </c>
    </row>
    <row r="971" spans="1:28" x14ac:dyDescent="0.3">
      <c r="A971" s="6">
        <v>39611</v>
      </c>
      <c r="B971" s="7">
        <v>0.66666666666666663</v>
      </c>
      <c r="C971" s="5">
        <v>165.5</v>
      </c>
      <c r="D971" s="5">
        <v>166</v>
      </c>
      <c r="E971" s="5">
        <v>165</v>
      </c>
      <c r="F971" s="5">
        <v>166</v>
      </c>
      <c r="G971" s="5">
        <v>1700</v>
      </c>
      <c r="I971" s="6">
        <v>41311</v>
      </c>
      <c r="J971" s="7">
        <v>0.66666666666666663</v>
      </c>
      <c r="K971" s="5">
        <v>10000</v>
      </c>
      <c r="L971" s="5">
        <v>10100</v>
      </c>
      <c r="M971" s="5">
        <v>10000</v>
      </c>
      <c r="N971" s="5">
        <v>10075</v>
      </c>
      <c r="O971" s="5">
        <v>280</v>
      </c>
      <c r="Q971" s="6">
        <v>39590</v>
      </c>
      <c r="R971" s="7">
        <v>0.66666666666666663</v>
      </c>
      <c r="S971" s="5">
        <v>260</v>
      </c>
      <c r="T971" s="5">
        <v>263.8</v>
      </c>
      <c r="U971" s="5">
        <v>247.2</v>
      </c>
      <c r="V971" s="5">
        <v>251</v>
      </c>
      <c r="W971" s="5">
        <v>2947700</v>
      </c>
      <c r="Y971" s="6">
        <f t="shared" si="30"/>
        <v>41311</v>
      </c>
      <c r="Z971" s="5">
        <f t="shared" si="31"/>
        <v>10075</v>
      </c>
      <c r="AA971" s="5">
        <v>177.89</v>
      </c>
      <c r="AB971" s="5">
        <v>220</v>
      </c>
    </row>
    <row r="972" spans="1:28" x14ac:dyDescent="0.3">
      <c r="A972" s="6">
        <v>39612</v>
      </c>
      <c r="B972" s="7">
        <v>0.66666666666666663</v>
      </c>
      <c r="C972" s="5">
        <v>166</v>
      </c>
      <c r="D972" s="5">
        <v>170</v>
      </c>
      <c r="E972" s="5">
        <v>166</v>
      </c>
      <c r="F972" s="5">
        <v>170</v>
      </c>
      <c r="G972" s="5">
        <v>4900</v>
      </c>
      <c r="I972" s="6">
        <v>41312</v>
      </c>
      <c r="J972" s="7">
        <v>0.66666666666666663</v>
      </c>
      <c r="K972" s="5">
        <v>10550</v>
      </c>
      <c r="L972" s="5">
        <v>10578.75</v>
      </c>
      <c r="M972" s="5">
        <v>10200</v>
      </c>
      <c r="N972" s="5">
        <v>10543.75</v>
      </c>
      <c r="O972" s="5">
        <v>840</v>
      </c>
      <c r="Q972" s="6">
        <v>39591</v>
      </c>
      <c r="R972" s="7">
        <v>0.66666666666666663</v>
      </c>
      <c r="S972" s="5">
        <v>245</v>
      </c>
      <c r="T972" s="5">
        <v>245</v>
      </c>
      <c r="U972" s="5">
        <v>238.45</v>
      </c>
      <c r="V972" s="5">
        <v>238.45</v>
      </c>
      <c r="W972" s="5">
        <v>537200</v>
      </c>
      <c r="Y972" s="6">
        <f t="shared" si="30"/>
        <v>41312</v>
      </c>
      <c r="Z972" s="5">
        <f t="shared" si="31"/>
        <v>10543.75</v>
      </c>
      <c r="AA972" s="5">
        <v>175.83</v>
      </c>
      <c r="AB972" s="5">
        <v>225.06</v>
      </c>
    </row>
    <row r="973" spans="1:28" x14ac:dyDescent="0.3">
      <c r="A973" s="6">
        <v>39615</v>
      </c>
      <c r="B973" s="7">
        <v>0.66666666666666663</v>
      </c>
      <c r="C973" s="5">
        <v>168.11</v>
      </c>
      <c r="D973" s="5">
        <v>168.11</v>
      </c>
      <c r="E973" s="5">
        <v>166.1</v>
      </c>
      <c r="F973" s="5">
        <v>166.1</v>
      </c>
      <c r="G973" s="5">
        <v>2000</v>
      </c>
      <c r="I973" s="6">
        <v>41313</v>
      </c>
      <c r="J973" s="7">
        <v>0.66666666666666663</v>
      </c>
      <c r="K973" s="5">
        <v>10500</v>
      </c>
      <c r="L973" s="5">
        <v>10570</v>
      </c>
      <c r="M973" s="5">
        <v>10405</v>
      </c>
      <c r="N973" s="5">
        <v>10505</v>
      </c>
      <c r="O973" s="5">
        <v>1300</v>
      </c>
      <c r="Q973" s="6">
        <v>39594</v>
      </c>
      <c r="R973" s="7">
        <v>0.66666666666666663</v>
      </c>
      <c r="S973" s="5">
        <v>230</v>
      </c>
      <c r="T973" s="5">
        <v>230</v>
      </c>
      <c r="U973" s="5">
        <v>226.53</v>
      </c>
      <c r="V973" s="5">
        <v>226.53</v>
      </c>
      <c r="W973" s="5">
        <v>739100</v>
      </c>
      <c r="Y973" s="6">
        <f t="shared" si="30"/>
        <v>41313</v>
      </c>
      <c r="Z973" s="5">
        <f t="shared" si="31"/>
        <v>10505</v>
      </c>
      <c r="AA973" s="5">
        <v>176.7</v>
      </c>
      <c r="AB973" s="5">
        <v>225.06</v>
      </c>
    </row>
    <row r="974" spans="1:28" x14ac:dyDescent="0.3">
      <c r="A974" s="6">
        <v>39616</v>
      </c>
      <c r="B974" s="7">
        <v>0.66666666666666663</v>
      </c>
      <c r="C974" s="5">
        <v>160.5</v>
      </c>
      <c r="D974" s="5">
        <v>167.5</v>
      </c>
      <c r="E974" s="5">
        <v>159</v>
      </c>
      <c r="F974" s="5">
        <v>167.5</v>
      </c>
      <c r="G974" s="5">
        <v>3500</v>
      </c>
      <c r="I974" s="6">
        <v>41316</v>
      </c>
      <c r="J974" s="7">
        <v>0.66666666666666663</v>
      </c>
      <c r="K974" s="5">
        <v>10505</v>
      </c>
      <c r="L974" s="5">
        <v>10545</v>
      </c>
      <c r="M974" s="5">
        <v>10203.0098</v>
      </c>
      <c r="N974" s="5">
        <v>10400</v>
      </c>
      <c r="O974" s="5">
        <v>1860</v>
      </c>
      <c r="Q974" s="6">
        <v>39595</v>
      </c>
      <c r="R974" s="7">
        <v>0.66666666666666663</v>
      </c>
      <c r="S974" s="5">
        <v>226.53</v>
      </c>
      <c r="T974" s="5">
        <v>237.85</v>
      </c>
      <c r="U974" s="5">
        <v>221.16</v>
      </c>
      <c r="V974" s="5">
        <v>237.85</v>
      </c>
      <c r="W974" s="5">
        <v>2985000</v>
      </c>
      <c r="Y974" s="6">
        <f t="shared" si="30"/>
        <v>41316</v>
      </c>
      <c r="Z974" s="5">
        <f t="shared" si="31"/>
        <v>10400</v>
      </c>
      <c r="AA974" s="5">
        <v>178.25</v>
      </c>
      <c r="AB974" s="5">
        <v>225.06</v>
      </c>
    </row>
    <row r="975" spans="1:28" x14ac:dyDescent="0.3">
      <c r="A975" s="6">
        <v>39617</v>
      </c>
      <c r="B975" s="7">
        <v>0.66666666666666663</v>
      </c>
      <c r="C975" s="5">
        <v>166.01</v>
      </c>
      <c r="D975" s="5">
        <v>167</v>
      </c>
      <c r="E975" s="5">
        <v>165</v>
      </c>
      <c r="F975" s="5">
        <v>166.01</v>
      </c>
      <c r="G975" s="5">
        <v>1800</v>
      </c>
      <c r="I975" s="6">
        <v>41317</v>
      </c>
      <c r="J975" s="7">
        <v>0.66666666666666663</v>
      </c>
      <c r="K975" s="5">
        <v>10400</v>
      </c>
      <c r="L975" s="5">
        <v>10445</v>
      </c>
      <c r="M975" s="5">
        <v>10210</v>
      </c>
      <c r="N975" s="5">
        <v>10350</v>
      </c>
      <c r="O975" s="5">
        <v>260</v>
      </c>
      <c r="Q975" s="6">
        <v>39596</v>
      </c>
      <c r="R975" s="7">
        <v>0.66666666666666663</v>
      </c>
      <c r="S975" s="5">
        <v>237.85</v>
      </c>
      <c r="T975" s="5">
        <v>249</v>
      </c>
      <c r="U975" s="5">
        <v>225.96</v>
      </c>
      <c r="V975" s="5">
        <v>225.96</v>
      </c>
      <c r="W975" s="5">
        <v>3444800</v>
      </c>
      <c r="Y975" s="6">
        <f t="shared" si="30"/>
        <v>41317</v>
      </c>
      <c r="Z975" s="5">
        <f t="shared" si="31"/>
        <v>10350</v>
      </c>
      <c r="AA975" s="5">
        <v>178.33</v>
      </c>
      <c r="AB975" s="5">
        <v>225.06</v>
      </c>
    </row>
    <row r="976" spans="1:28" x14ac:dyDescent="0.3">
      <c r="A976" s="6">
        <v>39618</v>
      </c>
      <c r="B976" s="7">
        <v>0.66666666666666663</v>
      </c>
      <c r="C976" s="5">
        <v>165</v>
      </c>
      <c r="D976" s="5">
        <v>165</v>
      </c>
      <c r="E976" s="5">
        <v>159</v>
      </c>
      <c r="F976" s="5">
        <v>159</v>
      </c>
      <c r="G976" s="5">
        <v>6400</v>
      </c>
      <c r="I976" s="6">
        <v>41318</v>
      </c>
      <c r="J976" s="7">
        <v>0.66666666666666663</v>
      </c>
      <c r="K976" s="5">
        <v>10300</v>
      </c>
      <c r="L976" s="5">
        <v>10300</v>
      </c>
      <c r="M976" s="5">
        <v>10200</v>
      </c>
      <c r="N976" s="5">
        <v>10275</v>
      </c>
      <c r="O976" s="5">
        <v>1420</v>
      </c>
      <c r="Q976" s="6">
        <v>39597</v>
      </c>
      <c r="R976" s="7">
        <v>0.66666666666666663</v>
      </c>
      <c r="S976" s="5">
        <v>225.96</v>
      </c>
      <c r="T976" s="5">
        <v>236</v>
      </c>
      <c r="U976" s="5">
        <v>214.67</v>
      </c>
      <c r="V976" s="5">
        <v>230</v>
      </c>
      <c r="W976" s="5">
        <v>2140500</v>
      </c>
      <c r="Y976" s="6">
        <f t="shared" si="30"/>
        <v>41318</v>
      </c>
      <c r="Z976" s="5">
        <f t="shared" si="31"/>
        <v>10275</v>
      </c>
      <c r="AA976" s="5">
        <v>179.49</v>
      </c>
      <c r="AB976" s="5">
        <v>226.04</v>
      </c>
    </row>
    <row r="977" spans="1:28" x14ac:dyDescent="0.3">
      <c r="A977" s="6">
        <v>39619</v>
      </c>
      <c r="B977" s="7">
        <v>0.66666666666666663</v>
      </c>
      <c r="C977" s="5">
        <v>160</v>
      </c>
      <c r="D977" s="5">
        <v>163.99</v>
      </c>
      <c r="E977" s="5">
        <v>160</v>
      </c>
      <c r="F977" s="5">
        <v>162</v>
      </c>
      <c r="G977" s="5">
        <v>2200</v>
      </c>
      <c r="I977" s="6">
        <v>41319</v>
      </c>
      <c r="J977" s="7">
        <v>0.66666666666666663</v>
      </c>
      <c r="K977" s="5">
        <v>10200</v>
      </c>
      <c r="L977" s="5">
        <v>10380</v>
      </c>
      <c r="M977" s="5">
        <v>10200</v>
      </c>
      <c r="N977" s="5">
        <v>10380</v>
      </c>
      <c r="O977" s="5">
        <v>440</v>
      </c>
      <c r="Q977" s="6">
        <v>39598</v>
      </c>
      <c r="R977" s="7">
        <v>0.66666666666666663</v>
      </c>
      <c r="S977" s="5">
        <v>230</v>
      </c>
      <c r="T977" s="5">
        <v>238</v>
      </c>
      <c r="U977" s="5">
        <v>220</v>
      </c>
      <c r="V977" s="5">
        <v>230</v>
      </c>
      <c r="W977" s="5">
        <v>3207800</v>
      </c>
      <c r="Y977" s="6">
        <f t="shared" si="30"/>
        <v>41319</v>
      </c>
      <c r="Z977" s="5">
        <f t="shared" si="31"/>
        <v>10380</v>
      </c>
      <c r="AA977" s="5">
        <v>181.13</v>
      </c>
      <c r="AB977" s="5">
        <v>220</v>
      </c>
    </row>
    <row r="978" spans="1:28" x14ac:dyDescent="0.3">
      <c r="A978" s="6">
        <v>39622</v>
      </c>
      <c r="B978" s="7">
        <v>0.66666666666666663</v>
      </c>
      <c r="C978" s="5">
        <v>156.5</v>
      </c>
      <c r="D978" s="5">
        <v>157.1</v>
      </c>
      <c r="E978" s="5">
        <v>153.9</v>
      </c>
      <c r="F978" s="5">
        <v>155</v>
      </c>
      <c r="G978" s="5">
        <v>4000</v>
      </c>
      <c r="I978" s="6">
        <v>41320</v>
      </c>
      <c r="J978" s="7">
        <v>0.66666666666666663</v>
      </c>
      <c r="K978" s="5">
        <v>10206</v>
      </c>
      <c r="L978" s="5">
        <v>10300</v>
      </c>
      <c r="M978" s="5">
        <v>10200</v>
      </c>
      <c r="N978" s="5">
        <v>10300</v>
      </c>
      <c r="O978" s="5">
        <v>380</v>
      </c>
      <c r="Q978" s="6">
        <v>39601</v>
      </c>
      <c r="R978" s="7">
        <v>0.66666666666666663</v>
      </c>
      <c r="S978" s="5">
        <v>230</v>
      </c>
      <c r="T978" s="5">
        <v>241.5</v>
      </c>
      <c r="U978" s="5">
        <v>230</v>
      </c>
      <c r="V978" s="5">
        <v>241.5</v>
      </c>
      <c r="W978" s="5">
        <v>3259900</v>
      </c>
      <c r="Y978" s="6">
        <f t="shared" si="30"/>
        <v>41320</v>
      </c>
      <c r="Z978" s="5">
        <f t="shared" si="31"/>
        <v>10300</v>
      </c>
      <c r="AA978" s="5">
        <v>181.8</v>
      </c>
      <c r="AB978" s="5">
        <v>220</v>
      </c>
    </row>
    <row r="979" spans="1:28" x14ac:dyDescent="0.3">
      <c r="A979" s="6">
        <v>39623</v>
      </c>
      <c r="B979" s="7">
        <v>0.66666666666666663</v>
      </c>
      <c r="C979" s="5">
        <v>157.1</v>
      </c>
      <c r="D979" s="5">
        <v>166</v>
      </c>
      <c r="E979" s="5">
        <v>157.1</v>
      </c>
      <c r="F979" s="5">
        <v>165.5</v>
      </c>
      <c r="G979" s="5">
        <v>10500</v>
      </c>
      <c r="I979" s="6">
        <v>41323</v>
      </c>
      <c r="J979" s="7">
        <v>0.66666666666666663</v>
      </c>
      <c r="K979" s="5">
        <v>10200</v>
      </c>
      <c r="L979" s="5">
        <v>10400</v>
      </c>
      <c r="M979" s="5">
        <v>10200</v>
      </c>
      <c r="N979" s="5">
        <v>10400</v>
      </c>
      <c r="O979" s="5">
        <v>940</v>
      </c>
      <c r="Q979" s="6">
        <v>39602</v>
      </c>
      <c r="R979" s="7">
        <v>0.66666666666666663</v>
      </c>
      <c r="S979" s="5">
        <v>242.5</v>
      </c>
      <c r="T979" s="5">
        <v>253.57</v>
      </c>
      <c r="U979" s="5">
        <v>242.5</v>
      </c>
      <c r="V979" s="5">
        <v>253.57</v>
      </c>
      <c r="W979" s="5">
        <v>3266300</v>
      </c>
      <c r="Y979" s="6">
        <f t="shared" si="30"/>
        <v>41323</v>
      </c>
      <c r="Z979" s="5">
        <f t="shared" si="31"/>
        <v>10400</v>
      </c>
      <c r="AA979" s="5">
        <v>181.42</v>
      </c>
      <c r="AB979" s="5">
        <v>220.01</v>
      </c>
    </row>
    <row r="980" spans="1:28" x14ac:dyDescent="0.3">
      <c r="A980" s="6">
        <v>39624</v>
      </c>
      <c r="B980" s="7">
        <v>0.66666666666666663</v>
      </c>
      <c r="C980" s="5">
        <v>166.25</v>
      </c>
      <c r="D980" s="5">
        <v>181</v>
      </c>
      <c r="E980" s="5">
        <v>163.85</v>
      </c>
      <c r="F980" s="5">
        <v>181</v>
      </c>
      <c r="G980" s="5">
        <v>10700</v>
      </c>
      <c r="I980" s="6">
        <v>41324</v>
      </c>
      <c r="J980" s="7">
        <v>0.66666666666666663</v>
      </c>
      <c r="K980" s="5">
        <v>10452</v>
      </c>
      <c r="L980" s="5">
        <v>10452</v>
      </c>
      <c r="M980" s="5">
        <v>10315</v>
      </c>
      <c r="N980" s="5">
        <v>10382.5</v>
      </c>
      <c r="O980" s="5">
        <v>400</v>
      </c>
      <c r="Q980" s="6">
        <v>39603</v>
      </c>
      <c r="R980" s="7">
        <v>0.66666666666666663</v>
      </c>
      <c r="S980" s="5">
        <v>266.24</v>
      </c>
      <c r="T980" s="5">
        <v>266.24</v>
      </c>
      <c r="U980" s="5">
        <v>266.24</v>
      </c>
      <c r="V980" s="5">
        <v>266.24</v>
      </c>
      <c r="W980" s="5">
        <v>102700</v>
      </c>
      <c r="Y980" s="6">
        <f t="shared" si="30"/>
        <v>41324</v>
      </c>
      <c r="Z980" s="5">
        <f t="shared" si="31"/>
        <v>10382.5</v>
      </c>
      <c r="AA980" s="5">
        <v>182.01</v>
      </c>
      <c r="AB980" s="5">
        <v>221.5</v>
      </c>
    </row>
    <row r="981" spans="1:28" x14ac:dyDescent="0.3">
      <c r="A981" s="6">
        <v>39625</v>
      </c>
      <c r="B981" s="7">
        <v>0.66666666666666663</v>
      </c>
      <c r="C981" s="5">
        <v>180</v>
      </c>
      <c r="D981" s="5">
        <v>181</v>
      </c>
      <c r="E981" s="5">
        <v>179.19</v>
      </c>
      <c r="F981" s="5">
        <v>179.19</v>
      </c>
      <c r="G981" s="5">
        <v>2500</v>
      </c>
      <c r="I981" s="6">
        <v>41325</v>
      </c>
      <c r="J981" s="7">
        <v>0.66666666666666663</v>
      </c>
      <c r="K981" s="5">
        <v>10300</v>
      </c>
      <c r="L981" s="5">
        <v>10400</v>
      </c>
      <c r="M981" s="5">
        <v>10300</v>
      </c>
      <c r="N981" s="5">
        <v>10358.5996</v>
      </c>
      <c r="O981" s="5">
        <v>200</v>
      </c>
      <c r="Q981" s="6">
        <v>39604</v>
      </c>
      <c r="R981" s="7">
        <v>0.66666666666666663</v>
      </c>
      <c r="S981" s="5">
        <v>266.25</v>
      </c>
      <c r="T981" s="5">
        <v>278</v>
      </c>
      <c r="U981" s="5">
        <v>266.25</v>
      </c>
      <c r="V981" s="5">
        <v>268.99</v>
      </c>
      <c r="W981" s="5">
        <v>4826600</v>
      </c>
      <c r="Y981" s="6">
        <f t="shared" si="30"/>
        <v>41325</v>
      </c>
      <c r="Z981" s="5">
        <f t="shared" si="31"/>
        <v>10358.5996</v>
      </c>
      <c r="AA981" s="5">
        <v>183.08</v>
      </c>
      <c r="AB981" s="5">
        <v>217.39</v>
      </c>
    </row>
    <row r="982" spans="1:28" x14ac:dyDescent="0.3">
      <c r="A982" s="6">
        <v>39626</v>
      </c>
      <c r="B982" s="7">
        <v>0.66666666666666663</v>
      </c>
      <c r="C982" s="5">
        <v>177.4</v>
      </c>
      <c r="D982" s="5">
        <v>177.4</v>
      </c>
      <c r="E982" s="5">
        <v>177.4</v>
      </c>
      <c r="F982" s="5">
        <v>177.4</v>
      </c>
      <c r="G982" s="5">
        <v>6200</v>
      </c>
      <c r="I982" s="6">
        <v>41326</v>
      </c>
      <c r="J982" s="7">
        <v>0.66666666666666663</v>
      </c>
      <c r="K982" s="5">
        <v>10435</v>
      </c>
      <c r="L982" s="5">
        <v>10560</v>
      </c>
      <c r="M982" s="5">
        <v>10400</v>
      </c>
      <c r="N982" s="5">
        <v>10560</v>
      </c>
      <c r="O982" s="5">
        <v>900</v>
      </c>
      <c r="Q982" s="6">
        <v>39605</v>
      </c>
      <c r="R982" s="7">
        <v>0.66666666666666663</v>
      </c>
      <c r="S982" s="5">
        <v>268.99</v>
      </c>
      <c r="T982" s="5">
        <v>276.89999999999998</v>
      </c>
      <c r="U982" s="5">
        <v>255.55</v>
      </c>
      <c r="V982" s="5">
        <v>276.5</v>
      </c>
      <c r="W982" s="5">
        <v>5082700</v>
      </c>
      <c r="Y982" s="6">
        <f t="shared" si="30"/>
        <v>41326</v>
      </c>
      <c r="Z982" s="5">
        <f t="shared" si="31"/>
        <v>10560</v>
      </c>
      <c r="AA982" s="5">
        <v>187.07</v>
      </c>
      <c r="AB982" s="5">
        <v>220</v>
      </c>
    </row>
    <row r="983" spans="1:28" x14ac:dyDescent="0.3">
      <c r="A983" s="6">
        <v>39632</v>
      </c>
      <c r="B983" s="7">
        <v>0.66666666666666663</v>
      </c>
      <c r="C983" s="5">
        <v>175.63</v>
      </c>
      <c r="D983" s="5">
        <v>175.63</v>
      </c>
      <c r="E983" s="5">
        <v>175.63</v>
      </c>
      <c r="F983" s="5">
        <v>175.63</v>
      </c>
      <c r="G983" s="5">
        <v>100</v>
      </c>
      <c r="I983" s="6">
        <v>41327</v>
      </c>
      <c r="J983" s="7">
        <v>0.66666666666666663</v>
      </c>
      <c r="K983" s="5">
        <v>10520</v>
      </c>
      <c r="L983" s="5">
        <v>10600</v>
      </c>
      <c r="M983" s="5">
        <v>10500</v>
      </c>
      <c r="N983" s="5">
        <v>10518.179700000001</v>
      </c>
      <c r="O983" s="5">
        <v>800</v>
      </c>
      <c r="Q983" s="6">
        <v>39608</v>
      </c>
      <c r="R983" s="7">
        <v>0.66666666666666663</v>
      </c>
      <c r="S983" s="5">
        <v>276.5</v>
      </c>
      <c r="T983" s="5">
        <v>279.01</v>
      </c>
      <c r="U983" s="5">
        <v>262.68</v>
      </c>
      <c r="V983" s="5">
        <v>262.68</v>
      </c>
      <c r="W983" s="5">
        <v>3361700</v>
      </c>
      <c r="Y983" s="6">
        <f t="shared" si="30"/>
        <v>41327</v>
      </c>
      <c r="Z983" s="5">
        <f t="shared" si="31"/>
        <v>10518.179700000001</v>
      </c>
      <c r="AA983" s="5">
        <v>188.42</v>
      </c>
      <c r="AB983" s="5">
        <v>220</v>
      </c>
    </row>
    <row r="984" spans="1:28" x14ac:dyDescent="0.3">
      <c r="A984" s="6">
        <v>39640</v>
      </c>
      <c r="B984" s="7">
        <v>0.66666666666666663</v>
      </c>
      <c r="C984" s="5">
        <v>173.88</v>
      </c>
      <c r="D984" s="5">
        <v>173.88</v>
      </c>
      <c r="E984" s="5">
        <v>173.88</v>
      </c>
      <c r="F984" s="5">
        <v>173.88</v>
      </c>
      <c r="G984" s="5">
        <v>100</v>
      </c>
      <c r="I984" s="6">
        <v>41330</v>
      </c>
      <c r="J984" s="7">
        <v>0.66666666666666663</v>
      </c>
      <c r="K984" s="5">
        <v>10361</v>
      </c>
      <c r="L984" s="5">
        <v>10595</v>
      </c>
      <c r="M984" s="5">
        <v>10361</v>
      </c>
      <c r="N984" s="5">
        <v>10550</v>
      </c>
      <c r="O984" s="5">
        <v>120</v>
      </c>
      <c r="Q984" s="6">
        <v>39609</v>
      </c>
      <c r="R984" s="7">
        <v>0.66666666666666663</v>
      </c>
      <c r="S984" s="5">
        <v>262.68</v>
      </c>
      <c r="T984" s="5">
        <v>267.5</v>
      </c>
      <c r="U984" s="5">
        <v>254.11</v>
      </c>
      <c r="V984" s="5">
        <v>258.25</v>
      </c>
      <c r="W984" s="5">
        <v>3141300</v>
      </c>
      <c r="Y984" s="6">
        <f t="shared" si="30"/>
        <v>41330</v>
      </c>
      <c r="Z984" s="5">
        <f t="shared" si="31"/>
        <v>10550</v>
      </c>
      <c r="AA984" s="5">
        <v>186.04</v>
      </c>
      <c r="AB984" s="5">
        <v>217.78</v>
      </c>
    </row>
    <row r="985" spans="1:28" x14ac:dyDescent="0.3">
      <c r="A985" s="6">
        <v>39643</v>
      </c>
      <c r="B985" s="7">
        <v>0.66666666666666663</v>
      </c>
      <c r="C985" s="5">
        <v>165.2</v>
      </c>
      <c r="D985" s="5">
        <v>165.2</v>
      </c>
      <c r="E985" s="5">
        <v>165.2</v>
      </c>
      <c r="F985" s="5">
        <v>165.2</v>
      </c>
      <c r="G985" s="5">
        <v>400</v>
      </c>
      <c r="I985" s="6">
        <v>41331</v>
      </c>
      <c r="J985" s="7">
        <v>0.66666666666666663</v>
      </c>
      <c r="K985" s="5">
        <v>10550</v>
      </c>
      <c r="L985" s="5">
        <v>10850</v>
      </c>
      <c r="M985" s="5">
        <v>10410</v>
      </c>
      <c r="N985" s="5">
        <v>10850</v>
      </c>
      <c r="O985" s="5">
        <v>360</v>
      </c>
      <c r="Q985" s="6">
        <v>39610</v>
      </c>
      <c r="R985" s="7">
        <v>0.66666666666666663</v>
      </c>
      <c r="S985" s="5">
        <v>258.25</v>
      </c>
      <c r="T985" s="5">
        <v>263.5</v>
      </c>
      <c r="U985" s="5">
        <v>249</v>
      </c>
      <c r="V985" s="5">
        <v>251.1</v>
      </c>
      <c r="W985" s="5">
        <v>1856500</v>
      </c>
      <c r="Y985" s="6">
        <f t="shared" si="30"/>
        <v>41331</v>
      </c>
      <c r="Z985" s="5">
        <f t="shared" si="31"/>
        <v>10850</v>
      </c>
      <c r="AA985" s="5">
        <v>184.51</v>
      </c>
      <c r="AB985" s="5">
        <v>218.94</v>
      </c>
    </row>
    <row r="986" spans="1:28" x14ac:dyDescent="0.3">
      <c r="A986" s="6">
        <v>39644</v>
      </c>
      <c r="B986" s="7">
        <v>0.66666666666666663</v>
      </c>
      <c r="C986" s="5">
        <v>156.94</v>
      </c>
      <c r="D986" s="5">
        <v>157.05000000000001</v>
      </c>
      <c r="E986" s="5">
        <v>156.94</v>
      </c>
      <c r="F986" s="5">
        <v>156.94</v>
      </c>
      <c r="G986" s="5">
        <v>4000</v>
      </c>
      <c r="I986" s="6">
        <v>41332</v>
      </c>
      <c r="J986" s="7">
        <v>0.66666666666666663</v>
      </c>
      <c r="K986" s="5">
        <v>10800</v>
      </c>
      <c r="L986" s="5">
        <v>10800</v>
      </c>
      <c r="M986" s="5">
        <v>10800</v>
      </c>
      <c r="N986" s="5">
        <v>10800</v>
      </c>
      <c r="O986" s="5">
        <v>120</v>
      </c>
      <c r="Q986" s="6">
        <v>39611</v>
      </c>
      <c r="R986" s="7">
        <v>0.66666666666666663</v>
      </c>
      <c r="S986" s="5">
        <v>260</v>
      </c>
      <c r="T986" s="5">
        <v>263.64999999999998</v>
      </c>
      <c r="U986" s="5">
        <v>260</v>
      </c>
      <c r="V986" s="5">
        <v>263.64999999999998</v>
      </c>
      <c r="W986" s="5">
        <v>2042300</v>
      </c>
      <c r="Y986" s="6">
        <f t="shared" si="30"/>
        <v>41332</v>
      </c>
      <c r="Z986" s="5">
        <f t="shared" si="31"/>
        <v>10800</v>
      </c>
      <c r="AA986" s="5">
        <v>182.74</v>
      </c>
      <c r="AB986" s="5" t="e">
        <v>#N/A</v>
      </c>
    </row>
    <row r="987" spans="1:28" x14ac:dyDescent="0.3">
      <c r="A987" s="6">
        <v>39645</v>
      </c>
      <c r="B987" s="7">
        <v>0.66666666666666663</v>
      </c>
      <c r="C987" s="5">
        <v>149.6</v>
      </c>
      <c r="D987" s="5">
        <v>149.6</v>
      </c>
      <c r="E987" s="5">
        <v>149.1</v>
      </c>
      <c r="F987" s="5">
        <v>149.1</v>
      </c>
      <c r="G987" s="5">
        <v>2600</v>
      </c>
      <c r="I987" s="6">
        <v>41333</v>
      </c>
      <c r="J987" s="7">
        <v>0.66666666666666663</v>
      </c>
      <c r="K987" s="5">
        <v>10301.059600000001</v>
      </c>
      <c r="L987" s="5">
        <v>10500</v>
      </c>
      <c r="M987" s="5">
        <v>10301.059600000001</v>
      </c>
      <c r="N987" s="5">
        <v>10450</v>
      </c>
      <c r="O987" s="5">
        <v>340</v>
      </c>
      <c r="Q987" s="6">
        <v>39612</v>
      </c>
      <c r="R987" s="7">
        <v>0.66666666666666663</v>
      </c>
      <c r="S987" s="5">
        <v>263.64999999999998</v>
      </c>
      <c r="T987" s="5">
        <v>266</v>
      </c>
      <c r="U987" s="5">
        <v>258.10000000000002</v>
      </c>
      <c r="V987" s="5">
        <v>262</v>
      </c>
      <c r="W987" s="5">
        <v>2799100</v>
      </c>
      <c r="Y987" s="6">
        <f t="shared" si="30"/>
        <v>41333</v>
      </c>
      <c r="Z987" s="5">
        <f t="shared" si="31"/>
        <v>10450</v>
      </c>
      <c r="AA987" s="5">
        <v>184.21</v>
      </c>
      <c r="AB987" s="5">
        <v>218.94</v>
      </c>
    </row>
    <row r="988" spans="1:28" x14ac:dyDescent="0.3">
      <c r="A988" s="6">
        <v>39646</v>
      </c>
      <c r="B988" s="7">
        <v>0.66666666666666663</v>
      </c>
      <c r="C988" s="5">
        <v>141.65</v>
      </c>
      <c r="D988" s="5">
        <v>142</v>
      </c>
      <c r="E988" s="5">
        <v>141.65</v>
      </c>
      <c r="F988" s="5">
        <v>142</v>
      </c>
      <c r="G988" s="5">
        <v>8600</v>
      </c>
      <c r="I988" s="6">
        <v>41334</v>
      </c>
      <c r="J988" s="7">
        <v>0.66666666666666663</v>
      </c>
      <c r="K988" s="5">
        <v>10800</v>
      </c>
      <c r="L988" s="5">
        <v>10800</v>
      </c>
      <c r="M988" s="5">
        <v>10750</v>
      </c>
      <c r="N988" s="5">
        <v>10750</v>
      </c>
      <c r="O988" s="5">
        <v>80</v>
      </c>
      <c r="Q988" s="6">
        <v>39615</v>
      </c>
      <c r="R988" s="7">
        <v>0.66666666666666663</v>
      </c>
      <c r="S988" s="5">
        <v>262</v>
      </c>
      <c r="T988" s="5">
        <v>264</v>
      </c>
      <c r="U988" s="5">
        <v>248.9</v>
      </c>
      <c r="V988" s="5">
        <v>248.9</v>
      </c>
      <c r="W988" s="5">
        <v>1211600</v>
      </c>
      <c r="Y988" s="6">
        <f t="shared" si="30"/>
        <v>41334</v>
      </c>
      <c r="Z988" s="5">
        <f t="shared" si="31"/>
        <v>10750</v>
      </c>
      <c r="AA988" s="5">
        <v>184.34</v>
      </c>
      <c r="AB988" s="5">
        <v>209.6</v>
      </c>
    </row>
    <row r="989" spans="1:28" x14ac:dyDescent="0.3">
      <c r="A989" s="6">
        <v>39647</v>
      </c>
      <c r="B989" s="7">
        <v>0.66666666666666663</v>
      </c>
      <c r="C989" s="5">
        <v>144.88999999999999</v>
      </c>
      <c r="D989" s="5">
        <v>149.1</v>
      </c>
      <c r="E989" s="5">
        <v>144.88999999999999</v>
      </c>
      <c r="F989" s="5">
        <v>147.1</v>
      </c>
      <c r="G989" s="5">
        <v>3700</v>
      </c>
      <c r="I989" s="6">
        <v>41338</v>
      </c>
      <c r="J989" s="7">
        <v>0.66666666666666663</v>
      </c>
      <c r="K989" s="5">
        <v>10749.9902</v>
      </c>
      <c r="L989" s="5">
        <v>10800</v>
      </c>
      <c r="M989" s="5">
        <v>10500.0098</v>
      </c>
      <c r="N989" s="5">
        <v>10500.0098</v>
      </c>
      <c r="O989" s="5">
        <v>260</v>
      </c>
      <c r="Q989" s="6">
        <v>39616</v>
      </c>
      <c r="R989" s="7">
        <v>0.66666666666666663</v>
      </c>
      <c r="S989" s="5">
        <v>248.9</v>
      </c>
      <c r="T989" s="5">
        <v>259.5</v>
      </c>
      <c r="U989" s="5">
        <v>241</v>
      </c>
      <c r="V989" s="5">
        <v>258.5</v>
      </c>
      <c r="W989" s="5">
        <v>2126000</v>
      </c>
      <c r="Y989" s="6">
        <f t="shared" si="30"/>
        <v>41338</v>
      </c>
      <c r="Z989" s="5">
        <f t="shared" si="31"/>
        <v>10500.0098</v>
      </c>
      <c r="AA989" s="5">
        <v>192.37</v>
      </c>
      <c r="AB989" s="5">
        <v>210</v>
      </c>
    </row>
    <row r="990" spans="1:28" x14ac:dyDescent="0.3">
      <c r="A990" s="6">
        <v>39650</v>
      </c>
      <c r="B990" s="7">
        <v>0.66666666666666663</v>
      </c>
      <c r="C990" s="5">
        <v>140</v>
      </c>
      <c r="D990" s="5">
        <v>142.5</v>
      </c>
      <c r="E990" s="5">
        <v>140</v>
      </c>
      <c r="F990" s="5">
        <v>141.1</v>
      </c>
      <c r="G990" s="5">
        <v>3400</v>
      </c>
      <c r="I990" s="6">
        <v>41339</v>
      </c>
      <c r="J990" s="7">
        <v>0.66666666666666663</v>
      </c>
      <c r="K990" s="5">
        <v>10500.0098</v>
      </c>
      <c r="L990" s="5">
        <v>10575</v>
      </c>
      <c r="M990" s="5">
        <v>10400.0098</v>
      </c>
      <c r="N990" s="5">
        <v>10575</v>
      </c>
      <c r="O990" s="5">
        <v>1700</v>
      </c>
      <c r="Q990" s="6">
        <v>39617</v>
      </c>
      <c r="R990" s="7">
        <v>0.66666666666666663</v>
      </c>
      <c r="S990" s="5">
        <v>258.5</v>
      </c>
      <c r="T990" s="5">
        <v>263.01</v>
      </c>
      <c r="U990" s="5">
        <v>247</v>
      </c>
      <c r="V990" s="5">
        <v>248.2</v>
      </c>
      <c r="W990" s="5">
        <v>2975900</v>
      </c>
      <c r="Y990" s="6">
        <f t="shared" si="30"/>
        <v>41339</v>
      </c>
      <c r="Z990" s="5">
        <f t="shared" si="31"/>
        <v>10575</v>
      </c>
      <c r="AA990" s="5">
        <v>201.16</v>
      </c>
      <c r="AB990" s="5">
        <v>210</v>
      </c>
    </row>
    <row r="991" spans="1:28" x14ac:dyDescent="0.3">
      <c r="A991" s="6">
        <v>39651</v>
      </c>
      <c r="B991" s="7">
        <v>0.66666666666666663</v>
      </c>
      <c r="C991" s="5">
        <v>145</v>
      </c>
      <c r="D991" s="5">
        <v>148.15</v>
      </c>
      <c r="E991" s="5">
        <v>145</v>
      </c>
      <c r="F991" s="5">
        <v>148.15</v>
      </c>
      <c r="G991" s="5">
        <v>4500</v>
      </c>
      <c r="I991" s="6">
        <v>41340</v>
      </c>
      <c r="J991" s="7">
        <v>0.66666666666666663</v>
      </c>
      <c r="K991" s="5">
        <v>10748.9902</v>
      </c>
      <c r="L991" s="5">
        <v>11103.75</v>
      </c>
      <c r="M991" s="5">
        <v>10700</v>
      </c>
      <c r="N991" s="5">
        <v>11103.75</v>
      </c>
      <c r="O991" s="5">
        <v>4920</v>
      </c>
      <c r="Q991" s="6">
        <v>39618</v>
      </c>
      <c r="R991" s="7">
        <v>0.66666666666666663</v>
      </c>
      <c r="S991" s="5">
        <v>247.75</v>
      </c>
      <c r="T991" s="5">
        <v>247.75</v>
      </c>
      <c r="U991" s="5">
        <v>235.79</v>
      </c>
      <c r="V991" s="5">
        <v>235.79</v>
      </c>
      <c r="W991" s="5">
        <v>2175800</v>
      </c>
      <c r="Y991" s="6">
        <f t="shared" si="30"/>
        <v>41340</v>
      </c>
      <c r="Z991" s="5">
        <f t="shared" si="31"/>
        <v>11103.75</v>
      </c>
      <c r="AA991" s="5">
        <v>202.57</v>
      </c>
      <c r="AB991" s="5">
        <v>210</v>
      </c>
    </row>
    <row r="992" spans="1:28" x14ac:dyDescent="0.3">
      <c r="A992" s="6">
        <v>39652</v>
      </c>
      <c r="B992" s="7">
        <v>0.66666666666666663</v>
      </c>
      <c r="C992" s="5">
        <v>155</v>
      </c>
      <c r="D992" s="5">
        <v>155.55000000000001</v>
      </c>
      <c r="E992" s="5">
        <v>152</v>
      </c>
      <c r="F992" s="5">
        <v>155.53</v>
      </c>
      <c r="G992" s="5">
        <v>11000</v>
      </c>
      <c r="I992" s="6">
        <v>41341</v>
      </c>
      <c r="J992" s="7">
        <v>0.66666666666666663</v>
      </c>
      <c r="K992" s="5">
        <v>11103.75</v>
      </c>
      <c r="L992" s="5">
        <v>11103.75</v>
      </c>
      <c r="M992" s="5">
        <v>11000</v>
      </c>
      <c r="N992" s="5">
        <v>11000</v>
      </c>
      <c r="O992" s="5">
        <v>200</v>
      </c>
      <c r="Q992" s="6">
        <v>39619</v>
      </c>
      <c r="R992" s="7">
        <v>0.66666666666666663</v>
      </c>
      <c r="S992" s="5">
        <v>235.79</v>
      </c>
      <c r="T992" s="5">
        <v>245.49</v>
      </c>
      <c r="U992" s="5">
        <v>224.01</v>
      </c>
      <c r="V992" s="5">
        <v>224.01</v>
      </c>
      <c r="W992" s="5">
        <v>3726700</v>
      </c>
      <c r="Y992" s="6">
        <f t="shared" si="30"/>
        <v>41341</v>
      </c>
      <c r="Z992" s="5">
        <f t="shared" si="31"/>
        <v>11000</v>
      </c>
      <c r="AA992" s="5">
        <v>208.28</v>
      </c>
      <c r="AB992" s="5">
        <v>209.92</v>
      </c>
    </row>
    <row r="993" spans="1:28" x14ac:dyDescent="0.3">
      <c r="A993" s="6">
        <v>39653</v>
      </c>
      <c r="B993" s="7">
        <v>0.66666666666666663</v>
      </c>
      <c r="C993" s="5">
        <v>154.5</v>
      </c>
      <c r="D993" s="5">
        <v>158.19999999999999</v>
      </c>
      <c r="E993" s="5">
        <v>152</v>
      </c>
      <c r="F993" s="5">
        <v>153.99</v>
      </c>
      <c r="G993" s="5">
        <v>4400</v>
      </c>
      <c r="I993" s="6">
        <v>41344</v>
      </c>
      <c r="J993" s="7">
        <v>0.66666666666666663</v>
      </c>
      <c r="K993" s="5">
        <v>11550</v>
      </c>
      <c r="L993" s="5">
        <v>11550</v>
      </c>
      <c r="M993" s="5">
        <v>10702</v>
      </c>
      <c r="N993" s="5">
        <v>10720</v>
      </c>
      <c r="O993" s="5">
        <v>320</v>
      </c>
      <c r="Q993" s="6">
        <v>39622</v>
      </c>
      <c r="R993" s="7">
        <v>0.66666666666666663</v>
      </c>
      <c r="S993" s="5">
        <v>224.01</v>
      </c>
      <c r="T993" s="5">
        <v>227</v>
      </c>
      <c r="U993" s="5">
        <v>212.81</v>
      </c>
      <c r="V993" s="5">
        <v>212.81</v>
      </c>
      <c r="W993" s="5">
        <v>2255500</v>
      </c>
      <c r="Y993" s="6">
        <f t="shared" si="30"/>
        <v>41344</v>
      </c>
      <c r="Z993" s="5">
        <f t="shared" si="31"/>
        <v>10720</v>
      </c>
      <c r="AA993" s="5">
        <v>199.78</v>
      </c>
      <c r="AB993" s="5">
        <v>204.67</v>
      </c>
    </row>
    <row r="994" spans="1:28" x14ac:dyDescent="0.3">
      <c r="A994" s="6">
        <v>39654</v>
      </c>
      <c r="B994" s="7">
        <v>0.66666666666666663</v>
      </c>
      <c r="C994" s="5">
        <v>156.99</v>
      </c>
      <c r="D994" s="5">
        <v>157</v>
      </c>
      <c r="E994" s="5">
        <v>149.99</v>
      </c>
      <c r="F994" s="5">
        <v>149.99</v>
      </c>
      <c r="G994" s="5">
        <v>1600</v>
      </c>
      <c r="I994" s="6">
        <v>41345</v>
      </c>
      <c r="J994" s="7">
        <v>0.66666666666666663</v>
      </c>
      <c r="K994" s="5">
        <v>10700</v>
      </c>
      <c r="L994" s="5">
        <v>10701</v>
      </c>
      <c r="M994" s="5">
        <v>10700</v>
      </c>
      <c r="N994" s="5">
        <v>10701</v>
      </c>
      <c r="O994" s="5">
        <v>40</v>
      </c>
      <c r="Q994" s="6">
        <v>39623</v>
      </c>
      <c r="R994" s="7">
        <v>0.66666666666666663</v>
      </c>
      <c r="S994" s="5">
        <v>216</v>
      </c>
      <c r="T994" s="5">
        <v>234.09</v>
      </c>
      <c r="U994" s="5">
        <v>216</v>
      </c>
      <c r="V994" s="5">
        <v>234.09</v>
      </c>
      <c r="W994" s="5">
        <v>2652500</v>
      </c>
      <c r="Y994" s="6">
        <f t="shared" si="30"/>
        <v>41345</v>
      </c>
      <c r="Z994" s="5">
        <f t="shared" si="31"/>
        <v>10701</v>
      </c>
      <c r="AA994" s="5">
        <v>200.5</v>
      </c>
      <c r="AB994" s="5" t="e">
        <v>#N/A</v>
      </c>
    </row>
    <row r="995" spans="1:28" x14ac:dyDescent="0.3">
      <c r="A995" s="6">
        <v>39657</v>
      </c>
      <c r="B995" s="7">
        <v>0.66666666666666663</v>
      </c>
      <c r="C995" s="5">
        <v>149.99</v>
      </c>
      <c r="D995" s="5">
        <v>149.99</v>
      </c>
      <c r="E995" s="5">
        <v>142.5</v>
      </c>
      <c r="F995" s="5">
        <v>142.5</v>
      </c>
      <c r="G995" s="5">
        <v>3300</v>
      </c>
      <c r="I995" s="6">
        <v>41347</v>
      </c>
      <c r="J995" s="7">
        <v>0.66666666666666663</v>
      </c>
      <c r="K995" s="5">
        <v>10700</v>
      </c>
      <c r="L995" s="5">
        <v>10700</v>
      </c>
      <c r="M995" s="5">
        <v>10700</v>
      </c>
      <c r="N995" s="5">
        <v>10700</v>
      </c>
      <c r="O995" s="5">
        <v>20</v>
      </c>
      <c r="Q995" s="6">
        <v>39624</v>
      </c>
      <c r="R995" s="7">
        <v>0.66666666666666663</v>
      </c>
      <c r="S995" s="5">
        <v>237.5</v>
      </c>
      <c r="T995" s="5">
        <v>257.49</v>
      </c>
      <c r="U995" s="5">
        <v>237.5</v>
      </c>
      <c r="V995" s="5">
        <v>257.49</v>
      </c>
      <c r="W995" s="5">
        <v>3777600</v>
      </c>
      <c r="Y995" s="6">
        <f t="shared" si="30"/>
        <v>41347</v>
      </c>
      <c r="Z995" s="5">
        <f t="shared" si="31"/>
        <v>10700</v>
      </c>
      <c r="AA995" s="5">
        <v>199.22</v>
      </c>
      <c r="AB995" s="5">
        <v>209.73</v>
      </c>
    </row>
    <row r="996" spans="1:28" x14ac:dyDescent="0.3">
      <c r="A996" s="6">
        <v>39658</v>
      </c>
      <c r="B996" s="7">
        <v>0.66666666666666663</v>
      </c>
      <c r="C996" s="5">
        <v>139.94999999999999</v>
      </c>
      <c r="D996" s="5">
        <v>140</v>
      </c>
      <c r="E996" s="5">
        <v>137.99</v>
      </c>
      <c r="F996" s="5">
        <v>139.9</v>
      </c>
      <c r="G996" s="5">
        <v>3600</v>
      </c>
      <c r="I996" s="6">
        <v>41348</v>
      </c>
      <c r="J996" s="7">
        <v>0.66666666666666663</v>
      </c>
      <c r="K996" s="5">
        <v>10689</v>
      </c>
      <c r="L996" s="5">
        <v>10700</v>
      </c>
      <c r="M996" s="5">
        <v>10500</v>
      </c>
      <c r="N996" s="5">
        <v>10644.75</v>
      </c>
      <c r="O996" s="5">
        <v>80</v>
      </c>
      <c r="Q996" s="6">
        <v>39625</v>
      </c>
      <c r="R996" s="7">
        <v>0.66666666666666663</v>
      </c>
      <c r="S996" s="5">
        <v>257.49</v>
      </c>
      <c r="T996" s="5">
        <v>266.49</v>
      </c>
      <c r="U996" s="5">
        <v>254.92</v>
      </c>
      <c r="V996" s="5">
        <v>254.94</v>
      </c>
      <c r="W996" s="5">
        <v>3989900</v>
      </c>
      <c r="Y996" s="6">
        <f t="shared" si="30"/>
        <v>41348</v>
      </c>
      <c r="Z996" s="5">
        <f t="shared" si="31"/>
        <v>10644.75</v>
      </c>
      <c r="AA996" s="5">
        <v>199.25</v>
      </c>
      <c r="AB996" s="5">
        <v>204.46</v>
      </c>
    </row>
    <row r="997" spans="1:28" x14ac:dyDescent="0.3">
      <c r="A997" s="6">
        <v>39659</v>
      </c>
      <c r="B997" s="7">
        <v>0.66666666666666663</v>
      </c>
      <c r="C997" s="5">
        <v>145</v>
      </c>
      <c r="D997" s="5">
        <v>147</v>
      </c>
      <c r="E997" s="5">
        <v>143.99</v>
      </c>
      <c r="F997" s="5">
        <v>145.01</v>
      </c>
      <c r="G997" s="5">
        <v>12000</v>
      </c>
      <c r="I997" s="6">
        <v>41352</v>
      </c>
      <c r="J997" s="7">
        <v>0.66666666666666663</v>
      </c>
      <c r="K997" s="5">
        <v>10649</v>
      </c>
      <c r="L997" s="5">
        <v>10950</v>
      </c>
      <c r="M997" s="5">
        <v>10649</v>
      </c>
      <c r="N997" s="5">
        <v>10908.5</v>
      </c>
      <c r="O997" s="5">
        <v>540</v>
      </c>
      <c r="Q997" s="6">
        <v>39626</v>
      </c>
      <c r="R997" s="7">
        <v>0.66666666666666663</v>
      </c>
      <c r="S997" s="5">
        <v>254.94</v>
      </c>
      <c r="T997" s="5">
        <v>256.99</v>
      </c>
      <c r="U997" s="5">
        <v>252.4</v>
      </c>
      <c r="V997" s="5">
        <v>252.4</v>
      </c>
      <c r="W997" s="5">
        <v>274500</v>
      </c>
      <c r="Y997" s="6">
        <f t="shared" si="30"/>
        <v>41352</v>
      </c>
      <c r="Z997" s="5">
        <f t="shared" si="31"/>
        <v>10908.5</v>
      </c>
      <c r="AA997" s="5">
        <v>195.1</v>
      </c>
      <c r="AB997" s="5">
        <v>209.4</v>
      </c>
    </row>
    <row r="998" spans="1:28" x14ac:dyDescent="0.3">
      <c r="A998" s="6">
        <v>39660</v>
      </c>
      <c r="B998" s="7">
        <v>0.66666666666666663</v>
      </c>
      <c r="C998" s="5">
        <v>141</v>
      </c>
      <c r="D998" s="5">
        <v>141.9</v>
      </c>
      <c r="E998" s="5">
        <v>137.76</v>
      </c>
      <c r="F998" s="5">
        <v>137.78</v>
      </c>
      <c r="G998" s="5">
        <v>20400</v>
      </c>
      <c r="I998" s="6">
        <v>41353</v>
      </c>
      <c r="J998" s="7">
        <v>0.66666666666666663</v>
      </c>
      <c r="K998" s="5">
        <v>10700</v>
      </c>
      <c r="L998" s="5">
        <v>10700</v>
      </c>
      <c r="M998" s="5">
        <v>10700</v>
      </c>
      <c r="N998" s="5">
        <v>10700</v>
      </c>
      <c r="O998" s="5">
        <v>60</v>
      </c>
      <c r="Q998" s="6">
        <v>39629</v>
      </c>
      <c r="R998" s="7">
        <v>0.66666666666666663</v>
      </c>
      <c r="S998" s="5">
        <v>249.88</v>
      </c>
      <c r="T998" s="5">
        <v>249.88</v>
      </c>
      <c r="U998" s="5">
        <v>249.88</v>
      </c>
      <c r="V998" s="5">
        <v>249.88</v>
      </c>
      <c r="W998" s="5">
        <v>37900</v>
      </c>
      <c r="Y998" s="6">
        <f t="shared" si="30"/>
        <v>41353</v>
      </c>
      <c r="Z998" s="5">
        <f t="shared" si="31"/>
        <v>10700</v>
      </c>
      <c r="AA998" s="5">
        <v>197.84</v>
      </c>
      <c r="AB998" s="5">
        <v>209.4</v>
      </c>
    </row>
    <row r="999" spans="1:28" x14ac:dyDescent="0.3">
      <c r="A999" s="6">
        <v>39661</v>
      </c>
      <c r="B999" s="7">
        <v>0.66666666666666663</v>
      </c>
      <c r="C999" s="5">
        <v>131.01</v>
      </c>
      <c r="D999" s="5">
        <v>133.79</v>
      </c>
      <c r="E999" s="5">
        <v>131</v>
      </c>
      <c r="F999" s="5">
        <v>133.5</v>
      </c>
      <c r="G999" s="5">
        <v>1100</v>
      </c>
      <c r="I999" s="6">
        <v>41354</v>
      </c>
      <c r="J999" s="7">
        <v>0.66666666666666663</v>
      </c>
      <c r="K999" s="5">
        <v>10750</v>
      </c>
      <c r="L999" s="5">
        <v>10800</v>
      </c>
      <c r="M999" s="5">
        <v>10750</v>
      </c>
      <c r="N999" s="5">
        <v>10800</v>
      </c>
      <c r="O999" s="5">
        <v>700</v>
      </c>
      <c r="Q999" s="6">
        <v>39630</v>
      </c>
      <c r="R999" s="7">
        <v>0.66666666666666663</v>
      </c>
      <c r="S999" s="5">
        <v>249.88</v>
      </c>
      <c r="T999" s="5">
        <v>253</v>
      </c>
      <c r="U999" s="5">
        <v>247.39</v>
      </c>
      <c r="V999" s="5">
        <v>248</v>
      </c>
      <c r="W999" s="5">
        <v>2074400</v>
      </c>
      <c r="Y999" s="6">
        <f t="shared" si="30"/>
        <v>41354</v>
      </c>
      <c r="Z999" s="5">
        <f t="shared" si="31"/>
        <v>10800</v>
      </c>
      <c r="AA999" s="5">
        <v>198.84</v>
      </c>
      <c r="AB999" s="5" t="e">
        <v>#N/A</v>
      </c>
    </row>
    <row r="1000" spans="1:28" x14ac:dyDescent="0.3">
      <c r="A1000" s="6">
        <v>39664</v>
      </c>
      <c r="B1000" s="7">
        <v>0.66666666666666663</v>
      </c>
      <c r="C1000" s="5">
        <v>131.99</v>
      </c>
      <c r="D1000" s="5">
        <v>131.99</v>
      </c>
      <c r="E1000" s="5">
        <v>128</v>
      </c>
      <c r="F1000" s="5">
        <v>128</v>
      </c>
      <c r="G1000" s="5">
        <v>3900</v>
      </c>
      <c r="I1000" s="6">
        <v>41355</v>
      </c>
      <c r="J1000" s="7">
        <v>0.66666666666666663</v>
      </c>
      <c r="K1000" s="5">
        <v>10800</v>
      </c>
      <c r="L1000" s="5">
        <v>10800</v>
      </c>
      <c r="M1000" s="5">
        <v>10800</v>
      </c>
      <c r="N1000" s="5">
        <v>10800</v>
      </c>
      <c r="O1000" s="5">
        <v>100</v>
      </c>
      <c r="Q1000" s="6">
        <v>39631</v>
      </c>
      <c r="R1000" s="7">
        <v>0.66666666666666663</v>
      </c>
      <c r="S1000" s="5">
        <v>248</v>
      </c>
      <c r="T1000" s="5">
        <v>248.5</v>
      </c>
      <c r="U1000" s="5">
        <v>245.52</v>
      </c>
      <c r="V1000" s="5">
        <v>245.52</v>
      </c>
      <c r="W1000" s="5">
        <v>233800</v>
      </c>
      <c r="Y1000" s="6">
        <f t="shared" si="30"/>
        <v>41355</v>
      </c>
      <c r="Z1000" s="5">
        <f t="shared" si="31"/>
        <v>10800</v>
      </c>
      <c r="AA1000" s="5">
        <v>197.7</v>
      </c>
      <c r="AB1000" s="5" t="e">
        <v>#N/A</v>
      </c>
    </row>
    <row r="1001" spans="1:28" x14ac:dyDescent="0.3">
      <c r="A1001" s="6">
        <v>39665</v>
      </c>
      <c r="B1001" s="7">
        <v>0.66666666666666663</v>
      </c>
      <c r="C1001" s="5">
        <v>128</v>
      </c>
      <c r="D1001" s="5">
        <v>133.99</v>
      </c>
      <c r="E1001" s="5">
        <v>121.61</v>
      </c>
      <c r="F1001" s="5">
        <v>133.99</v>
      </c>
      <c r="G1001" s="5">
        <v>10100</v>
      </c>
      <c r="I1001" s="6">
        <v>41358</v>
      </c>
      <c r="J1001" s="7">
        <v>0.66666666666666663</v>
      </c>
      <c r="K1001" s="5">
        <v>10910</v>
      </c>
      <c r="L1001" s="5">
        <v>10910</v>
      </c>
      <c r="M1001" s="5">
        <v>10910</v>
      </c>
      <c r="N1001" s="5">
        <v>10910</v>
      </c>
      <c r="O1001" s="5">
        <v>20</v>
      </c>
      <c r="Q1001" s="6">
        <v>39632</v>
      </c>
      <c r="R1001" s="7">
        <v>0.66666666666666663</v>
      </c>
      <c r="S1001" s="5">
        <v>243.07</v>
      </c>
      <c r="T1001" s="5">
        <v>243.07</v>
      </c>
      <c r="U1001" s="5">
        <v>243.07</v>
      </c>
      <c r="V1001" s="5">
        <v>243.07</v>
      </c>
      <c r="W1001" s="5">
        <v>3100</v>
      </c>
      <c r="Y1001" s="6">
        <f t="shared" si="30"/>
        <v>41358</v>
      </c>
      <c r="Z1001" s="5">
        <f t="shared" si="31"/>
        <v>10910</v>
      </c>
      <c r="AA1001" s="5">
        <v>195.83</v>
      </c>
      <c r="AB1001" s="5">
        <v>208.8</v>
      </c>
    </row>
    <row r="1002" spans="1:28" x14ac:dyDescent="0.3">
      <c r="A1002" s="6">
        <v>39666</v>
      </c>
      <c r="B1002" s="7">
        <v>0.66666666666666663</v>
      </c>
      <c r="C1002" s="5">
        <v>130</v>
      </c>
      <c r="D1002" s="5">
        <v>130</v>
      </c>
      <c r="E1002" s="5">
        <v>127.3</v>
      </c>
      <c r="F1002" s="5">
        <v>127.3</v>
      </c>
      <c r="G1002" s="5">
        <v>15500</v>
      </c>
      <c r="I1002" s="6">
        <v>41359</v>
      </c>
      <c r="J1002" s="7">
        <v>0.66666666666666663</v>
      </c>
      <c r="K1002" s="5">
        <v>10999.9805</v>
      </c>
      <c r="L1002" s="5">
        <v>11100</v>
      </c>
      <c r="M1002" s="5">
        <v>10900</v>
      </c>
      <c r="N1002" s="5">
        <v>11100</v>
      </c>
      <c r="O1002" s="5">
        <v>1740</v>
      </c>
      <c r="Q1002" s="6">
        <v>39633</v>
      </c>
      <c r="R1002" s="7">
        <v>0.66666666666666663</v>
      </c>
      <c r="S1002" s="5">
        <v>240.64</v>
      </c>
      <c r="T1002" s="5">
        <v>240.64</v>
      </c>
      <c r="U1002" s="5">
        <v>240.64</v>
      </c>
      <c r="V1002" s="5">
        <v>240.64</v>
      </c>
      <c r="W1002" s="5">
        <v>28200</v>
      </c>
      <c r="Y1002" s="6">
        <f t="shared" si="30"/>
        <v>41359</v>
      </c>
      <c r="Z1002" s="5">
        <f t="shared" si="31"/>
        <v>11100</v>
      </c>
      <c r="AA1002" s="5">
        <v>193.77</v>
      </c>
      <c r="AB1002" s="5">
        <v>209</v>
      </c>
    </row>
    <row r="1003" spans="1:28" x14ac:dyDescent="0.3">
      <c r="A1003" s="6">
        <v>39667</v>
      </c>
      <c r="B1003" s="7">
        <v>0.66666666666666663</v>
      </c>
      <c r="C1003" s="5">
        <v>127</v>
      </c>
      <c r="D1003" s="5">
        <v>130.99</v>
      </c>
      <c r="E1003" s="5">
        <v>127</v>
      </c>
      <c r="F1003" s="5">
        <v>130</v>
      </c>
      <c r="G1003" s="5">
        <v>1500</v>
      </c>
      <c r="I1003" s="6">
        <v>41361</v>
      </c>
      <c r="J1003" s="7">
        <v>0.66666666666666663</v>
      </c>
      <c r="K1003" s="5">
        <v>12225.21</v>
      </c>
      <c r="L1003" s="5">
        <v>12225.21</v>
      </c>
      <c r="M1003" s="5">
        <v>12025</v>
      </c>
      <c r="N1003" s="5">
        <v>12225.21</v>
      </c>
      <c r="O1003" s="5">
        <v>3880</v>
      </c>
      <c r="Q1003" s="6">
        <v>39636</v>
      </c>
      <c r="R1003" s="7">
        <v>0.66666666666666663</v>
      </c>
      <c r="S1003" s="5">
        <v>238.24</v>
      </c>
      <c r="T1003" s="5">
        <v>238.24</v>
      </c>
      <c r="U1003" s="5">
        <v>238.24</v>
      </c>
      <c r="V1003" s="5">
        <v>238.24</v>
      </c>
      <c r="W1003" s="5">
        <v>17100</v>
      </c>
      <c r="Y1003" s="6">
        <f t="shared" si="30"/>
        <v>41361</v>
      </c>
      <c r="Z1003" s="5">
        <f t="shared" si="31"/>
        <v>12225.21</v>
      </c>
      <c r="AA1003" s="5">
        <v>199.12</v>
      </c>
      <c r="AB1003" s="5">
        <v>207.5</v>
      </c>
    </row>
    <row r="1004" spans="1:28" x14ac:dyDescent="0.3">
      <c r="A1004" s="6">
        <v>39668</v>
      </c>
      <c r="B1004" s="7">
        <v>0.66666666666666663</v>
      </c>
      <c r="C1004" s="5">
        <v>125</v>
      </c>
      <c r="D1004" s="5">
        <v>129.4</v>
      </c>
      <c r="E1004" s="5">
        <v>125</v>
      </c>
      <c r="F1004" s="5">
        <v>129.4</v>
      </c>
      <c r="G1004" s="5">
        <v>500</v>
      </c>
      <c r="I1004" s="6">
        <v>41362</v>
      </c>
      <c r="J1004" s="7">
        <v>0.66666666666666663</v>
      </c>
      <c r="K1004" s="5">
        <v>12790</v>
      </c>
      <c r="L1004" s="5">
        <v>12790</v>
      </c>
      <c r="M1004" s="5">
        <v>12250</v>
      </c>
      <c r="N1004" s="5">
        <v>12250</v>
      </c>
      <c r="O1004" s="5">
        <v>1680</v>
      </c>
      <c r="Q1004" s="6">
        <v>39637</v>
      </c>
      <c r="R1004" s="7">
        <v>0.66666666666666663</v>
      </c>
      <c r="S1004" s="5">
        <v>238.24</v>
      </c>
      <c r="T1004" s="5">
        <v>238.24</v>
      </c>
      <c r="U1004" s="5">
        <v>238.24</v>
      </c>
      <c r="V1004" s="5">
        <v>238.24</v>
      </c>
      <c r="W1004" s="5">
        <v>26500</v>
      </c>
      <c r="Y1004" s="6">
        <f t="shared" si="30"/>
        <v>41362</v>
      </c>
      <c r="Z1004" s="5">
        <f t="shared" si="31"/>
        <v>12250</v>
      </c>
      <c r="AA1004" s="5">
        <v>200.49</v>
      </c>
      <c r="AB1004" s="5">
        <v>207.5</v>
      </c>
    </row>
    <row r="1005" spans="1:28" x14ac:dyDescent="0.3">
      <c r="A1005" s="6">
        <v>39671</v>
      </c>
      <c r="B1005" s="7">
        <v>0.66666666666666663</v>
      </c>
      <c r="C1005" s="5">
        <v>125.4</v>
      </c>
      <c r="D1005" s="5">
        <v>129.85</v>
      </c>
      <c r="E1005" s="5">
        <v>125.01</v>
      </c>
      <c r="F1005" s="5">
        <v>129</v>
      </c>
      <c r="G1005" s="5">
        <v>1500</v>
      </c>
      <c r="I1005" s="6">
        <v>41365</v>
      </c>
      <c r="J1005" s="7">
        <v>0.66666666666666663</v>
      </c>
      <c r="K1005" s="5">
        <v>11650.0098</v>
      </c>
      <c r="L1005" s="5">
        <v>12700</v>
      </c>
      <c r="M1005" s="5">
        <v>11650.0098</v>
      </c>
      <c r="N1005" s="5">
        <v>12689</v>
      </c>
      <c r="O1005" s="5">
        <v>2140</v>
      </c>
      <c r="Q1005" s="6">
        <v>39638</v>
      </c>
      <c r="R1005" s="7">
        <v>0.66666666666666663</v>
      </c>
      <c r="S1005" s="5">
        <v>238.24</v>
      </c>
      <c r="T1005" s="5">
        <v>244.7</v>
      </c>
      <c r="U1005" s="5">
        <v>235.86</v>
      </c>
      <c r="V1005" s="5">
        <v>235.86</v>
      </c>
      <c r="W1005" s="5">
        <v>1192600</v>
      </c>
      <c r="Y1005" s="6">
        <f t="shared" si="30"/>
        <v>41365</v>
      </c>
      <c r="Z1005" s="5">
        <f t="shared" si="31"/>
        <v>12689</v>
      </c>
      <c r="AA1005" s="5">
        <v>201.34</v>
      </c>
      <c r="AB1005" s="5">
        <v>217.16</v>
      </c>
    </row>
    <row r="1006" spans="1:28" x14ac:dyDescent="0.3">
      <c r="A1006" s="6">
        <v>39672</v>
      </c>
      <c r="B1006" s="7">
        <v>0.66666666666666663</v>
      </c>
      <c r="C1006" s="5">
        <v>127.01</v>
      </c>
      <c r="D1006" s="5">
        <v>127.3</v>
      </c>
      <c r="E1006" s="5">
        <v>127</v>
      </c>
      <c r="F1006" s="5">
        <v>127</v>
      </c>
      <c r="G1006" s="5">
        <v>1600</v>
      </c>
      <c r="I1006" s="6">
        <v>41366</v>
      </c>
      <c r="J1006" s="7">
        <v>0.66666666666666663</v>
      </c>
      <c r="K1006" s="5">
        <v>13323.450199999999</v>
      </c>
      <c r="L1006" s="5">
        <v>13323.450199999999</v>
      </c>
      <c r="M1006" s="5">
        <v>13200</v>
      </c>
      <c r="N1006" s="5">
        <v>13323.450199999999</v>
      </c>
      <c r="O1006" s="5">
        <v>2240</v>
      </c>
      <c r="Q1006" s="6">
        <v>39639</v>
      </c>
      <c r="R1006" s="7">
        <v>0.66666666666666663</v>
      </c>
      <c r="S1006" s="5">
        <v>233.51</v>
      </c>
      <c r="T1006" s="5">
        <v>233.51</v>
      </c>
      <c r="U1006" s="5">
        <v>233.51</v>
      </c>
      <c r="V1006" s="5">
        <v>233.51</v>
      </c>
      <c r="W1006" s="5">
        <v>65000</v>
      </c>
      <c r="Y1006" s="6">
        <f t="shared" si="30"/>
        <v>41366</v>
      </c>
      <c r="Z1006" s="5">
        <f t="shared" si="31"/>
        <v>13323.450199999999</v>
      </c>
      <c r="AA1006" s="5">
        <v>197.6</v>
      </c>
      <c r="AB1006" s="5">
        <v>217</v>
      </c>
    </row>
    <row r="1007" spans="1:28" x14ac:dyDescent="0.3">
      <c r="A1007" s="6">
        <v>39673</v>
      </c>
      <c r="B1007" s="7">
        <v>0.66666666666666663</v>
      </c>
      <c r="C1007" s="5">
        <v>125.5</v>
      </c>
      <c r="D1007" s="5">
        <v>125.5</v>
      </c>
      <c r="E1007" s="5">
        <v>124.4</v>
      </c>
      <c r="F1007" s="5">
        <v>125.3</v>
      </c>
      <c r="G1007" s="5">
        <v>1800</v>
      </c>
      <c r="I1007" s="6">
        <v>41367</v>
      </c>
      <c r="J1007" s="7">
        <v>0.66666666666666663</v>
      </c>
      <c r="K1007" s="5">
        <v>15000</v>
      </c>
      <c r="L1007" s="5">
        <v>15000.0098</v>
      </c>
      <c r="M1007" s="5">
        <v>15000</v>
      </c>
      <c r="N1007" s="5">
        <v>15000</v>
      </c>
      <c r="O1007" s="5">
        <v>13720</v>
      </c>
      <c r="Q1007" s="6">
        <v>39640</v>
      </c>
      <c r="R1007" s="7">
        <v>0.66666666666666663</v>
      </c>
      <c r="S1007" s="5">
        <v>231.18</v>
      </c>
      <c r="T1007" s="5">
        <v>231.18</v>
      </c>
      <c r="U1007" s="5">
        <v>231.18</v>
      </c>
      <c r="V1007" s="5">
        <v>231.18</v>
      </c>
      <c r="W1007" s="5">
        <v>222800</v>
      </c>
      <c r="Y1007" s="6">
        <f t="shared" si="30"/>
        <v>41367</v>
      </c>
      <c r="Z1007" s="5">
        <f t="shared" si="31"/>
        <v>15000</v>
      </c>
      <c r="AA1007" s="5">
        <v>199.94</v>
      </c>
      <c r="AB1007" s="5">
        <v>221</v>
      </c>
    </row>
    <row r="1008" spans="1:28" x14ac:dyDescent="0.3">
      <c r="A1008" s="6">
        <v>39675</v>
      </c>
      <c r="B1008" s="7">
        <v>0.66666666666666663</v>
      </c>
      <c r="C1008" s="5">
        <v>126</v>
      </c>
      <c r="D1008" s="5">
        <v>126</v>
      </c>
      <c r="E1008" s="5">
        <v>125.05</v>
      </c>
      <c r="F1008" s="5">
        <v>125.1</v>
      </c>
      <c r="G1008" s="5">
        <v>700</v>
      </c>
      <c r="I1008" s="6">
        <v>41369</v>
      </c>
      <c r="J1008" s="7">
        <v>0.66666666666666663</v>
      </c>
      <c r="K1008" s="5">
        <v>15000</v>
      </c>
      <c r="L1008" s="5">
        <v>15000</v>
      </c>
      <c r="M1008" s="5">
        <v>15000</v>
      </c>
      <c r="N1008" s="5">
        <v>15000</v>
      </c>
      <c r="O1008" s="5">
        <v>28220</v>
      </c>
      <c r="Q1008" s="6">
        <v>39643</v>
      </c>
      <c r="R1008" s="7">
        <v>0.66666666666666663</v>
      </c>
      <c r="S1008" s="5">
        <v>222.99</v>
      </c>
      <c r="T1008" s="5">
        <v>222.99</v>
      </c>
      <c r="U1008" s="5">
        <v>219.63</v>
      </c>
      <c r="V1008" s="5">
        <v>219.63</v>
      </c>
      <c r="W1008" s="5">
        <v>622800</v>
      </c>
      <c r="Y1008" s="6">
        <f t="shared" si="30"/>
        <v>41369</v>
      </c>
      <c r="Z1008" s="5">
        <f t="shared" si="31"/>
        <v>15000</v>
      </c>
      <c r="AA1008" s="5">
        <v>201.42</v>
      </c>
      <c r="AB1008" s="5">
        <v>225</v>
      </c>
    </row>
    <row r="1009" spans="1:28" x14ac:dyDescent="0.3">
      <c r="A1009" s="6">
        <v>39678</v>
      </c>
      <c r="B1009" s="7">
        <v>0.66666666666666663</v>
      </c>
      <c r="C1009" s="5">
        <v>127.99</v>
      </c>
      <c r="D1009" s="5">
        <v>131</v>
      </c>
      <c r="E1009" s="5">
        <v>127.99</v>
      </c>
      <c r="F1009" s="5">
        <v>131</v>
      </c>
      <c r="G1009" s="5">
        <v>2400</v>
      </c>
      <c r="I1009" s="6">
        <v>41372</v>
      </c>
      <c r="J1009" s="7">
        <v>0.66666666666666663</v>
      </c>
      <c r="K1009" s="5">
        <v>15000.0098</v>
      </c>
      <c r="L1009" s="5">
        <v>15100</v>
      </c>
      <c r="M1009" s="5">
        <v>15000.0098</v>
      </c>
      <c r="N1009" s="5">
        <v>15066.450199999999</v>
      </c>
      <c r="O1009" s="5">
        <v>1420</v>
      </c>
      <c r="Q1009" s="6">
        <v>39644</v>
      </c>
      <c r="R1009" s="7">
        <v>0.66666666666666663</v>
      </c>
      <c r="S1009" s="5">
        <v>219.63</v>
      </c>
      <c r="T1009" s="5">
        <v>225.4</v>
      </c>
      <c r="U1009" s="5">
        <v>208.65</v>
      </c>
      <c r="V1009" s="5">
        <v>208.65</v>
      </c>
      <c r="W1009" s="5">
        <v>5562500</v>
      </c>
      <c r="Y1009" s="6">
        <f t="shared" si="30"/>
        <v>41372</v>
      </c>
      <c r="Z1009" s="5">
        <f t="shared" si="31"/>
        <v>15066.450199999999</v>
      </c>
      <c r="AA1009" s="5">
        <v>200.01</v>
      </c>
      <c r="AB1009" s="5">
        <v>225.01</v>
      </c>
    </row>
    <row r="1010" spans="1:28" x14ac:dyDescent="0.3">
      <c r="A1010" s="6">
        <v>39679</v>
      </c>
      <c r="B1010" s="7">
        <v>0.66666666666666663</v>
      </c>
      <c r="C1010" s="5">
        <v>136.19</v>
      </c>
      <c r="D1010" s="5">
        <v>136.19</v>
      </c>
      <c r="E1010" s="5">
        <v>129.97999999999999</v>
      </c>
      <c r="F1010" s="5">
        <v>130.19999999999999</v>
      </c>
      <c r="G1010" s="5">
        <v>4300</v>
      </c>
      <c r="I1010" s="6">
        <v>41397</v>
      </c>
      <c r="J1010" s="7">
        <v>0.66666666666666663</v>
      </c>
      <c r="K1010" s="5">
        <v>15000</v>
      </c>
      <c r="L1010" s="5">
        <v>15000</v>
      </c>
      <c r="M1010" s="5">
        <v>15000</v>
      </c>
      <c r="N1010" s="5">
        <v>15000</v>
      </c>
      <c r="O1010" s="5">
        <v>66640</v>
      </c>
      <c r="Q1010" s="6">
        <v>39645</v>
      </c>
      <c r="R1010" s="7">
        <v>0.66666666666666663</v>
      </c>
      <c r="S1010" s="5">
        <v>208.65</v>
      </c>
      <c r="T1010" s="5">
        <v>209</v>
      </c>
      <c r="U1010" s="5">
        <v>198.22</v>
      </c>
      <c r="V1010" s="5">
        <v>198.22</v>
      </c>
      <c r="W1010" s="5">
        <v>906700</v>
      </c>
      <c r="Y1010" s="6">
        <f t="shared" si="30"/>
        <v>41397</v>
      </c>
      <c r="Z1010" s="5">
        <f t="shared" si="31"/>
        <v>15000</v>
      </c>
      <c r="AA1010" s="5">
        <v>192.65</v>
      </c>
      <c r="AB1010" s="5">
        <v>268.01</v>
      </c>
    </row>
    <row r="1011" spans="1:28" x14ac:dyDescent="0.3">
      <c r="A1011" s="6">
        <v>39680</v>
      </c>
      <c r="B1011" s="7">
        <v>0.66666666666666663</v>
      </c>
      <c r="C1011" s="5">
        <v>124.3</v>
      </c>
      <c r="D1011" s="5">
        <v>126.01</v>
      </c>
      <c r="E1011" s="5">
        <v>124.01</v>
      </c>
      <c r="F1011" s="5">
        <v>124.01</v>
      </c>
      <c r="G1011" s="5">
        <v>1100</v>
      </c>
      <c r="I1011" s="6">
        <v>41400</v>
      </c>
      <c r="J1011" s="7">
        <v>0.66666666666666663</v>
      </c>
      <c r="K1011" s="5">
        <v>15000</v>
      </c>
      <c r="L1011" s="5">
        <v>15000</v>
      </c>
      <c r="M1011" s="5">
        <v>15000</v>
      </c>
      <c r="N1011" s="5">
        <v>15000</v>
      </c>
      <c r="O1011" s="5">
        <v>25680</v>
      </c>
      <c r="Q1011" s="6">
        <v>39646</v>
      </c>
      <c r="R1011" s="7">
        <v>0.66666666666666663</v>
      </c>
      <c r="S1011" s="5">
        <v>188.31</v>
      </c>
      <c r="T1011" s="5">
        <v>188.31</v>
      </c>
      <c r="U1011" s="5">
        <v>188.31</v>
      </c>
      <c r="V1011" s="5">
        <v>188.31</v>
      </c>
      <c r="W1011" s="5">
        <v>40500</v>
      </c>
      <c r="Y1011" s="6">
        <f t="shared" si="30"/>
        <v>41400</v>
      </c>
      <c r="Z1011" s="5">
        <f t="shared" si="31"/>
        <v>15000</v>
      </c>
      <c r="AA1011" s="5">
        <v>193.36</v>
      </c>
      <c r="AB1011" s="5">
        <v>270.2</v>
      </c>
    </row>
    <row r="1012" spans="1:28" x14ac:dyDescent="0.3">
      <c r="A1012" s="6">
        <v>39681</v>
      </c>
      <c r="B1012" s="7">
        <v>0.66666666666666663</v>
      </c>
      <c r="C1012" s="5">
        <v>123.2</v>
      </c>
      <c r="D1012" s="5">
        <v>123.2</v>
      </c>
      <c r="E1012" s="5">
        <v>123</v>
      </c>
      <c r="F1012" s="5">
        <v>123</v>
      </c>
      <c r="G1012" s="5">
        <v>1600</v>
      </c>
      <c r="I1012" s="6">
        <v>41401</v>
      </c>
      <c r="J1012" s="7">
        <v>0.66666666666666663</v>
      </c>
      <c r="K1012" s="5">
        <v>15000</v>
      </c>
      <c r="L1012" s="5">
        <v>15000</v>
      </c>
      <c r="M1012" s="5">
        <v>15000</v>
      </c>
      <c r="N1012" s="5">
        <v>15000</v>
      </c>
      <c r="O1012" s="5">
        <v>9700</v>
      </c>
      <c r="Q1012" s="6">
        <v>39647</v>
      </c>
      <c r="R1012" s="7">
        <v>0.66666666666666663</v>
      </c>
      <c r="S1012" s="5">
        <v>188.31</v>
      </c>
      <c r="T1012" s="5">
        <v>197.72</v>
      </c>
      <c r="U1012" s="5">
        <v>178.9</v>
      </c>
      <c r="V1012" s="5">
        <v>181</v>
      </c>
      <c r="W1012" s="5">
        <v>2503200</v>
      </c>
      <c r="Y1012" s="6">
        <f t="shared" si="30"/>
        <v>41401</v>
      </c>
      <c r="Z1012" s="5">
        <f t="shared" si="31"/>
        <v>15000</v>
      </c>
      <c r="AA1012" s="5">
        <v>192.12</v>
      </c>
      <c r="AB1012" s="5">
        <v>274</v>
      </c>
    </row>
    <row r="1013" spans="1:28" x14ac:dyDescent="0.3">
      <c r="A1013" s="6">
        <v>39682</v>
      </c>
      <c r="B1013" s="7">
        <v>0.66666666666666663</v>
      </c>
      <c r="C1013" s="5">
        <v>124</v>
      </c>
      <c r="D1013" s="5">
        <v>124</v>
      </c>
      <c r="E1013" s="5">
        <v>124</v>
      </c>
      <c r="F1013" s="5">
        <v>124</v>
      </c>
      <c r="G1013" s="5">
        <v>200</v>
      </c>
      <c r="I1013" s="6">
        <v>41402</v>
      </c>
      <c r="J1013" s="7">
        <v>0.66666666666666663</v>
      </c>
      <c r="K1013" s="5">
        <v>15000</v>
      </c>
      <c r="L1013" s="5">
        <v>15020</v>
      </c>
      <c r="M1013" s="5">
        <v>15000</v>
      </c>
      <c r="N1013" s="5">
        <v>15000</v>
      </c>
      <c r="O1013" s="5">
        <v>4760</v>
      </c>
      <c r="Q1013" s="6">
        <v>39650</v>
      </c>
      <c r="R1013" s="7">
        <v>0.66666666666666663</v>
      </c>
      <c r="S1013" s="5">
        <v>181</v>
      </c>
      <c r="T1013" s="5">
        <v>190.05</v>
      </c>
      <c r="U1013" s="5">
        <v>175</v>
      </c>
      <c r="V1013" s="5">
        <v>190.05</v>
      </c>
      <c r="W1013" s="5">
        <v>1587900</v>
      </c>
      <c r="Y1013" s="6">
        <f t="shared" si="30"/>
        <v>41402</v>
      </c>
      <c r="Z1013" s="5">
        <f t="shared" si="31"/>
        <v>15000</v>
      </c>
      <c r="AA1013" s="5">
        <v>192.59</v>
      </c>
      <c r="AB1013" s="5">
        <v>279.58</v>
      </c>
    </row>
    <row r="1014" spans="1:28" x14ac:dyDescent="0.3">
      <c r="A1014" s="6">
        <v>39685</v>
      </c>
      <c r="B1014" s="7">
        <v>0.66666666666666663</v>
      </c>
      <c r="C1014" s="5">
        <v>118.21</v>
      </c>
      <c r="D1014" s="5">
        <v>123.98</v>
      </c>
      <c r="E1014" s="5">
        <v>118.2</v>
      </c>
      <c r="F1014" s="5">
        <v>120</v>
      </c>
      <c r="G1014" s="5">
        <v>2700</v>
      </c>
      <c r="I1014" s="6">
        <v>41403</v>
      </c>
      <c r="J1014" s="7">
        <v>0.66666666666666663</v>
      </c>
      <c r="K1014" s="5">
        <v>15000</v>
      </c>
      <c r="L1014" s="5">
        <v>15000</v>
      </c>
      <c r="M1014" s="5">
        <v>15000</v>
      </c>
      <c r="N1014" s="5">
        <v>15000</v>
      </c>
      <c r="O1014" s="5">
        <v>1820</v>
      </c>
      <c r="Q1014" s="6">
        <v>39651</v>
      </c>
      <c r="R1014" s="7">
        <v>0.66666666666666663</v>
      </c>
      <c r="S1014" s="5">
        <v>190.05</v>
      </c>
      <c r="T1014" s="5">
        <v>199.55</v>
      </c>
      <c r="U1014" s="5">
        <v>187</v>
      </c>
      <c r="V1014" s="5">
        <v>199.55</v>
      </c>
      <c r="W1014" s="5">
        <v>1092800</v>
      </c>
      <c r="Y1014" s="6">
        <f t="shared" si="30"/>
        <v>41403</v>
      </c>
      <c r="Z1014" s="5">
        <f t="shared" si="31"/>
        <v>15000</v>
      </c>
      <c r="AA1014" s="5">
        <v>192.37</v>
      </c>
      <c r="AB1014" s="5">
        <v>277.54000000000002</v>
      </c>
    </row>
    <row r="1015" spans="1:28" x14ac:dyDescent="0.3">
      <c r="A1015" s="6">
        <v>39686</v>
      </c>
      <c r="B1015" s="7">
        <v>0.66666666666666663</v>
      </c>
      <c r="C1015" s="5">
        <v>122</v>
      </c>
      <c r="D1015" s="5">
        <v>122</v>
      </c>
      <c r="E1015" s="5">
        <v>115.1</v>
      </c>
      <c r="F1015" s="5">
        <v>115.11</v>
      </c>
      <c r="G1015" s="5">
        <v>3700</v>
      </c>
      <c r="I1015" s="6">
        <v>41404</v>
      </c>
      <c r="J1015" s="7">
        <v>0.66666666666666663</v>
      </c>
      <c r="K1015" s="5">
        <v>15000</v>
      </c>
      <c r="L1015" s="5">
        <v>15000</v>
      </c>
      <c r="M1015" s="5">
        <v>15000</v>
      </c>
      <c r="N1015" s="5">
        <v>15000</v>
      </c>
      <c r="O1015" s="5">
        <v>620</v>
      </c>
      <c r="Q1015" s="6">
        <v>39652</v>
      </c>
      <c r="R1015" s="7">
        <v>0.66666666666666663</v>
      </c>
      <c r="S1015" s="5">
        <v>205</v>
      </c>
      <c r="T1015" s="5">
        <v>209.52</v>
      </c>
      <c r="U1015" s="5">
        <v>205</v>
      </c>
      <c r="V1015" s="5">
        <v>209.52</v>
      </c>
      <c r="W1015" s="5">
        <v>739100</v>
      </c>
      <c r="Y1015" s="6">
        <f t="shared" si="30"/>
        <v>41404</v>
      </c>
      <c r="Z1015" s="5">
        <f t="shared" si="31"/>
        <v>15000</v>
      </c>
      <c r="AA1015" s="5">
        <v>193.52</v>
      </c>
      <c r="AB1015" s="5">
        <v>279.39</v>
      </c>
    </row>
    <row r="1016" spans="1:28" x14ac:dyDescent="0.3">
      <c r="A1016" s="6">
        <v>39687</v>
      </c>
      <c r="B1016" s="7">
        <v>0.66666666666666663</v>
      </c>
      <c r="C1016" s="5">
        <v>110.4</v>
      </c>
      <c r="D1016" s="5">
        <v>110.4</v>
      </c>
      <c r="E1016" s="5">
        <v>109.36</v>
      </c>
      <c r="F1016" s="5">
        <v>110</v>
      </c>
      <c r="G1016" s="5">
        <v>3500</v>
      </c>
      <c r="I1016" s="6">
        <v>41407</v>
      </c>
      <c r="J1016" s="7">
        <v>0.66666666666666663</v>
      </c>
      <c r="K1016" s="5">
        <v>15000</v>
      </c>
      <c r="L1016" s="5">
        <v>15020</v>
      </c>
      <c r="M1016" s="5">
        <v>15000</v>
      </c>
      <c r="N1016" s="5">
        <v>15000.0098</v>
      </c>
      <c r="O1016" s="5">
        <v>5560</v>
      </c>
      <c r="Q1016" s="6">
        <v>39653</v>
      </c>
      <c r="R1016" s="7">
        <v>0.66666666666666663</v>
      </c>
      <c r="S1016" s="5">
        <v>210</v>
      </c>
      <c r="T1016" s="5">
        <v>219.99</v>
      </c>
      <c r="U1016" s="5">
        <v>210</v>
      </c>
      <c r="V1016" s="5">
        <v>219.99</v>
      </c>
      <c r="W1016" s="5">
        <v>1499300</v>
      </c>
      <c r="Y1016" s="6">
        <f t="shared" si="30"/>
        <v>41407</v>
      </c>
      <c r="Z1016" s="5">
        <f t="shared" si="31"/>
        <v>15000.0098</v>
      </c>
      <c r="AA1016" s="5">
        <v>194.68</v>
      </c>
      <c r="AB1016" s="5">
        <v>287.42</v>
      </c>
    </row>
    <row r="1017" spans="1:28" x14ac:dyDescent="0.3">
      <c r="A1017" s="6">
        <v>39688</v>
      </c>
      <c r="B1017" s="7">
        <v>0.66666666666666663</v>
      </c>
      <c r="C1017" s="5">
        <v>110.02</v>
      </c>
      <c r="D1017" s="5">
        <v>115.45</v>
      </c>
      <c r="E1017" s="5">
        <v>110.02</v>
      </c>
      <c r="F1017" s="5">
        <v>111.5</v>
      </c>
      <c r="G1017" s="5">
        <v>4900</v>
      </c>
      <c r="I1017" s="6">
        <v>41408</v>
      </c>
      <c r="J1017" s="7">
        <v>0.66666666666666663</v>
      </c>
      <c r="K1017" s="5">
        <v>15006.5</v>
      </c>
      <c r="L1017" s="5">
        <v>15015</v>
      </c>
      <c r="M1017" s="5">
        <v>15006.5</v>
      </c>
      <c r="N1017" s="5">
        <v>15015</v>
      </c>
      <c r="O1017" s="5">
        <v>4260</v>
      </c>
      <c r="Q1017" s="6">
        <v>39654</v>
      </c>
      <c r="R1017" s="7">
        <v>0.66666666666666663</v>
      </c>
      <c r="S1017" s="5">
        <v>219.99</v>
      </c>
      <c r="T1017" s="5">
        <v>230</v>
      </c>
      <c r="U1017" s="5">
        <v>213</v>
      </c>
      <c r="V1017" s="5">
        <v>220.5</v>
      </c>
      <c r="W1017" s="5">
        <v>3110900</v>
      </c>
      <c r="Y1017" s="6">
        <f t="shared" si="30"/>
        <v>41408</v>
      </c>
      <c r="Z1017" s="5">
        <f t="shared" si="31"/>
        <v>15015</v>
      </c>
      <c r="AA1017" s="5">
        <v>191.54</v>
      </c>
      <c r="AB1017" s="5">
        <v>284.97000000000003</v>
      </c>
    </row>
    <row r="1018" spans="1:28" x14ac:dyDescent="0.3">
      <c r="A1018" s="6">
        <v>39692</v>
      </c>
      <c r="B1018" s="7">
        <v>0.66666666666666663</v>
      </c>
      <c r="C1018" s="5">
        <v>116</v>
      </c>
      <c r="D1018" s="5">
        <v>116</v>
      </c>
      <c r="E1018" s="5">
        <v>111.9</v>
      </c>
      <c r="F1018" s="5">
        <v>111.9</v>
      </c>
      <c r="G1018" s="5">
        <v>200</v>
      </c>
      <c r="I1018" s="6">
        <v>41409</v>
      </c>
      <c r="J1018" s="7">
        <v>0.66666666666666663</v>
      </c>
      <c r="K1018" s="5">
        <v>15012</v>
      </c>
      <c r="L1018" s="5">
        <v>15020.0996</v>
      </c>
      <c r="M1018" s="5">
        <v>15012</v>
      </c>
      <c r="N1018" s="5">
        <v>15020.070299999999</v>
      </c>
      <c r="O1018" s="5">
        <v>2740</v>
      </c>
      <c r="Q1018" s="6">
        <v>39657</v>
      </c>
      <c r="R1018" s="7">
        <v>0.66666666666666663</v>
      </c>
      <c r="S1018" s="5">
        <v>216</v>
      </c>
      <c r="T1018" s="5">
        <v>216</v>
      </c>
      <c r="U1018" s="5">
        <v>209.48</v>
      </c>
      <c r="V1018" s="5">
        <v>209.48</v>
      </c>
      <c r="W1018" s="5">
        <v>422000</v>
      </c>
      <c r="Y1018" s="6">
        <f t="shared" si="30"/>
        <v>41409</v>
      </c>
      <c r="Z1018" s="5">
        <f t="shared" si="31"/>
        <v>15020.070299999999</v>
      </c>
      <c r="AA1018" s="5">
        <v>187.92</v>
      </c>
      <c r="AB1018" s="5">
        <v>284.92</v>
      </c>
    </row>
    <row r="1019" spans="1:28" x14ac:dyDescent="0.3">
      <c r="A1019" s="6">
        <v>39693</v>
      </c>
      <c r="B1019" s="7">
        <v>0.66666666666666663</v>
      </c>
      <c r="C1019" s="5">
        <v>111</v>
      </c>
      <c r="D1019" s="5">
        <v>112.5</v>
      </c>
      <c r="E1019" s="5">
        <v>110.01</v>
      </c>
      <c r="F1019" s="5">
        <v>112.5</v>
      </c>
      <c r="G1019" s="5">
        <v>2400</v>
      </c>
      <c r="I1019" s="6">
        <v>41410</v>
      </c>
      <c r="J1019" s="7">
        <v>0.66666666666666663</v>
      </c>
      <c r="K1019" s="5">
        <v>15000</v>
      </c>
      <c r="L1019" s="5">
        <v>15001</v>
      </c>
      <c r="M1019" s="5">
        <v>15000</v>
      </c>
      <c r="N1019" s="5">
        <v>15000</v>
      </c>
      <c r="O1019" s="5">
        <v>37600</v>
      </c>
      <c r="Q1019" s="6">
        <v>39658</v>
      </c>
      <c r="R1019" s="7">
        <v>0.66666666666666663</v>
      </c>
      <c r="S1019" s="5">
        <v>209.44</v>
      </c>
      <c r="T1019" s="5">
        <v>209.44</v>
      </c>
      <c r="U1019" s="5">
        <v>199.01</v>
      </c>
      <c r="V1019" s="5">
        <v>199.5</v>
      </c>
      <c r="W1019" s="5">
        <v>1698900</v>
      </c>
      <c r="Y1019" s="6">
        <f t="shared" si="30"/>
        <v>41410</v>
      </c>
      <c r="Z1019" s="5">
        <f t="shared" si="31"/>
        <v>15000</v>
      </c>
      <c r="AA1019" s="5">
        <v>186.84</v>
      </c>
      <c r="AB1019" s="5">
        <v>290</v>
      </c>
    </row>
    <row r="1020" spans="1:28" x14ac:dyDescent="0.3">
      <c r="A1020" s="6">
        <v>39694</v>
      </c>
      <c r="B1020" s="7">
        <v>0.66666666666666663</v>
      </c>
      <c r="C1020" s="5">
        <v>113</v>
      </c>
      <c r="D1020" s="5">
        <v>114</v>
      </c>
      <c r="E1020" s="5">
        <v>113</v>
      </c>
      <c r="F1020" s="5">
        <v>113.12</v>
      </c>
      <c r="G1020" s="5">
        <v>800</v>
      </c>
      <c r="I1020" s="6">
        <v>41411</v>
      </c>
      <c r="J1020" s="7">
        <v>0.66666666666666663</v>
      </c>
      <c r="K1020" s="5">
        <v>15000</v>
      </c>
      <c r="L1020" s="5">
        <v>15019.9902</v>
      </c>
      <c r="M1020" s="5">
        <v>15000</v>
      </c>
      <c r="N1020" s="5">
        <v>15000</v>
      </c>
      <c r="O1020" s="5">
        <v>10520</v>
      </c>
      <c r="Q1020" s="6">
        <v>39659</v>
      </c>
      <c r="R1020" s="7">
        <v>0.66666666666666663</v>
      </c>
      <c r="S1020" s="5">
        <v>205</v>
      </c>
      <c r="T1020" s="5">
        <v>209.47</v>
      </c>
      <c r="U1020" s="5">
        <v>205</v>
      </c>
      <c r="V1020" s="5">
        <v>209.47</v>
      </c>
      <c r="W1020" s="5">
        <v>408800</v>
      </c>
      <c r="Y1020" s="6">
        <f t="shared" si="30"/>
        <v>41411</v>
      </c>
      <c r="Z1020" s="5">
        <f t="shared" si="31"/>
        <v>15000</v>
      </c>
      <c r="AA1020" s="5">
        <v>186.32</v>
      </c>
      <c r="AB1020" s="5">
        <v>297.19</v>
      </c>
    </row>
    <row r="1021" spans="1:28" x14ac:dyDescent="0.3">
      <c r="A1021" s="6">
        <v>39695</v>
      </c>
      <c r="B1021" s="7">
        <v>0.66666666666666663</v>
      </c>
      <c r="C1021" s="5">
        <v>112.52</v>
      </c>
      <c r="D1021" s="5">
        <v>114.15</v>
      </c>
      <c r="E1021" s="5">
        <v>112.5</v>
      </c>
      <c r="F1021" s="5">
        <v>114.15</v>
      </c>
      <c r="G1021" s="5">
        <v>900</v>
      </c>
      <c r="I1021" s="6">
        <v>41414</v>
      </c>
      <c r="J1021" s="7">
        <v>0.66666666666666663</v>
      </c>
      <c r="K1021" s="5">
        <v>15000</v>
      </c>
      <c r="L1021" s="5">
        <v>15000.049800000001</v>
      </c>
      <c r="M1021" s="5">
        <v>15000</v>
      </c>
      <c r="N1021" s="5">
        <v>15000</v>
      </c>
      <c r="O1021" s="5">
        <v>23380</v>
      </c>
      <c r="Q1021" s="6">
        <v>39660</v>
      </c>
      <c r="R1021" s="7">
        <v>0.66666666666666663</v>
      </c>
      <c r="S1021" s="5">
        <v>209.47</v>
      </c>
      <c r="T1021" s="5">
        <v>214.5</v>
      </c>
      <c r="U1021" s="5">
        <v>199</v>
      </c>
      <c r="V1021" s="5">
        <v>199</v>
      </c>
      <c r="W1021" s="5">
        <v>890600</v>
      </c>
      <c r="Y1021" s="6">
        <f t="shared" si="30"/>
        <v>41414</v>
      </c>
      <c r="Z1021" s="5">
        <f t="shared" si="31"/>
        <v>15000</v>
      </c>
      <c r="AA1021" s="5">
        <v>187.65</v>
      </c>
      <c r="AB1021" s="5">
        <v>308.5</v>
      </c>
    </row>
    <row r="1022" spans="1:28" x14ac:dyDescent="0.3">
      <c r="A1022" s="6">
        <v>39696</v>
      </c>
      <c r="B1022" s="7">
        <v>0.66666666666666663</v>
      </c>
      <c r="C1022" s="5">
        <v>112.2</v>
      </c>
      <c r="D1022" s="5">
        <v>117</v>
      </c>
      <c r="E1022" s="5">
        <v>112.2</v>
      </c>
      <c r="F1022" s="5">
        <v>117</v>
      </c>
      <c r="G1022" s="5">
        <v>1300</v>
      </c>
      <c r="I1022" s="6">
        <v>41415</v>
      </c>
      <c r="J1022" s="7">
        <v>0.66666666666666663</v>
      </c>
      <c r="K1022" s="5">
        <v>15000.0098</v>
      </c>
      <c r="L1022" s="5">
        <v>15000.0098</v>
      </c>
      <c r="M1022" s="5">
        <v>15000</v>
      </c>
      <c r="N1022" s="5">
        <v>15000</v>
      </c>
      <c r="O1022" s="5">
        <v>31940</v>
      </c>
      <c r="Q1022" s="6">
        <v>39661</v>
      </c>
      <c r="R1022" s="7">
        <v>0.66666666666666663</v>
      </c>
      <c r="S1022" s="5">
        <v>199</v>
      </c>
      <c r="T1022" s="5">
        <v>199.99</v>
      </c>
      <c r="U1022" s="5">
        <v>189.05</v>
      </c>
      <c r="V1022" s="5">
        <v>189.05</v>
      </c>
      <c r="W1022" s="5">
        <v>302700</v>
      </c>
      <c r="Y1022" s="6">
        <f t="shared" si="30"/>
        <v>41415</v>
      </c>
      <c r="Z1022" s="5">
        <f t="shared" si="31"/>
        <v>15000</v>
      </c>
      <c r="AA1022" s="5">
        <v>191.38</v>
      </c>
      <c r="AB1022" s="5">
        <v>304</v>
      </c>
    </row>
    <row r="1023" spans="1:28" x14ac:dyDescent="0.3">
      <c r="A1023" s="6">
        <v>39699</v>
      </c>
      <c r="B1023" s="7">
        <v>0.66666666666666663</v>
      </c>
      <c r="C1023" s="5">
        <v>112.5</v>
      </c>
      <c r="D1023" s="5">
        <v>114.5</v>
      </c>
      <c r="E1023" s="5">
        <v>112.5</v>
      </c>
      <c r="F1023" s="5">
        <v>114.01</v>
      </c>
      <c r="G1023" s="5">
        <v>4300</v>
      </c>
      <c r="I1023" s="6">
        <v>41416</v>
      </c>
      <c r="J1023" s="7">
        <v>0.66666666666666663</v>
      </c>
      <c r="K1023" s="5">
        <v>15000.0098</v>
      </c>
      <c r="L1023" s="5">
        <v>15001</v>
      </c>
      <c r="M1023" s="5">
        <v>15000</v>
      </c>
      <c r="N1023" s="5">
        <v>15000</v>
      </c>
      <c r="O1023" s="5">
        <v>15080</v>
      </c>
      <c r="Q1023" s="6">
        <v>39664</v>
      </c>
      <c r="R1023" s="7">
        <v>0.66666666666666663</v>
      </c>
      <c r="S1023" s="5">
        <v>189.05</v>
      </c>
      <c r="T1023" s="5">
        <v>189.05</v>
      </c>
      <c r="U1023" s="5">
        <v>179.6</v>
      </c>
      <c r="V1023" s="5">
        <v>179.6</v>
      </c>
      <c r="W1023" s="5">
        <v>2400900</v>
      </c>
      <c r="Y1023" s="6">
        <f t="shared" si="30"/>
        <v>41416</v>
      </c>
      <c r="Z1023" s="5">
        <f t="shared" si="31"/>
        <v>15000</v>
      </c>
      <c r="AA1023" s="5">
        <v>194.35</v>
      </c>
      <c r="AB1023" s="5">
        <v>299.89999999999998</v>
      </c>
    </row>
    <row r="1024" spans="1:28" x14ac:dyDescent="0.3">
      <c r="A1024" s="6">
        <v>39700</v>
      </c>
      <c r="B1024" s="7">
        <v>0.66666666666666663</v>
      </c>
      <c r="C1024" s="5">
        <v>114.5</v>
      </c>
      <c r="D1024" s="5">
        <v>115</v>
      </c>
      <c r="E1024" s="5">
        <v>114.5</v>
      </c>
      <c r="F1024" s="5">
        <v>115</v>
      </c>
      <c r="G1024" s="5">
        <v>500</v>
      </c>
      <c r="I1024" s="6">
        <v>41417</v>
      </c>
      <c r="J1024" s="7">
        <v>0.66666666666666663</v>
      </c>
      <c r="K1024" s="5">
        <v>15000.0098</v>
      </c>
      <c r="L1024" s="5">
        <v>15001</v>
      </c>
      <c r="M1024" s="5">
        <v>15000</v>
      </c>
      <c r="N1024" s="5">
        <v>15000.0098</v>
      </c>
      <c r="O1024" s="5">
        <v>23840</v>
      </c>
      <c r="Q1024" s="6">
        <v>39665</v>
      </c>
      <c r="R1024" s="7">
        <v>0.66666666666666663</v>
      </c>
      <c r="S1024" s="5">
        <v>176.8</v>
      </c>
      <c r="T1024" s="5">
        <v>176.8</v>
      </c>
      <c r="U1024" s="5">
        <v>170.62</v>
      </c>
      <c r="V1024" s="5">
        <v>173</v>
      </c>
      <c r="W1024" s="5">
        <v>1204100</v>
      </c>
      <c r="Y1024" s="6">
        <f t="shared" si="30"/>
        <v>41417</v>
      </c>
      <c r="Z1024" s="5">
        <f t="shared" si="31"/>
        <v>15000.0098</v>
      </c>
      <c r="AA1024" s="5">
        <v>195.19</v>
      </c>
      <c r="AB1024" s="5">
        <v>294.91000000000003</v>
      </c>
    </row>
    <row r="1025" spans="1:28" x14ac:dyDescent="0.3">
      <c r="A1025" s="6">
        <v>39701</v>
      </c>
      <c r="B1025" s="7">
        <v>0.66666666666666663</v>
      </c>
      <c r="C1025" s="5">
        <v>113.26</v>
      </c>
      <c r="D1025" s="5">
        <v>113.26</v>
      </c>
      <c r="E1025" s="5">
        <v>110</v>
      </c>
      <c r="F1025" s="5">
        <v>111.5</v>
      </c>
      <c r="G1025" s="5">
        <v>9500</v>
      </c>
      <c r="I1025" s="6">
        <v>41418</v>
      </c>
      <c r="J1025" s="7">
        <v>0.66666666666666663</v>
      </c>
      <c r="K1025" s="5">
        <v>15000.0195</v>
      </c>
      <c r="L1025" s="5">
        <v>15002</v>
      </c>
      <c r="M1025" s="5">
        <v>15000</v>
      </c>
      <c r="N1025" s="5">
        <v>15000.0098</v>
      </c>
      <c r="O1025" s="5">
        <v>20220</v>
      </c>
      <c r="Q1025" s="6">
        <v>39666</v>
      </c>
      <c r="R1025" s="7">
        <v>0.66666666666666663</v>
      </c>
      <c r="S1025" s="5">
        <v>173</v>
      </c>
      <c r="T1025" s="5">
        <v>175</v>
      </c>
      <c r="U1025" s="5">
        <v>164.35</v>
      </c>
      <c r="V1025" s="5">
        <v>164.35</v>
      </c>
      <c r="W1025" s="5">
        <v>66200</v>
      </c>
      <c r="Y1025" s="6">
        <f t="shared" si="30"/>
        <v>41418</v>
      </c>
      <c r="Z1025" s="5">
        <f t="shared" si="31"/>
        <v>15000.0098</v>
      </c>
      <c r="AA1025" s="5">
        <v>196.15</v>
      </c>
      <c r="AB1025" s="5">
        <v>295</v>
      </c>
    </row>
    <row r="1026" spans="1:28" x14ac:dyDescent="0.3">
      <c r="A1026" s="6">
        <v>39702</v>
      </c>
      <c r="B1026" s="7">
        <v>0.66666666666666663</v>
      </c>
      <c r="C1026" s="5">
        <v>111.01</v>
      </c>
      <c r="D1026" s="5">
        <v>113</v>
      </c>
      <c r="E1026" s="5">
        <v>110</v>
      </c>
      <c r="F1026" s="5">
        <v>110</v>
      </c>
      <c r="G1026" s="5">
        <v>5500</v>
      </c>
      <c r="I1026" s="6">
        <v>41421</v>
      </c>
      <c r="J1026" s="7">
        <v>0.66666666666666663</v>
      </c>
      <c r="K1026" s="5">
        <v>15000.0098</v>
      </c>
      <c r="L1026" s="5">
        <v>15000.059600000001</v>
      </c>
      <c r="M1026" s="5">
        <v>15000</v>
      </c>
      <c r="N1026" s="5">
        <v>15000.0195</v>
      </c>
      <c r="O1026" s="5">
        <v>4540</v>
      </c>
      <c r="Q1026" s="6">
        <v>39667</v>
      </c>
      <c r="R1026" s="7">
        <v>0.66666666666666663</v>
      </c>
      <c r="S1026" s="5">
        <v>164.35</v>
      </c>
      <c r="T1026" s="5">
        <v>166</v>
      </c>
      <c r="U1026" s="5">
        <v>156.13999999999999</v>
      </c>
      <c r="V1026" s="5">
        <v>156.13999999999999</v>
      </c>
      <c r="W1026" s="5">
        <v>2818400</v>
      </c>
      <c r="Y1026" s="6">
        <f t="shared" si="30"/>
        <v>41421</v>
      </c>
      <c r="Z1026" s="5">
        <f t="shared" si="31"/>
        <v>15000.0195</v>
      </c>
      <c r="AA1026" s="5">
        <v>193.65</v>
      </c>
      <c r="AB1026" s="5">
        <v>294.92</v>
      </c>
    </row>
    <row r="1027" spans="1:28" x14ac:dyDescent="0.3">
      <c r="A1027" s="6">
        <v>39703</v>
      </c>
      <c r="B1027" s="7">
        <v>0.66666666666666663</v>
      </c>
      <c r="C1027" s="5">
        <v>110.01</v>
      </c>
      <c r="D1027" s="5">
        <v>110.05</v>
      </c>
      <c r="E1027" s="5">
        <v>110</v>
      </c>
      <c r="F1027" s="5">
        <v>110</v>
      </c>
      <c r="G1027" s="5">
        <v>1700</v>
      </c>
      <c r="I1027" s="6">
        <v>41422</v>
      </c>
      <c r="J1027" s="7">
        <v>0.66666666666666663</v>
      </c>
      <c r="K1027" s="5">
        <v>15000.0098</v>
      </c>
      <c r="L1027" s="5">
        <v>15000.04</v>
      </c>
      <c r="M1027" s="5">
        <v>15000</v>
      </c>
      <c r="N1027" s="5">
        <v>15000.04</v>
      </c>
      <c r="O1027" s="5">
        <v>8200</v>
      </c>
      <c r="Q1027" s="6">
        <v>39668</v>
      </c>
      <c r="R1027" s="7">
        <v>0.66666666666666663</v>
      </c>
      <c r="S1027" s="5">
        <v>156.13999999999999</v>
      </c>
      <c r="T1027" s="5">
        <v>158.5</v>
      </c>
      <c r="U1027" s="5">
        <v>148.34</v>
      </c>
      <c r="V1027" s="5">
        <v>150.25</v>
      </c>
      <c r="W1027" s="5">
        <v>1833600</v>
      </c>
      <c r="Y1027" s="6">
        <f t="shared" si="30"/>
        <v>41422</v>
      </c>
      <c r="Z1027" s="5">
        <f t="shared" si="31"/>
        <v>15000.04</v>
      </c>
      <c r="AA1027" s="5">
        <v>195.2</v>
      </c>
      <c r="AB1027" s="5">
        <v>295</v>
      </c>
    </row>
    <row r="1028" spans="1:28" x14ac:dyDescent="0.3">
      <c r="A1028" s="6">
        <v>39706</v>
      </c>
      <c r="B1028" s="7">
        <v>0.66666666666666663</v>
      </c>
      <c r="C1028" s="5">
        <v>110.01</v>
      </c>
      <c r="D1028" s="5">
        <v>112</v>
      </c>
      <c r="E1028" s="5">
        <v>110</v>
      </c>
      <c r="F1028" s="5">
        <v>110</v>
      </c>
      <c r="G1028" s="5">
        <v>9300</v>
      </c>
      <c r="I1028" s="6">
        <v>41423</v>
      </c>
      <c r="J1028" s="7">
        <v>0.66666666666666663</v>
      </c>
      <c r="K1028" s="5">
        <v>15000.059600000001</v>
      </c>
      <c r="L1028" s="5">
        <v>15001.5</v>
      </c>
      <c r="M1028" s="5">
        <v>15000</v>
      </c>
      <c r="N1028" s="5">
        <v>15000.4102</v>
      </c>
      <c r="O1028" s="5">
        <v>36800</v>
      </c>
      <c r="Q1028" s="6">
        <v>39671</v>
      </c>
      <c r="R1028" s="7">
        <v>0.66666666666666663</v>
      </c>
      <c r="S1028" s="5">
        <v>150.25</v>
      </c>
      <c r="T1028" s="5">
        <v>157.76</v>
      </c>
      <c r="U1028" s="5">
        <v>145.25</v>
      </c>
      <c r="V1028" s="5">
        <v>157.76</v>
      </c>
      <c r="W1028" s="5">
        <v>786100</v>
      </c>
      <c r="Y1028" s="6">
        <f t="shared" ref="Y1028:Y1073" si="32">I1028</f>
        <v>41423</v>
      </c>
      <c r="Z1028" s="5">
        <f t="shared" ref="Z1028:Z1073" si="33">N1028</f>
        <v>15000.4102</v>
      </c>
      <c r="AA1028" s="5">
        <v>194.26</v>
      </c>
      <c r="AB1028" s="5">
        <v>295</v>
      </c>
    </row>
    <row r="1029" spans="1:28" x14ac:dyDescent="0.3">
      <c r="A1029" s="6">
        <v>39708</v>
      </c>
      <c r="B1029" s="7">
        <v>0.66666666666666663</v>
      </c>
      <c r="C1029" s="5">
        <v>110.49</v>
      </c>
      <c r="D1029" s="5">
        <v>110.49</v>
      </c>
      <c r="E1029" s="5">
        <v>110</v>
      </c>
      <c r="F1029" s="5">
        <v>110</v>
      </c>
      <c r="G1029" s="5">
        <v>200</v>
      </c>
      <c r="I1029" s="6">
        <v>41424</v>
      </c>
      <c r="J1029" s="7">
        <v>0.66666666666666663</v>
      </c>
      <c r="K1029" s="5">
        <v>15000</v>
      </c>
      <c r="L1029" s="5">
        <v>15000.049800000001</v>
      </c>
      <c r="M1029" s="5">
        <v>15000</v>
      </c>
      <c r="N1029" s="5">
        <v>15000.0195</v>
      </c>
      <c r="O1029" s="5">
        <v>5700</v>
      </c>
      <c r="Q1029" s="6">
        <v>39672</v>
      </c>
      <c r="R1029" s="7">
        <v>0.66666666666666663</v>
      </c>
      <c r="S1029" s="5">
        <v>157.76</v>
      </c>
      <c r="T1029" s="5">
        <v>165.64</v>
      </c>
      <c r="U1029" s="5">
        <v>151.1</v>
      </c>
      <c r="V1029" s="5">
        <v>155.5</v>
      </c>
      <c r="W1029" s="5">
        <v>1462700</v>
      </c>
      <c r="Y1029" s="6">
        <f t="shared" si="32"/>
        <v>41424</v>
      </c>
      <c r="Z1029" s="5">
        <f t="shared" si="33"/>
        <v>15000.0195</v>
      </c>
      <c r="AA1029" s="5">
        <v>194.28</v>
      </c>
      <c r="AB1029" s="5">
        <v>292</v>
      </c>
    </row>
    <row r="1030" spans="1:28" x14ac:dyDescent="0.3">
      <c r="A1030" s="6">
        <v>39710</v>
      </c>
      <c r="B1030" s="7">
        <v>0.66666666666666663</v>
      </c>
      <c r="C1030" s="5">
        <v>110</v>
      </c>
      <c r="D1030" s="5">
        <v>110</v>
      </c>
      <c r="E1030" s="5">
        <v>110</v>
      </c>
      <c r="F1030" s="5">
        <v>110</v>
      </c>
      <c r="G1030" s="5">
        <v>100</v>
      </c>
      <c r="I1030" s="6">
        <v>41425</v>
      </c>
      <c r="J1030" s="7">
        <v>0.66666666666666663</v>
      </c>
      <c r="K1030" s="5">
        <v>15000.0195</v>
      </c>
      <c r="L1030" s="5">
        <v>15000.0996</v>
      </c>
      <c r="M1030" s="5">
        <v>15000</v>
      </c>
      <c r="N1030" s="5">
        <v>15000.0195</v>
      </c>
      <c r="O1030" s="5">
        <v>18320</v>
      </c>
      <c r="Q1030" s="6">
        <v>39673</v>
      </c>
      <c r="R1030" s="7">
        <v>0.66666666666666663</v>
      </c>
      <c r="S1030" s="5">
        <v>155.5</v>
      </c>
      <c r="T1030" s="5">
        <v>160</v>
      </c>
      <c r="U1030" s="5">
        <v>148.75</v>
      </c>
      <c r="V1030" s="5">
        <v>155.5</v>
      </c>
      <c r="W1030" s="5">
        <v>1833600</v>
      </c>
      <c r="Y1030" s="6">
        <f t="shared" si="32"/>
        <v>41425</v>
      </c>
      <c r="Z1030" s="5">
        <f t="shared" si="33"/>
        <v>15000.0195</v>
      </c>
      <c r="AA1030" s="5">
        <v>193.7</v>
      </c>
      <c r="AB1030" s="5">
        <v>294.85000000000002</v>
      </c>
    </row>
    <row r="1031" spans="1:28" x14ac:dyDescent="0.3">
      <c r="A1031" s="6">
        <v>39715</v>
      </c>
      <c r="B1031" s="7">
        <v>0.66666666666666663</v>
      </c>
      <c r="C1031" s="5">
        <v>110</v>
      </c>
      <c r="D1031" s="5">
        <v>110</v>
      </c>
      <c r="E1031" s="5">
        <v>110</v>
      </c>
      <c r="F1031" s="5">
        <v>110</v>
      </c>
      <c r="G1031" s="5">
        <v>400</v>
      </c>
      <c r="I1031" s="6">
        <v>41428</v>
      </c>
      <c r="J1031" s="7">
        <v>0.66666666666666663</v>
      </c>
      <c r="K1031" s="5">
        <v>15000.0098</v>
      </c>
      <c r="L1031" s="5">
        <v>15000.0098</v>
      </c>
      <c r="M1031" s="5">
        <v>15000</v>
      </c>
      <c r="N1031" s="5">
        <v>15000</v>
      </c>
      <c r="O1031" s="5">
        <v>1800</v>
      </c>
      <c r="Q1031" s="6">
        <v>39675</v>
      </c>
      <c r="R1031" s="7">
        <v>0.66666666666666663</v>
      </c>
      <c r="S1031" s="5">
        <v>155.5</v>
      </c>
      <c r="T1031" s="5">
        <v>163.27000000000001</v>
      </c>
      <c r="U1031" s="5">
        <v>153.19999999999999</v>
      </c>
      <c r="V1031" s="5">
        <v>163.27000000000001</v>
      </c>
      <c r="W1031" s="5">
        <v>823200</v>
      </c>
      <c r="Y1031" s="6">
        <f t="shared" si="32"/>
        <v>41428</v>
      </c>
      <c r="Z1031" s="5">
        <f t="shared" si="33"/>
        <v>15000</v>
      </c>
      <c r="AA1031" s="5">
        <v>196.3</v>
      </c>
      <c r="AB1031" s="5">
        <v>295</v>
      </c>
    </row>
    <row r="1032" spans="1:28" x14ac:dyDescent="0.3">
      <c r="A1032" s="6">
        <v>39756</v>
      </c>
      <c r="B1032" s="7">
        <v>0.66666666666666663</v>
      </c>
      <c r="C1032" s="5">
        <v>110</v>
      </c>
      <c r="D1032" s="5">
        <v>110</v>
      </c>
      <c r="E1032" s="5">
        <v>110</v>
      </c>
      <c r="F1032" s="5">
        <v>110</v>
      </c>
      <c r="G1032" s="5">
        <v>2000</v>
      </c>
      <c r="I1032" s="6">
        <v>41429</v>
      </c>
      <c r="J1032" s="7">
        <v>0.66666666666666663</v>
      </c>
      <c r="K1032" s="5">
        <v>15000.0098</v>
      </c>
      <c r="L1032" s="5">
        <v>15000.0996</v>
      </c>
      <c r="M1032" s="5">
        <v>15000</v>
      </c>
      <c r="N1032" s="5">
        <v>15000</v>
      </c>
      <c r="O1032" s="5">
        <v>6600</v>
      </c>
      <c r="Q1032" s="6">
        <v>39678</v>
      </c>
      <c r="R1032" s="7">
        <v>0.66666666666666663</v>
      </c>
      <c r="S1032" s="5">
        <v>166.05</v>
      </c>
      <c r="T1032" s="5">
        <v>171.43</v>
      </c>
      <c r="U1032" s="5">
        <v>166.05</v>
      </c>
      <c r="V1032" s="5">
        <v>171.43</v>
      </c>
      <c r="W1032" s="5">
        <v>1776800</v>
      </c>
      <c r="Y1032" s="6">
        <f t="shared" si="32"/>
        <v>41429</v>
      </c>
      <c r="Z1032" s="5">
        <f t="shared" si="33"/>
        <v>15000</v>
      </c>
      <c r="AA1032" s="5">
        <v>197.03</v>
      </c>
      <c r="AB1032" s="5">
        <v>295.63</v>
      </c>
    </row>
    <row r="1033" spans="1:28" x14ac:dyDescent="0.3">
      <c r="A1033" s="6">
        <v>39771</v>
      </c>
      <c r="B1033" s="7">
        <v>0.66666666666666663</v>
      </c>
      <c r="C1033" s="5">
        <v>110</v>
      </c>
      <c r="D1033" s="5">
        <v>110</v>
      </c>
      <c r="E1033" s="5">
        <v>110</v>
      </c>
      <c r="F1033" s="5">
        <v>110</v>
      </c>
      <c r="G1033" s="5">
        <v>1000</v>
      </c>
      <c r="I1033" s="6">
        <v>41430</v>
      </c>
      <c r="J1033" s="7">
        <v>0.66666666666666663</v>
      </c>
      <c r="K1033" s="5">
        <v>15000.0195</v>
      </c>
      <c r="L1033" s="5">
        <v>15000.0303</v>
      </c>
      <c r="M1033" s="5">
        <v>15000</v>
      </c>
      <c r="N1033" s="5">
        <v>15000</v>
      </c>
      <c r="O1033" s="5">
        <v>18280</v>
      </c>
      <c r="Q1033" s="6">
        <v>39679</v>
      </c>
      <c r="R1033" s="7">
        <v>0.66666666666666663</v>
      </c>
      <c r="S1033" s="5">
        <v>180</v>
      </c>
      <c r="T1033" s="5">
        <v>180</v>
      </c>
      <c r="U1033" s="5">
        <v>180</v>
      </c>
      <c r="V1033" s="5">
        <v>180</v>
      </c>
      <c r="W1033" s="5">
        <v>163200</v>
      </c>
      <c r="Y1033" s="6">
        <f t="shared" si="32"/>
        <v>41430</v>
      </c>
      <c r="Z1033" s="5">
        <f t="shared" si="33"/>
        <v>15000</v>
      </c>
      <c r="AA1033" s="5">
        <v>195.22</v>
      </c>
      <c r="AB1033" s="5">
        <v>300</v>
      </c>
    </row>
    <row r="1034" spans="1:28" x14ac:dyDescent="0.3">
      <c r="A1034" s="6">
        <v>39808</v>
      </c>
      <c r="B1034" s="7">
        <v>0.66666666666666663</v>
      </c>
      <c r="C1034" s="5">
        <v>104.5</v>
      </c>
      <c r="D1034" s="5">
        <v>104.5</v>
      </c>
      <c r="E1034" s="5">
        <v>104.5</v>
      </c>
      <c r="F1034" s="5">
        <v>104.5</v>
      </c>
      <c r="G1034" s="5">
        <v>200</v>
      </c>
      <c r="I1034" s="6">
        <v>41431</v>
      </c>
      <c r="J1034" s="7">
        <v>0.66666666666666663</v>
      </c>
      <c r="K1034" s="5">
        <v>15000.0098</v>
      </c>
      <c r="L1034" s="5">
        <v>15000.0098</v>
      </c>
      <c r="M1034" s="5">
        <v>15000</v>
      </c>
      <c r="N1034" s="5">
        <v>15000</v>
      </c>
      <c r="O1034" s="5">
        <v>6180</v>
      </c>
      <c r="Q1034" s="6">
        <v>39680</v>
      </c>
      <c r="R1034" s="7">
        <v>0.66666666666666663</v>
      </c>
      <c r="S1034" s="5">
        <v>180</v>
      </c>
      <c r="T1034" s="5">
        <v>189</v>
      </c>
      <c r="U1034" s="5">
        <v>172.25</v>
      </c>
      <c r="V1034" s="5">
        <v>174.9</v>
      </c>
      <c r="W1034" s="5">
        <v>4436400</v>
      </c>
      <c r="Y1034" s="6">
        <f t="shared" si="32"/>
        <v>41431</v>
      </c>
      <c r="Z1034" s="5">
        <f t="shared" si="33"/>
        <v>15000</v>
      </c>
      <c r="AA1034" s="5">
        <v>196.08</v>
      </c>
      <c r="AB1034" s="5">
        <v>308.22000000000003</v>
      </c>
    </row>
    <row r="1035" spans="1:28" x14ac:dyDescent="0.3">
      <c r="A1035" s="6">
        <v>39811</v>
      </c>
      <c r="B1035" s="7">
        <v>0.66666666666666663</v>
      </c>
      <c r="C1035" s="5">
        <v>99.28</v>
      </c>
      <c r="D1035" s="5">
        <v>99.28</v>
      </c>
      <c r="E1035" s="5">
        <v>99.28</v>
      </c>
      <c r="F1035" s="5">
        <v>99.28</v>
      </c>
      <c r="G1035" s="5">
        <v>100</v>
      </c>
      <c r="I1035" s="6">
        <v>41432</v>
      </c>
      <c r="J1035" s="7">
        <v>0.66666666666666663</v>
      </c>
      <c r="K1035" s="5">
        <v>15000</v>
      </c>
      <c r="L1035" s="5">
        <v>15000</v>
      </c>
      <c r="M1035" s="5">
        <v>15000</v>
      </c>
      <c r="N1035" s="5">
        <v>15000</v>
      </c>
      <c r="O1035" s="5">
        <v>5680</v>
      </c>
      <c r="Q1035" s="6">
        <v>39681</v>
      </c>
      <c r="R1035" s="7">
        <v>0.66666666666666663</v>
      </c>
      <c r="S1035" s="5">
        <v>174.9</v>
      </c>
      <c r="T1035" s="5">
        <v>180</v>
      </c>
      <c r="U1035" s="5">
        <v>166.16</v>
      </c>
      <c r="V1035" s="5">
        <v>168</v>
      </c>
      <c r="W1035" s="5">
        <v>2363100</v>
      </c>
      <c r="Y1035" s="6">
        <f t="shared" si="32"/>
        <v>41432</v>
      </c>
      <c r="Z1035" s="5">
        <f t="shared" si="33"/>
        <v>15000</v>
      </c>
      <c r="AA1035" s="5">
        <v>197.07</v>
      </c>
      <c r="AB1035" s="5">
        <v>323.63</v>
      </c>
    </row>
    <row r="1036" spans="1:28" x14ac:dyDescent="0.3">
      <c r="A1036" s="6">
        <v>39812</v>
      </c>
      <c r="B1036" s="7">
        <v>0.66666666666666663</v>
      </c>
      <c r="C1036" s="5">
        <v>94.32</v>
      </c>
      <c r="D1036" s="5">
        <v>94.32</v>
      </c>
      <c r="E1036" s="5">
        <v>94.32</v>
      </c>
      <c r="F1036" s="5">
        <v>94.32</v>
      </c>
      <c r="G1036" s="5">
        <v>10300</v>
      </c>
      <c r="I1036" s="6">
        <v>41435</v>
      </c>
      <c r="J1036" s="7">
        <v>0.66666666666666663</v>
      </c>
      <c r="K1036" s="5">
        <v>15100</v>
      </c>
      <c r="L1036" s="5">
        <v>15100</v>
      </c>
      <c r="M1036" s="5">
        <v>15000</v>
      </c>
      <c r="N1036" s="5">
        <v>15000</v>
      </c>
      <c r="O1036" s="5">
        <v>2140</v>
      </c>
      <c r="Q1036" s="6">
        <v>39682</v>
      </c>
      <c r="R1036" s="7">
        <v>0.66666666666666663</v>
      </c>
      <c r="S1036" s="5">
        <v>168</v>
      </c>
      <c r="T1036" s="5">
        <v>169.9</v>
      </c>
      <c r="U1036" s="5">
        <v>160.25</v>
      </c>
      <c r="V1036" s="5">
        <v>163.5</v>
      </c>
      <c r="W1036" s="5">
        <v>685700</v>
      </c>
      <c r="Y1036" s="6">
        <f t="shared" si="32"/>
        <v>41435</v>
      </c>
      <c r="Z1036" s="5">
        <f t="shared" si="33"/>
        <v>15000</v>
      </c>
      <c r="AA1036" s="5">
        <v>195.43</v>
      </c>
      <c r="AB1036" s="5">
        <v>333.25</v>
      </c>
    </row>
    <row r="1037" spans="1:28" x14ac:dyDescent="0.3">
      <c r="A1037" s="6">
        <v>39813</v>
      </c>
      <c r="B1037" s="7">
        <v>0.66666666666666663</v>
      </c>
      <c r="C1037" s="5">
        <v>89.61</v>
      </c>
      <c r="D1037" s="5">
        <v>89.61</v>
      </c>
      <c r="E1037" s="5">
        <v>89.61</v>
      </c>
      <c r="F1037" s="5">
        <v>89.61</v>
      </c>
      <c r="G1037" s="5">
        <v>600</v>
      </c>
      <c r="I1037" s="6">
        <v>41436</v>
      </c>
      <c r="J1037" s="7">
        <v>0.66666666666666663</v>
      </c>
      <c r="K1037" s="5">
        <v>15000</v>
      </c>
      <c r="L1037" s="5">
        <v>15000</v>
      </c>
      <c r="M1037" s="5">
        <v>15000</v>
      </c>
      <c r="N1037" s="5">
        <v>15000</v>
      </c>
      <c r="O1037" s="5">
        <v>1000</v>
      </c>
      <c r="Q1037" s="6">
        <v>39685</v>
      </c>
      <c r="R1037" s="7">
        <v>0.66666666666666663</v>
      </c>
      <c r="S1037" s="5">
        <v>163.5</v>
      </c>
      <c r="T1037" s="5">
        <v>165.2</v>
      </c>
      <c r="U1037" s="5">
        <v>155.33000000000001</v>
      </c>
      <c r="V1037" s="5">
        <v>156.11000000000001</v>
      </c>
      <c r="W1037" s="5">
        <v>846300</v>
      </c>
      <c r="Y1037" s="6">
        <f t="shared" si="32"/>
        <v>41436</v>
      </c>
      <c r="Z1037" s="5">
        <f t="shared" si="33"/>
        <v>15000</v>
      </c>
      <c r="AA1037" s="5">
        <v>194.81</v>
      </c>
      <c r="AB1037" s="5">
        <v>325.29000000000002</v>
      </c>
    </row>
    <row r="1038" spans="1:28" x14ac:dyDescent="0.3">
      <c r="A1038" s="6">
        <v>39814</v>
      </c>
      <c r="B1038" s="7">
        <v>0.66666666666666663</v>
      </c>
      <c r="C1038" s="5">
        <v>85.13</v>
      </c>
      <c r="D1038" s="5">
        <v>85.13</v>
      </c>
      <c r="E1038" s="5">
        <v>85.13</v>
      </c>
      <c r="F1038" s="5">
        <v>85.13</v>
      </c>
      <c r="G1038" s="5">
        <v>2000</v>
      </c>
      <c r="I1038" s="6">
        <v>41437</v>
      </c>
      <c r="J1038" s="7">
        <v>0.66666666666666663</v>
      </c>
      <c r="K1038" s="5">
        <v>15000</v>
      </c>
      <c r="L1038" s="5">
        <v>15000</v>
      </c>
      <c r="M1038" s="5">
        <v>15000</v>
      </c>
      <c r="N1038" s="5">
        <v>15000</v>
      </c>
      <c r="O1038" s="5">
        <v>2760</v>
      </c>
      <c r="Q1038" s="6">
        <v>39686</v>
      </c>
      <c r="R1038" s="7">
        <v>0.66666666666666663</v>
      </c>
      <c r="S1038" s="5">
        <v>156.11000000000001</v>
      </c>
      <c r="T1038" s="5">
        <v>160.5</v>
      </c>
      <c r="U1038" s="5">
        <v>148.31</v>
      </c>
      <c r="V1038" s="5">
        <v>148.31</v>
      </c>
      <c r="W1038" s="5">
        <v>419100</v>
      </c>
      <c r="Y1038" s="6">
        <f t="shared" si="32"/>
        <v>41437</v>
      </c>
      <c r="Z1038" s="5">
        <f t="shared" si="33"/>
        <v>15000</v>
      </c>
      <c r="AA1038" s="5">
        <v>198.2</v>
      </c>
      <c r="AB1038" s="5">
        <v>319.54000000000002</v>
      </c>
    </row>
    <row r="1039" spans="1:28" x14ac:dyDescent="0.3">
      <c r="A1039" s="6">
        <v>39815</v>
      </c>
      <c r="B1039" s="7">
        <v>0.66666666666666663</v>
      </c>
      <c r="C1039" s="5">
        <v>84</v>
      </c>
      <c r="D1039" s="5">
        <v>89.38</v>
      </c>
      <c r="E1039" s="5">
        <v>81.150000000000006</v>
      </c>
      <c r="F1039" s="5">
        <v>89.38</v>
      </c>
      <c r="G1039" s="5">
        <v>8600</v>
      </c>
      <c r="I1039" s="6">
        <v>41438</v>
      </c>
      <c r="J1039" s="7">
        <v>0.66666666666666663</v>
      </c>
      <c r="K1039" s="5">
        <v>15000</v>
      </c>
      <c r="L1039" s="5">
        <v>15001</v>
      </c>
      <c r="M1039" s="5">
        <v>15000</v>
      </c>
      <c r="N1039" s="5">
        <v>15000</v>
      </c>
      <c r="O1039" s="5">
        <v>2300</v>
      </c>
      <c r="Q1039" s="6">
        <v>39687</v>
      </c>
      <c r="R1039" s="7">
        <v>0.66666666666666663</v>
      </c>
      <c r="S1039" s="5">
        <v>143</v>
      </c>
      <c r="T1039" s="5">
        <v>143</v>
      </c>
      <c r="U1039" s="5">
        <v>140.9</v>
      </c>
      <c r="V1039" s="5">
        <v>140.9</v>
      </c>
      <c r="W1039" s="5">
        <v>351900</v>
      </c>
      <c r="Y1039" s="6">
        <f t="shared" si="32"/>
        <v>41438</v>
      </c>
      <c r="Z1039" s="5">
        <f t="shared" si="33"/>
        <v>15000</v>
      </c>
      <c r="AA1039" s="5">
        <v>200.5</v>
      </c>
      <c r="AB1039" s="5">
        <v>328.53</v>
      </c>
    </row>
    <row r="1040" spans="1:28" x14ac:dyDescent="0.3">
      <c r="A1040" s="6">
        <v>39818</v>
      </c>
      <c r="B1040" s="7">
        <v>0.66666666666666663</v>
      </c>
      <c r="C1040" s="5">
        <v>93.84</v>
      </c>
      <c r="D1040" s="5">
        <v>93.84</v>
      </c>
      <c r="E1040" s="5">
        <v>93.84</v>
      </c>
      <c r="F1040" s="5">
        <v>93.84</v>
      </c>
      <c r="G1040" s="5">
        <v>1900</v>
      </c>
      <c r="I1040" s="6">
        <v>41439</v>
      </c>
      <c r="J1040" s="7">
        <v>0.66666666666666663</v>
      </c>
      <c r="K1040" s="5">
        <v>15000</v>
      </c>
      <c r="L1040" s="5">
        <v>15000</v>
      </c>
      <c r="M1040" s="5">
        <v>15000</v>
      </c>
      <c r="N1040" s="5">
        <v>15000</v>
      </c>
      <c r="O1040" s="5">
        <v>560</v>
      </c>
      <c r="Q1040" s="6">
        <v>39688</v>
      </c>
      <c r="R1040" s="7">
        <v>0.66666666666666663</v>
      </c>
      <c r="S1040" s="5">
        <v>140.9</v>
      </c>
      <c r="T1040" s="5">
        <v>147</v>
      </c>
      <c r="U1040" s="5">
        <v>140.9</v>
      </c>
      <c r="V1040" s="5">
        <v>140.9</v>
      </c>
      <c r="W1040" s="5">
        <v>270200</v>
      </c>
      <c r="Y1040" s="6">
        <f t="shared" si="32"/>
        <v>41439</v>
      </c>
      <c r="Z1040" s="5">
        <f t="shared" si="33"/>
        <v>15000</v>
      </c>
      <c r="AA1040" s="5">
        <v>196.03</v>
      </c>
      <c r="AB1040" s="5">
        <v>327.73</v>
      </c>
    </row>
    <row r="1041" spans="1:28" x14ac:dyDescent="0.3">
      <c r="A1041" s="6">
        <v>39819</v>
      </c>
      <c r="B1041" s="7">
        <v>0.66666666666666663</v>
      </c>
      <c r="C1041" s="5">
        <v>98.53</v>
      </c>
      <c r="D1041" s="5">
        <v>98.53</v>
      </c>
      <c r="E1041" s="5">
        <v>92.1</v>
      </c>
      <c r="F1041" s="5">
        <v>97</v>
      </c>
      <c r="G1041" s="5">
        <v>46200</v>
      </c>
      <c r="I1041" s="6">
        <v>41442</v>
      </c>
      <c r="J1041" s="7">
        <v>0.66666666666666663</v>
      </c>
      <c r="K1041" s="5">
        <v>15000</v>
      </c>
      <c r="L1041" s="5">
        <v>15000</v>
      </c>
      <c r="M1041" s="5">
        <v>15000</v>
      </c>
      <c r="N1041" s="5">
        <v>15000</v>
      </c>
      <c r="O1041" s="5">
        <v>7000</v>
      </c>
      <c r="Q1041" s="6">
        <v>39689</v>
      </c>
      <c r="R1041" s="7">
        <v>0.66666666666666663</v>
      </c>
      <c r="S1041" s="5">
        <v>140.9</v>
      </c>
      <c r="T1041" s="5">
        <v>140.9</v>
      </c>
      <c r="U1041" s="5">
        <v>140.9</v>
      </c>
      <c r="V1041" s="5">
        <v>140.9</v>
      </c>
      <c r="W1041" s="5">
        <v>800</v>
      </c>
      <c r="Y1041" s="6">
        <f t="shared" si="32"/>
        <v>41442</v>
      </c>
      <c r="Z1041" s="5">
        <f t="shared" si="33"/>
        <v>15000</v>
      </c>
      <c r="AA1041" s="5">
        <v>192.02</v>
      </c>
      <c r="AB1041" s="5">
        <v>322.17</v>
      </c>
    </row>
    <row r="1042" spans="1:28" x14ac:dyDescent="0.3">
      <c r="A1042" s="6">
        <v>39822</v>
      </c>
      <c r="B1042" s="7">
        <v>0.66666666666666663</v>
      </c>
      <c r="C1042" s="5">
        <v>99.5</v>
      </c>
      <c r="D1042" s="5">
        <v>101.84</v>
      </c>
      <c r="E1042" s="5">
        <v>94</v>
      </c>
      <c r="F1042" s="5">
        <v>94</v>
      </c>
      <c r="G1042" s="5">
        <v>21200</v>
      </c>
      <c r="I1042" s="6">
        <v>41443</v>
      </c>
      <c r="J1042" s="7">
        <v>0.66666666666666663</v>
      </c>
      <c r="K1042" s="5">
        <v>15000</v>
      </c>
      <c r="L1042" s="5">
        <v>15000</v>
      </c>
      <c r="M1042" s="5">
        <v>15000</v>
      </c>
      <c r="N1042" s="5">
        <v>15000</v>
      </c>
      <c r="O1042" s="5">
        <v>2180</v>
      </c>
      <c r="Q1042" s="6">
        <v>39692</v>
      </c>
      <c r="R1042" s="7">
        <v>0.66666666666666663</v>
      </c>
      <c r="S1042" s="5">
        <v>140.9</v>
      </c>
      <c r="T1042" s="5">
        <v>140.9</v>
      </c>
      <c r="U1042" s="5">
        <v>140.9</v>
      </c>
      <c r="V1042" s="5">
        <v>140.9</v>
      </c>
      <c r="W1042" s="5">
        <v>12800</v>
      </c>
      <c r="Y1042" s="6">
        <f t="shared" si="32"/>
        <v>41443</v>
      </c>
      <c r="Z1042" s="5">
        <f t="shared" si="33"/>
        <v>15000</v>
      </c>
      <c r="AA1042" s="5">
        <v>190.89</v>
      </c>
      <c r="AB1042" s="5">
        <v>337.59</v>
      </c>
    </row>
    <row r="1043" spans="1:28" x14ac:dyDescent="0.3">
      <c r="A1043" s="6">
        <v>39825</v>
      </c>
      <c r="B1043" s="7">
        <v>0.66666666666666663</v>
      </c>
      <c r="C1043" s="5">
        <v>98.98</v>
      </c>
      <c r="D1043" s="5">
        <v>100</v>
      </c>
      <c r="E1043" s="5">
        <v>93.5</v>
      </c>
      <c r="F1043" s="5">
        <v>95.01</v>
      </c>
      <c r="G1043" s="5">
        <v>11100</v>
      </c>
      <c r="I1043" s="6">
        <v>41444</v>
      </c>
      <c r="J1043" s="7">
        <v>0.66666666666666663</v>
      </c>
      <c r="K1043" s="5">
        <v>15000</v>
      </c>
      <c r="L1043" s="5">
        <v>15000</v>
      </c>
      <c r="M1043" s="5">
        <v>15000</v>
      </c>
      <c r="N1043" s="5">
        <v>15000</v>
      </c>
      <c r="O1043" s="5">
        <v>11860</v>
      </c>
      <c r="Q1043" s="6">
        <v>39693</v>
      </c>
      <c r="R1043" s="7">
        <v>0.66666666666666663</v>
      </c>
      <c r="S1043" s="5">
        <v>140.9</v>
      </c>
      <c r="T1043" s="5">
        <v>140.9</v>
      </c>
      <c r="U1043" s="5">
        <v>140.9</v>
      </c>
      <c r="V1043" s="5">
        <v>140.9</v>
      </c>
      <c r="W1043" s="5">
        <v>500</v>
      </c>
      <c r="Y1043" s="6">
        <f t="shared" si="32"/>
        <v>41444</v>
      </c>
      <c r="Z1043" s="5">
        <f t="shared" si="33"/>
        <v>15000</v>
      </c>
      <c r="AA1043" s="5">
        <v>193.09</v>
      </c>
      <c r="AB1043" s="5">
        <v>349.09</v>
      </c>
    </row>
    <row r="1044" spans="1:28" x14ac:dyDescent="0.3">
      <c r="A1044" s="6">
        <v>39826</v>
      </c>
      <c r="B1044" s="7">
        <v>0.66666666666666663</v>
      </c>
      <c r="C1044" s="5">
        <v>94</v>
      </c>
      <c r="D1044" s="5">
        <v>96.85</v>
      </c>
      <c r="E1044" s="5">
        <v>94</v>
      </c>
      <c r="F1044" s="5">
        <v>95.5</v>
      </c>
      <c r="G1044" s="5">
        <v>2000</v>
      </c>
      <c r="I1044" s="6">
        <v>41445</v>
      </c>
      <c r="J1044" s="7">
        <v>0.66666666666666663</v>
      </c>
      <c r="K1044" s="5">
        <v>15000.0098</v>
      </c>
      <c r="L1044" s="5">
        <v>15000.0098</v>
      </c>
      <c r="M1044" s="5">
        <v>15000</v>
      </c>
      <c r="N1044" s="5">
        <v>15000</v>
      </c>
      <c r="O1044" s="5">
        <v>26020</v>
      </c>
      <c r="Q1044" s="6">
        <v>39694</v>
      </c>
      <c r="R1044" s="7">
        <v>0.66666666666666663</v>
      </c>
      <c r="S1044" s="5">
        <v>140.9</v>
      </c>
      <c r="T1044" s="5">
        <v>140.9</v>
      </c>
      <c r="U1044" s="5">
        <v>140.9</v>
      </c>
      <c r="V1044" s="5">
        <v>140.9</v>
      </c>
      <c r="W1044" s="5">
        <v>2000</v>
      </c>
      <c r="Y1044" s="6">
        <f t="shared" si="32"/>
        <v>41445</v>
      </c>
      <c r="Z1044" s="5">
        <f t="shared" si="33"/>
        <v>15000</v>
      </c>
      <c r="AA1044" s="5">
        <v>190.46</v>
      </c>
      <c r="AB1044" s="5">
        <v>341.57</v>
      </c>
    </row>
    <row r="1045" spans="1:28" x14ac:dyDescent="0.3">
      <c r="A1045" s="6">
        <v>39827</v>
      </c>
      <c r="B1045" s="7">
        <v>0.66666666666666663</v>
      </c>
      <c r="C1045" s="5">
        <v>96.99</v>
      </c>
      <c r="D1045" s="5">
        <v>97.25</v>
      </c>
      <c r="E1045" s="5">
        <v>90.73</v>
      </c>
      <c r="F1045" s="5">
        <v>90.73</v>
      </c>
      <c r="G1045" s="5">
        <v>16600</v>
      </c>
      <c r="I1045" s="6">
        <v>41446</v>
      </c>
      <c r="J1045" s="7">
        <v>0.66666666666666663</v>
      </c>
      <c r="K1045" s="5">
        <v>15000</v>
      </c>
      <c r="L1045" s="5">
        <v>15002</v>
      </c>
      <c r="M1045" s="5">
        <v>15000</v>
      </c>
      <c r="N1045" s="5">
        <v>15000</v>
      </c>
      <c r="O1045" s="5">
        <v>32700</v>
      </c>
      <c r="Q1045" s="6">
        <v>39695</v>
      </c>
      <c r="R1045" s="7">
        <v>0.66666666666666663</v>
      </c>
      <c r="S1045" s="5">
        <v>140.9</v>
      </c>
      <c r="T1045" s="5">
        <v>140.9</v>
      </c>
      <c r="U1045" s="5">
        <v>140.9</v>
      </c>
      <c r="V1045" s="5">
        <v>140.9</v>
      </c>
      <c r="W1045" s="5">
        <v>1100</v>
      </c>
      <c r="Y1045" s="6">
        <f t="shared" si="32"/>
        <v>41446</v>
      </c>
      <c r="Z1045" s="5">
        <f t="shared" si="33"/>
        <v>15000</v>
      </c>
      <c r="AA1045" s="5">
        <v>186.59</v>
      </c>
      <c r="AB1045" s="5">
        <v>340</v>
      </c>
    </row>
    <row r="1046" spans="1:28" x14ac:dyDescent="0.3">
      <c r="A1046" s="6">
        <v>39828</v>
      </c>
      <c r="B1046" s="7">
        <v>0.66666666666666663</v>
      </c>
      <c r="C1046" s="5">
        <v>91.5</v>
      </c>
      <c r="D1046" s="5">
        <v>91.5</v>
      </c>
      <c r="E1046" s="5">
        <v>88</v>
      </c>
      <c r="F1046" s="5">
        <v>88</v>
      </c>
      <c r="G1046" s="5">
        <v>3000</v>
      </c>
      <c r="I1046" s="6">
        <v>41449</v>
      </c>
      <c r="J1046" s="7">
        <v>0.66666666666666663</v>
      </c>
      <c r="K1046" s="5">
        <v>15000</v>
      </c>
      <c r="L1046" s="5">
        <v>15001</v>
      </c>
      <c r="M1046" s="5">
        <v>15000</v>
      </c>
      <c r="N1046" s="5">
        <v>15000</v>
      </c>
      <c r="O1046" s="5">
        <v>15920</v>
      </c>
      <c r="Q1046" s="6">
        <v>39696</v>
      </c>
      <c r="R1046" s="7">
        <v>0.66666666666666663</v>
      </c>
      <c r="S1046" s="5">
        <v>140.9</v>
      </c>
      <c r="T1046" s="5">
        <v>145.19999999999999</v>
      </c>
      <c r="U1046" s="5">
        <v>140.9</v>
      </c>
      <c r="V1046" s="5">
        <v>145.19999999999999</v>
      </c>
      <c r="W1046" s="5">
        <v>430400</v>
      </c>
      <c r="Y1046" s="6">
        <f t="shared" si="32"/>
        <v>41449</v>
      </c>
      <c r="Z1046" s="5">
        <f t="shared" si="33"/>
        <v>15000</v>
      </c>
      <c r="AA1046" s="5">
        <v>177.51</v>
      </c>
      <c r="AB1046" s="5">
        <v>328.08</v>
      </c>
    </row>
    <row r="1047" spans="1:28" x14ac:dyDescent="0.3">
      <c r="A1047" s="6">
        <v>39829</v>
      </c>
      <c r="B1047" s="7">
        <v>0.66666666666666663</v>
      </c>
      <c r="C1047" s="5">
        <v>87.01</v>
      </c>
      <c r="D1047" s="5">
        <v>89.99</v>
      </c>
      <c r="E1047" s="5">
        <v>84.12</v>
      </c>
      <c r="F1047" s="5">
        <v>84.12</v>
      </c>
      <c r="G1047" s="5">
        <v>3300</v>
      </c>
      <c r="I1047" s="6">
        <v>41450</v>
      </c>
      <c r="J1047" s="7">
        <v>0.66666666666666663</v>
      </c>
      <c r="K1047" s="5">
        <v>15000</v>
      </c>
      <c r="L1047" s="5">
        <v>15001</v>
      </c>
      <c r="M1047" s="5">
        <v>15000</v>
      </c>
      <c r="N1047" s="5">
        <v>15000</v>
      </c>
      <c r="O1047" s="5">
        <v>13560</v>
      </c>
      <c r="Q1047" s="6">
        <v>39699</v>
      </c>
      <c r="R1047" s="7">
        <v>0.66666666666666663</v>
      </c>
      <c r="S1047" s="5">
        <v>145.19999999999999</v>
      </c>
      <c r="T1047" s="5">
        <v>149.5</v>
      </c>
      <c r="U1047" s="5">
        <v>140.9</v>
      </c>
      <c r="V1047" s="5">
        <v>140.9</v>
      </c>
      <c r="W1047" s="5">
        <v>404700</v>
      </c>
      <c r="Y1047" s="6">
        <f t="shared" si="32"/>
        <v>41450</v>
      </c>
      <c r="Z1047" s="5">
        <f t="shared" si="33"/>
        <v>15000</v>
      </c>
      <c r="AA1047" s="5">
        <v>170.9</v>
      </c>
      <c r="AB1047" s="5">
        <v>329.48</v>
      </c>
    </row>
    <row r="1048" spans="1:28" x14ac:dyDescent="0.3">
      <c r="A1048" s="6">
        <v>39832</v>
      </c>
      <c r="B1048" s="7">
        <v>0.66666666666666663</v>
      </c>
      <c r="C1048" s="5">
        <v>84.12</v>
      </c>
      <c r="D1048" s="5">
        <v>85</v>
      </c>
      <c r="E1048" s="5">
        <v>79.92</v>
      </c>
      <c r="F1048" s="5">
        <v>80.13</v>
      </c>
      <c r="G1048" s="5">
        <v>7900</v>
      </c>
      <c r="I1048" s="6">
        <v>41451</v>
      </c>
      <c r="J1048" s="7">
        <v>0.66666666666666663</v>
      </c>
      <c r="K1048" s="5">
        <v>15001</v>
      </c>
      <c r="L1048" s="5">
        <v>15001</v>
      </c>
      <c r="M1048" s="5">
        <v>15000</v>
      </c>
      <c r="N1048" s="5">
        <v>15000</v>
      </c>
      <c r="O1048" s="5">
        <v>6720</v>
      </c>
      <c r="Q1048" s="6">
        <v>39700</v>
      </c>
      <c r="R1048" s="7">
        <v>0.66666666666666663</v>
      </c>
      <c r="S1048" s="5">
        <v>140.9</v>
      </c>
      <c r="T1048" s="5">
        <v>140.9</v>
      </c>
      <c r="U1048" s="5">
        <v>140.9</v>
      </c>
      <c r="V1048" s="5">
        <v>140.9</v>
      </c>
      <c r="W1048" s="5">
        <v>2700</v>
      </c>
      <c r="Y1048" s="6">
        <f t="shared" si="32"/>
        <v>41451</v>
      </c>
      <c r="Z1048" s="5">
        <f t="shared" si="33"/>
        <v>15000</v>
      </c>
      <c r="AA1048" s="5">
        <v>170.96</v>
      </c>
      <c r="AB1048" s="5">
        <v>337.01</v>
      </c>
    </row>
    <row r="1049" spans="1:28" x14ac:dyDescent="0.3">
      <c r="A1049" s="6">
        <v>39833</v>
      </c>
      <c r="B1049" s="7">
        <v>0.66666666666666663</v>
      </c>
      <c r="C1049" s="5">
        <v>82</v>
      </c>
      <c r="D1049" s="5">
        <v>82</v>
      </c>
      <c r="E1049" s="5">
        <v>76.13</v>
      </c>
      <c r="F1049" s="5">
        <v>79.44</v>
      </c>
      <c r="G1049" s="5">
        <v>32800</v>
      </c>
      <c r="I1049" s="6">
        <v>41452</v>
      </c>
      <c r="J1049" s="7">
        <v>0.66666666666666663</v>
      </c>
      <c r="K1049" s="5">
        <v>15000</v>
      </c>
      <c r="L1049" s="5">
        <v>15002</v>
      </c>
      <c r="M1049" s="5">
        <v>15000</v>
      </c>
      <c r="N1049" s="5">
        <v>15000.0098</v>
      </c>
      <c r="O1049" s="5">
        <v>21680</v>
      </c>
      <c r="Q1049" s="6">
        <v>39701</v>
      </c>
      <c r="R1049" s="7">
        <v>0.66666666666666663</v>
      </c>
      <c r="S1049" s="5">
        <v>140.9</v>
      </c>
      <c r="T1049" s="5">
        <v>141.74</v>
      </c>
      <c r="U1049" s="5">
        <v>140.9</v>
      </c>
      <c r="V1049" s="5">
        <v>140.9</v>
      </c>
      <c r="W1049" s="5">
        <v>157300</v>
      </c>
      <c r="Y1049" s="6">
        <f t="shared" si="32"/>
        <v>41452</v>
      </c>
      <c r="Z1049" s="5">
        <f t="shared" si="33"/>
        <v>15000.0098</v>
      </c>
      <c r="AA1049" s="5">
        <v>173.04</v>
      </c>
      <c r="AB1049" s="5">
        <v>330.51</v>
      </c>
    </row>
    <row r="1050" spans="1:28" x14ac:dyDescent="0.3">
      <c r="A1050" s="6">
        <v>39834</v>
      </c>
      <c r="B1050" s="7">
        <v>0.66666666666666663</v>
      </c>
      <c r="C1050" s="5">
        <v>81.8</v>
      </c>
      <c r="D1050" s="5">
        <v>81.8</v>
      </c>
      <c r="E1050" s="5">
        <v>78</v>
      </c>
      <c r="F1050" s="5">
        <v>79.5</v>
      </c>
      <c r="G1050" s="5">
        <v>7600</v>
      </c>
      <c r="I1050" s="6">
        <v>41453</v>
      </c>
      <c r="J1050" s="7">
        <v>0.66666666666666663</v>
      </c>
      <c r="K1050" s="5">
        <v>15000</v>
      </c>
      <c r="L1050" s="5">
        <v>15000</v>
      </c>
      <c r="M1050" s="5">
        <v>15000</v>
      </c>
      <c r="N1050" s="5">
        <v>15000</v>
      </c>
      <c r="O1050" s="5">
        <v>2700</v>
      </c>
      <c r="Q1050" s="6">
        <v>39702</v>
      </c>
      <c r="R1050" s="7">
        <v>0.66666666666666663</v>
      </c>
      <c r="S1050" s="5">
        <v>140.9</v>
      </c>
      <c r="T1050" s="5">
        <v>140.9</v>
      </c>
      <c r="U1050" s="5">
        <v>140.9</v>
      </c>
      <c r="V1050" s="5">
        <v>140.9</v>
      </c>
      <c r="W1050" s="5">
        <v>1400</v>
      </c>
      <c r="Y1050" s="6">
        <f t="shared" si="32"/>
        <v>41453</v>
      </c>
      <c r="Z1050" s="5">
        <f t="shared" si="33"/>
        <v>15000</v>
      </c>
      <c r="AA1050" s="5">
        <v>172.55</v>
      </c>
      <c r="AB1050" s="5">
        <v>328.09</v>
      </c>
    </row>
    <row r="1051" spans="1:28" x14ac:dyDescent="0.3">
      <c r="A1051" s="6">
        <v>39835</v>
      </c>
      <c r="B1051" s="7">
        <v>0.66666666666666663</v>
      </c>
      <c r="C1051" s="5">
        <v>77.3</v>
      </c>
      <c r="D1051" s="5">
        <v>77.31</v>
      </c>
      <c r="E1051" s="5">
        <v>75.900000000000006</v>
      </c>
      <c r="F1051" s="5">
        <v>75.900000000000006</v>
      </c>
      <c r="G1051" s="5">
        <v>2100</v>
      </c>
      <c r="I1051" s="6">
        <v>41456</v>
      </c>
      <c r="J1051" s="7">
        <v>0.66666666666666663</v>
      </c>
      <c r="K1051" s="5">
        <v>15000</v>
      </c>
      <c r="L1051" s="5">
        <v>15000</v>
      </c>
      <c r="M1051" s="5">
        <v>15000</v>
      </c>
      <c r="N1051" s="5">
        <v>15000</v>
      </c>
      <c r="O1051" s="5">
        <v>4680</v>
      </c>
      <c r="Q1051" s="6">
        <v>39703</v>
      </c>
      <c r="R1051" s="7">
        <v>0.66666666666666663</v>
      </c>
      <c r="S1051" s="5">
        <v>140.9</v>
      </c>
      <c r="T1051" s="5">
        <v>140.9</v>
      </c>
      <c r="U1051" s="5">
        <v>140.9</v>
      </c>
      <c r="V1051" s="5">
        <v>140.9</v>
      </c>
      <c r="W1051" s="5">
        <v>100</v>
      </c>
      <c r="Y1051" s="6">
        <f t="shared" si="32"/>
        <v>41456</v>
      </c>
      <c r="Z1051" s="5">
        <f t="shared" si="33"/>
        <v>15000</v>
      </c>
      <c r="AA1051" s="5">
        <v>173.85</v>
      </c>
      <c r="AB1051" s="5">
        <v>339.64</v>
      </c>
    </row>
    <row r="1052" spans="1:28" x14ac:dyDescent="0.3">
      <c r="A1052" s="6">
        <v>39836</v>
      </c>
      <c r="B1052" s="7">
        <v>0.66666666666666663</v>
      </c>
      <c r="C1052" s="5">
        <v>76.5</v>
      </c>
      <c r="D1052" s="5">
        <v>77.7</v>
      </c>
      <c r="E1052" s="5">
        <v>72.319999999999993</v>
      </c>
      <c r="F1052" s="5">
        <v>73.5</v>
      </c>
      <c r="G1052" s="5">
        <v>17800</v>
      </c>
      <c r="I1052" s="6">
        <v>41458</v>
      </c>
      <c r="J1052" s="7">
        <v>0.66666666666666663</v>
      </c>
      <c r="K1052" s="5">
        <v>15000</v>
      </c>
      <c r="L1052" s="5">
        <v>15000</v>
      </c>
      <c r="M1052" s="5">
        <v>15000</v>
      </c>
      <c r="N1052" s="5">
        <v>15000</v>
      </c>
      <c r="O1052" s="5">
        <v>520</v>
      </c>
      <c r="Q1052" s="6">
        <v>39706</v>
      </c>
      <c r="R1052" s="7">
        <v>0.66666666666666663</v>
      </c>
      <c r="S1052" s="5">
        <v>140.9</v>
      </c>
      <c r="T1052" s="5">
        <v>140.9</v>
      </c>
      <c r="U1052" s="5">
        <v>140.9</v>
      </c>
      <c r="V1052" s="5">
        <v>140.9</v>
      </c>
      <c r="W1052" s="5">
        <v>300</v>
      </c>
      <c r="Y1052" s="6">
        <f t="shared" si="32"/>
        <v>41458</v>
      </c>
      <c r="Z1052" s="5">
        <f t="shared" si="33"/>
        <v>15000</v>
      </c>
      <c r="AA1052" s="5">
        <v>178</v>
      </c>
      <c r="AB1052" s="5">
        <v>350</v>
      </c>
    </row>
    <row r="1053" spans="1:28" x14ac:dyDescent="0.3">
      <c r="A1053" s="6">
        <v>39839</v>
      </c>
      <c r="B1053" s="7">
        <v>0.66666666666666663</v>
      </c>
      <c r="C1053" s="5">
        <v>74.989999999999995</v>
      </c>
      <c r="D1053" s="5">
        <v>74.989999999999995</v>
      </c>
      <c r="E1053" s="5">
        <v>72</v>
      </c>
      <c r="F1053" s="5">
        <v>74.5</v>
      </c>
      <c r="G1053" s="5">
        <v>1200</v>
      </c>
      <c r="I1053" s="6">
        <v>41459</v>
      </c>
      <c r="J1053" s="7">
        <v>0.66666666666666663</v>
      </c>
      <c r="K1053" s="5">
        <v>15000</v>
      </c>
      <c r="L1053" s="5">
        <v>15000</v>
      </c>
      <c r="M1053" s="5">
        <v>15000</v>
      </c>
      <c r="N1053" s="5">
        <v>15000</v>
      </c>
      <c r="O1053" s="5">
        <v>20</v>
      </c>
      <c r="Q1053" s="6">
        <v>39710</v>
      </c>
      <c r="R1053" s="7">
        <v>0.66666666666666663</v>
      </c>
      <c r="S1053" s="5">
        <v>140.9</v>
      </c>
      <c r="T1053" s="5">
        <v>140.9</v>
      </c>
      <c r="U1053" s="5">
        <v>140.9</v>
      </c>
      <c r="V1053" s="5">
        <v>140.9</v>
      </c>
      <c r="W1053" s="5">
        <v>15000</v>
      </c>
      <c r="Y1053" s="6">
        <f t="shared" si="32"/>
        <v>41459</v>
      </c>
      <c r="Z1053" s="5">
        <f t="shared" si="33"/>
        <v>15000</v>
      </c>
      <c r="AA1053" s="5">
        <v>186.9</v>
      </c>
      <c r="AB1053" s="5">
        <v>357.99</v>
      </c>
    </row>
    <row r="1054" spans="1:28" x14ac:dyDescent="0.3">
      <c r="A1054" s="6">
        <v>39840</v>
      </c>
      <c r="B1054" s="7">
        <v>0.66666666666666663</v>
      </c>
      <c r="C1054" s="5">
        <v>74</v>
      </c>
      <c r="D1054" s="5">
        <v>74.900000000000006</v>
      </c>
      <c r="E1054" s="5">
        <v>70.78</v>
      </c>
      <c r="F1054" s="5">
        <v>74.84</v>
      </c>
      <c r="G1054" s="5">
        <v>13700</v>
      </c>
      <c r="I1054" s="6">
        <v>41460</v>
      </c>
      <c r="J1054" s="7">
        <v>0.66666666666666663</v>
      </c>
      <c r="K1054" s="5">
        <v>15000</v>
      </c>
      <c r="L1054" s="5">
        <v>15000</v>
      </c>
      <c r="M1054" s="5">
        <v>15000</v>
      </c>
      <c r="N1054" s="5">
        <v>15000</v>
      </c>
      <c r="O1054" s="5">
        <v>40</v>
      </c>
      <c r="Q1054" s="6">
        <v>39713</v>
      </c>
      <c r="R1054" s="7">
        <v>0.66666666666666663</v>
      </c>
      <c r="S1054" s="5">
        <v>140.9</v>
      </c>
      <c r="T1054" s="5">
        <v>140.9</v>
      </c>
      <c r="U1054" s="5">
        <v>140.9</v>
      </c>
      <c r="V1054" s="5">
        <v>140.9</v>
      </c>
      <c r="W1054" s="5">
        <v>200</v>
      </c>
      <c r="Y1054" s="6">
        <f t="shared" si="32"/>
        <v>41460</v>
      </c>
      <c r="Z1054" s="5">
        <f t="shared" si="33"/>
        <v>15000</v>
      </c>
      <c r="AA1054" s="5">
        <v>191.71</v>
      </c>
      <c r="AB1054" s="5">
        <v>358.65</v>
      </c>
    </row>
    <row r="1055" spans="1:28" x14ac:dyDescent="0.3">
      <c r="A1055" s="6">
        <v>39841</v>
      </c>
      <c r="B1055" s="7">
        <v>0.66666666666666663</v>
      </c>
      <c r="C1055" s="5">
        <v>75</v>
      </c>
      <c r="D1055" s="5">
        <v>78.58</v>
      </c>
      <c r="E1055" s="5">
        <v>71.5</v>
      </c>
      <c r="F1055" s="5">
        <v>78.489999999999995</v>
      </c>
      <c r="G1055" s="5">
        <v>47600</v>
      </c>
      <c r="I1055" s="6">
        <v>41463</v>
      </c>
      <c r="J1055" s="7">
        <v>0.66666666666666663</v>
      </c>
      <c r="K1055" s="5">
        <v>15000</v>
      </c>
      <c r="L1055" s="5">
        <v>15000</v>
      </c>
      <c r="M1055" s="5">
        <v>15000</v>
      </c>
      <c r="N1055" s="5">
        <v>15000</v>
      </c>
      <c r="O1055" s="5">
        <v>600</v>
      </c>
      <c r="Q1055" s="6">
        <v>39714</v>
      </c>
      <c r="R1055" s="7">
        <v>0.66666666666666663</v>
      </c>
      <c r="S1055" s="5">
        <v>140.9</v>
      </c>
      <c r="T1055" s="5">
        <v>140.9</v>
      </c>
      <c r="U1055" s="5">
        <v>140.9</v>
      </c>
      <c r="V1055" s="5">
        <v>140.9</v>
      </c>
      <c r="W1055" s="5">
        <v>100</v>
      </c>
      <c r="Y1055" s="6">
        <f t="shared" si="32"/>
        <v>41463</v>
      </c>
      <c r="Z1055" s="5">
        <f t="shared" si="33"/>
        <v>15000</v>
      </c>
      <c r="AA1055" s="5">
        <v>195.71</v>
      </c>
      <c r="AB1055" s="5">
        <v>352.75</v>
      </c>
    </row>
    <row r="1056" spans="1:28" x14ac:dyDescent="0.3">
      <c r="A1056" s="6">
        <v>39842</v>
      </c>
      <c r="B1056" s="7">
        <v>0.66666666666666663</v>
      </c>
      <c r="C1056" s="5">
        <v>79.5</v>
      </c>
      <c r="D1056" s="5">
        <v>81</v>
      </c>
      <c r="E1056" s="5">
        <v>73.599999999999994</v>
      </c>
      <c r="F1056" s="5">
        <v>75.400000000000006</v>
      </c>
      <c r="G1056" s="5">
        <v>35000</v>
      </c>
      <c r="I1056" s="6">
        <v>41464</v>
      </c>
      <c r="J1056" s="7">
        <v>0.66666666666666663</v>
      </c>
      <c r="K1056" s="5">
        <v>15000</v>
      </c>
      <c r="L1056" s="5">
        <v>15000</v>
      </c>
      <c r="M1056" s="5">
        <v>15000</v>
      </c>
      <c r="N1056" s="5">
        <v>15000</v>
      </c>
      <c r="O1056" s="5">
        <v>600</v>
      </c>
      <c r="Q1056" s="6">
        <v>39716</v>
      </c>
      <c r="R1056" s="7">
        <v>0.66666666666666663</v>
      </c>
      <c r="S1056" s="5">
        <v>140.9</v>
      </c>
      <c r="T1056" s="5">
        <v>140.9</v>
      </c>
      <c r="U1056" s="5">
        <v>140.9</v>
      </c>
      <c r="V1056" s="5">
        <v>140.9</v>
      </c>
      <c r="W1056" s="5">
        <v>100</v>
      </c>
      <c r="Y1056" s="6">
        <f t="shared" si="32"/>
        <v>41464</v>
      </c>
      <c r="Z1056" s="5">
        <f t="shared" si="33"/>
        <v>15000</v>
      </c>
      <c r="AA1056" s="5">
        <v>197.08</v>
      </c>
      <c r="AB1056" s="5">
        <v>351.86</v>
      </c>
    </row>
    <row r="1057" spans="1:28" x14ac:dyDescent="0.3">
      <c r="A1057" s="6">
        <v>39843</v>
      </c>
      <c r="B1057" s="7">
        <v>0.66666666666666663</v>
      </c>
      <c r="C1057" s="5">
        <v>75.5</v>
      </c>
      <c r="D1057" s="5">
        <v>78.42</v>
      </c>
      <c r="E1057" s="5">
        <v>74.5</v>
      </c>
      <c r="F1057" s="5">
        <v>78</v>
      </c>
      <c r="G1057" s="5">
        <v>11900</v>
      </c>
      <c r="I1057" s="6">
        <v>41465</v>
      </c>
      <c r="J1057" s="7">
        <v>0.66666666666666663</v>
      </c>
      <c r="K1057" s="5">
        <v>15000</v>
      </c>
      <c r="L1057" s="5">
        <v>15000</v>
      </c>
      <c r="M1057" s="5">
        <v>15000</v>
      </c>
      <c r="N1057" s="5">
        <v>15000</v>
      </c>
      <c r="O1057" s="5">
        <v>2060</v>
      </c>
      <c r="Q1057" s="6">
        <v>39731</v>
      </c>
      <c r="R1057" s="7">
        <v>0.66666666666666663</v>
      </c>
      <c r="S1057" s="5">
        <v>140.9</v>
      </c>
      <c r="T1057" s="5">
        <v>140.9</v>
      </c>
      <c r="U1057" s="5">
        <v>140.9</v>
      </c>
      <c r="V1057" s="5">
        <v>140.9</v>
      </c>
      <c r="W1057" s="5">
        <v>300</v>
      </c>
      <c r="Y1057" s="6">
        <f t="shared" si="32"/>
        <v>41465</v>
      </c>
      <c r="Z1057" s="5">
        <f t="shared" si="33"/>
        <v>15000</v>
      </c>
      <c r="AA1057" s="5">
        <v>206.93</v>
      </c>
      <c r="AB1057" s="5">
        <v>349</v>
      </c>
    </row>
    <row r="1058" spans="1:28" x14ac:dyDescent="0.3">
      <c r="A1058" s="6">
        <v>39846</v>
      </c>
      <c r="B1058" s="7">
        <v>0.66666666666666663</v>
      </c>
      <c r="C1058" s="5">
        <v>76</v>
      </c>
      <c r="D1058" s="5">
        <v>78.900000000000006</v>
      </c>
      <c r="E1058" s="5">
        <v>76</v>
      </c>
      <c r="F1058" s="5">
        <v>76.849999999999994</v>
      </c>
      <c r="G1058" s="5">
        <v>4300</v>
      </c>
      <c r="I1058" s="6">
        <v>41466</v>
      </c>
      <c r="J1058" s="7">
        <v>0.66666666666666663</v>
      </c>
      <c r="K1058" s="5">
        <v>15000</v>
      </c>
      <c r="L1058" s="5">
        <v>15000</v>
      </c>
      <c r="M1058" s="5">
        <v>15000</v>
      </c>
      <c r="N1058" s="5">
        <v>15000</v>
      </c>
      <c r="O1058" s="5">
        <v>400</v>
      </c>
      <c r="Q1058" s="6">
        <v>39734</v>
      </c>
      <c r="R1058" s="7">
        <v>0.66666666666666663</v>
      </c>
      <c r="S1058" s="5">
        <v>140.9</v>
      </c>
      <c r="T1058" s="5">
        <v>140.9</v>
      </c>
      <c r="U1058" s="5">
        <v>140.9</v>
      </c>
      <c r="V1058" s="5">
        <v>140.9</v>
      </c>
      <c r="W1058" s="5">
        <v>200</v>
      </c>
      <c r="Y1058" s="6">
        <f t="shared" si="32"/>
        <v>41466</v>
      </c>
      <c r="Z1058" s="5">
        <f t="shared" si="33"/>
        <v>15000</v>
      </c>
      <c r="AA1058" s="5">
        <v>212.43</v>
      </c>
      <c r="AB1058" s="5">
        <v>350</v>
      </c>
    </row>
    <row r="1059" spans="1:28" x14ac:dyDescent="0.3">
      <c r="A1059" s="6">
        <v>39847</v>
      </c>
      <c r="B1059" s="7">
        <v>0.66666666666666663</v>
      </c>
      <c r="C1059" s="5">
        <v>75.599999999999994</v>
      </c>
      <c r="D1059" s="5">
        <v>79.900000000000006</v>
      </c>
      <c r="E1059" s="5">
        <v>75</v>
      </c>
      <c r="F1059" s="5">
        <v>78.599999999999994</v>
      </c>
      <c r="G1059" s="5">
        <v>5800</v>
      </c>
      <c r="I1059" s="6">
        <v>41467</v>
      </c>
      <c r="J1059" s="7">
        <v>0.66666666666666663</v>
      </c>
      <c r="K1059" s="5">
        <v>15000</v>
      </c>
      <c r="L1059" s="5">
        <v>15000</v>
      </c>
      <c r="M1059" s="5">
        <v>15000</v>
      </c>
      <c r="N1059" s="5">
        <v>15000</v>
      </c>
      <c r="O1059" s="5">
        <v>40</v>
      </c>
      <c r="Q1059" s="6">
        <v>39735</v>
      </c>
      <c r="R1059" s="7">
        <v>0.66666666666666663</v>
      </c>
      <c r="S1059" s="5">
        <v>140.9</v>
      </c>
      <c r="T1059" s="5">
        <v>140.9</v>
      </c>
      <c r="U1059" s="5">
        <v>140.9</v>
      </c>
      <c r="V1059" s="5">
        <v>140.9</v>
      </c>
      <c r="W1059" s="5">
        <v>500</v>
      </c>
      <c r="Y1059" s="6">
        <f t="shared" si="32"/>
        <v>41467</v>
      </c>
      <c r="Z1059" s="5">
        <f t="shared" si="33"/>
        <v>15000</v>
      </c>
      <c r="AA1059" s="5">
        <v>223.05</v>
      </c>
      <c r="AB1059" s="5">
        <v>357.38</v>
      </c>
    </row>
    <row r="1060" spans="1:28" x14ac:dyDescent="0.3">
      <c r="A1060" s="6">
        <v>39848</v>
      </c>
      <c r="B1060" s="7">
        <v>0.66666666666666663</v>
      </c>
      <c r="C1060" s="5">
        <v>81.099999999999994</v>
      </c>
      <c r="D1060" s="5">
        <v>83.16</v>
      </c>
      <c r="E1060" s="5">
        <v>78.099999999999994</v>
      </c>
      <c r="F1060" s="5">
        <v>82.55</v>
      </c>
      <c r="G1060" s="5">
        <v>23700</v>
      </c>
      <c r="I1060" s="6">
        <v>41470</v>
      </c>
      <c r="J1060" s="7">
        <v>0.66666666666666663</v>
      </c>
      <c r="K1060" s="5">
        <v>15000</v>
      </c>
      <c r="L1060" s="5">
        <v>15000</v>
      </c>
      <c r="M1060" s="5">
        <v>15000</v>
      </c>
      <c r="N1060" s="5">
        <v>15000</v>
      </c>
      <c r="O1060" s="5">
        <v>20</v>
      </c>
      <c r="Q1060" s="6">
        <v>39736</v>
      </c>
      <c r="R1060" s="7">
        <v>0.66666666666666663</v>
      </c>
      <c r="S1060" s="5">
        <v>140.9</v>
      </c>
      <c r="T1060" s="5">
        <v>140.9</v>
      </c>
      <c r="U1060" s="5">
        <v>140.9</v>
      </c>
      <c r="V1060" s="5">
        <v>140.9</v>
      </c>
      <c r="W1060" s="5">
        <v>4600</v>
      </c>
      <c r="Y1060" s="6">
        <f t="shared" si="32"/>
        <v>41470</v>
      </c>
      <c r="Z1060" s="5">
        <f t="shared" si="33"/>
        <v>15000</v>
      </c>
      <c r="AA1060" s="5">
        <v>233.37</v>
      </c>
      <c r="AB1060" s="5">
        <v>372.66</v>
      </c>
    </row>
    <row r="1061" spans="1:28" x14ac:dyDescent="0.3">
      <c r="A1061" s="6">
        <v>39850</v>
      </c>
      <c r="B1061" s="7">
        <v>0.66666666666666663</v>
      </c>
      <c r="C1061" s="5">
        <v>78.3</v>
      </c>
      <c r="D1061" s="5">
        <v>78.3</v>
      </c>
      <c r="E1061" s="5">
        <v>78.3</v>
      </c>
      <c r="F1061" s="5">
        <v>78.3</v>
      </c>
      <c r="G1061" s="5">
        <v>6400</v>
      </c>
      <c r="I1061" s="6">
        <v>41477</v>
      </c>
      <c r="J1061" s="7">
        <v>0.66666666666666663</v>
      </c>
      <c r="K1061" s="5">
        <v>15000</v>
      </c>
      <c r="L1061" s="5">
        <v>15000</v>
      </c>
      <c r="M1061" s="5">
        <v>15000</v>
      </c>
      <c r="N1061" s="5">
        <v>15000</v>
      </c>
      <c r="O1061" s="5">
        <v>2560</v>
      </c>
      <c r="Q1061" s="6">
        <v>39737</v>
      </c>
      <c r="R1061" s="7">
        <v>0.66666666666666663</v>
      </c>
      <c r="S1061" s="5">
        <v>140.9</v>
      </c>
      <c r="T1061" s="5">
        <v>140.9</v>
      </c>
      <c r="U1061" s="5">
        <v>140.9</v>
      </c>
      <c r="V1061" s="5">
        <v>140.9</v>
      </c>
      <c r="W1061" s="5">
        <v>200</v>
      </c>
      <c r="Y1061" s="6">
        <f t="shared" si="32"/>
        <v>41477</v>
      </c>
      <c r="Z1061" s="5">
        <f t="shared" si="33"/>
        <v>15000</v>
      </c>
      <c r="AA1061" s="5">
        <v>225.17</v>
      </c>
      <c r="AB1061" s="5">
        <v>401.18</v>
      </c>
    </row>
    <row r="1062" spans="1:28" x14ac:dyDescent="0.3">
      <c r="A1062" s="6">
        <v>39853</v>
      </c>
      <c r="B1062" s="7">
        <v>0.66666666666666663</v>
      </c>
      <c r="C1062" s="5">
        <v>74.39</v>
      </c>
      <c r="D1062" s="5">
        <v>74.39</v>
      </c>
      <c r="E1062" s="5">
        <v>74.39</v>
      </c>
      <c r="F1062" s="5">
        <v>74.39</v>
      </c>
      <c r="G1062" s="5">
        <v>6600</v>
      </c>
      <c r="I1062" s="6">
        <v>41479</v>
      </c>
      <c r="J1062" s="7">
        <v>0.66666666666666663</v>
      </c>
      <c r="K1062" s="5">
        <v>15000</v>
      </c>
      <c r="L1062" s="5">
        <v>15000</v>
      </c>
      <c r="M1062" s="5">
        <v>15000</v>
      </c>
      <c r="N1062" s="5">
        <v>15000</v>
      </c>
      <c r="O1062" s="5">
        <v>20</v>
      </c>
      <c r="Q1062" s="6">
        <v>39741</v>
      </c>
      <c r="R1062" s="7">
        <v>0.66666666666666663</v>
      </c>
      <c r="S1062" s="5">
        <v>140.9</v>
      </c>
      <c r="T1062" s="5">
        <v>140.9</v>
      </c>
      <c r="U1062" s="5">
        <v>140.9</v>
      </c>
      <c r="V1062" s="5">
        <v>140.9</v>
      </c>
      <c r="W1062" s="5">
        <v>3500</v>
      </c>
      <c r="Y1062" s="6">
        <f t="shared" si="32"/>
        <v>41479</v>
      </c>
      <c r="Z1062" s="5">
        <f t="shared" si="33"/>
        <v>15000</v>
      </c>
      <c r="AA1062" s="5">
        <v>248.24</v>
      </c>
      <c r="AB1062" s="5">
        <v>397.73</v>
      </c>
    </row>
    <row r="1063" spans="1:28" x14ac:dyDescent="0.3">
      <c r="A1063" s="6">
        <v>39854</v>
      </c>
      <c r="B1063" s="7">
        <v>0.66666666666666663</v>
      </c>
      <c r="C1063" s="5">
        <v>70.680000000000007</v>
      </c>
      <c r="D1063" s="5">
        <v>70.680000000000007</v>
      </c>
      <c r="E1063" s="5">
        <v>70.680000000000007</v>
      </c>
      <c r="F1063" s="5">
        <v>70.680000000000007</v>
      </c>
      <c r="G1063" s="5">
        <v>700</v>
      </c>
      <c r="I1063" s="6">
        <v>41485</v>
      </c>
      <c r="J1063" s="7">
        <v>0.66666666666666663</v>
      </c>
      <c r="K1063" s="5">
        <v>15000</v>
      </c>
      <c r="L1063" s="5">
        <v>15000</v>
      </c>
      <c r="M1063" s="5">
        <v>15000</v>
      </c>
      <c r="N1063" s="5">
        <v>15000</v>
      </c>
      <c r="O1063" s="5">
        <v>60</v>
      </c>
      <c r="Q1063" s="6">
        <v>39742</v>
      </c>
      <c r="R1063" s="7">
        <v>0.66666666666666663</v>
      </c>
      <c r="S1063" s="5">
        <v>140.9</v>
      </c>
      <c r="T1063" s="5">
        <v>140.9</v>
      </c>
      <c r="U1063" s="5">
        <v>140.9</v>
      </c>
      <c r="V1063" s="5">
        <v>140.9</v>
      </c>
      <c r="W1063" s="5">
        <v>4000</v>
      </c>
      <c r="Y1063" s="6">
        <f t="shared" si="32"/>
        <v>41485</v>
      </c>
      <c r="Z1063" s="5">
        <f t="shared" si="33"/>
        <v>15000</v>
      </c>
      <c r="AA1063" s="5">
        <v>262.93</v>
      </c>
      <c r="AB1063" s="5">
        <v>407</v>
      </c>
    </row>
    <row r="1064" spans="1:28" x14ac:dyDescent="0.3">
      <c r="A1064" s="6">
        <v>39855</v>
      </c>
      <c r="B1064" s="7">
        <v>0.66666666666666663</v>
      </c>
      <c r="C1064" s="5">
        <v>67.150000000000006</v>
      </c>
      <c r="D1064" s="5">
        <v>67.150000000000006</v>
      </c>
      <c r="E1064" s="5">
        <v>67.150000000000006</v>
      </c>
      <c r="F1064" s="5">
        <v>67.150000000000006</v>
      </c>
      <c r="G1064" s="5">
        <v>4500</v>
      </c>
      <c r="I1064" s="6">
        <v>41486</v>
      </c>
      <c r="J1064" s="7">
        <v>0.66666666666666663</v>
      </c>
      <c r="K1064" s="5">
        <v>15000</v>
      </c>
      <c r="L1064" s="5">
        <v>15000</v>
      </c>
      <c r="M1064" s="5">
        <v>15000</v>
      </c>
      <c r="N1064" s="5">
        <v>15000</v>
      </c>
      <c r="O1064" s="5">
        <v>40</v>
      </c>
      <c r="Q1064" s="6">
        <v>39744</v>
      </c>
      <c r="R1064" s="7">
        <v>0.66666666666666663</v>
      </c>
      <c r="S1064" s="5">
        <v>110.75</v>
      </c>
      <c r="T1064" s="5">
        <v>110.75</v>
      </c>
      <c r="U1064" s="5">
        <v>110.75</v>
      </c>
      <c r="V1064" s="5">
        <v>110.75</v>
      </c>
      <c r="W1064" s="5">
        <v>100</v>
      </c>
      <c r="Y1064" s="6">
        <f t="shared" si="32"/>
        <v>41486</v>
      </c>
      <c r="Z1064" s="5">
        <f t="shared" si="33"/>
        <v>15000</v>
      </c>
      <c r="AA1064" s="5">
        <v>259.63</v>
      </c>
      <c r="AB1064" s="5">
        <v>412.01</v>
      </c>
    </row>
    <row r="1065" spans="1:28" x14ac:dyDescent="0.3">
      <c r="A1065" s="6">
        <v>39856</v>
      </c>
      <c r="B1065" s="7">
        <v>0.66666666666666663</v>
      </c>
      <c r="C1065" s="5">
        <v>65</v>
      </c>
      <c r="D1065" s="5">
        <v>70.5</v>
      </c>
      <c r="E1065" s="5">
        <v>65</v>
      </c>
      <c r="F1065" s="5">
        <v>70.25</v>
      </c>
      <c r="G1065" s="5">
        <v>34100</v>
      </c>
      <c r="I1065" s="6">
        <v>41492</v>
      </c>
      <c r="J1065" s="7">
        <v>0.66666666666666663</v>
      </c>
      <c r="K1065" s="5">
        <v>15000</v>
      </c>
      <c r="L1065" s="5">
        <v>15000</v>
      </c>
      <c r="M1065" s="5">
        <v>15000</v>
      </c>
      <c r="N1065" s="5">
        <v>15000</v>
      </c>
      <c r="O1065" s="5">
        <v>200</v>
      </c>
      <c r="Q1065" s="6">
        <v>39804</v>
      </c>
      <c r="R1065" s="7">
        <v>0.66666666666666663</v>
      </c>
      <c r="S1065" s="5">
        <v>81.44</v>
      </c>
      <c r="T1065" s="5">
        <v>81.44</v>
      </c>
      <c r="U1065" s="5">
        <v>81.44</v>
      </c>
      <c r="V1065" s="5">
        <v>81.44</v>
      </c>
      <c r="W1065" s="5">
        <v>1400</v>
      </c>
      <c r="Y1065" s="6">
        <f t="shared" si="32"/>
        <v>41492</v>
      </c>
      <c r="Z1065" s="5">
        <f t="shared" si="33"/>
        <v>15000</v>
      </c>
      <c r="AA1065" s="5">
        <v>253.77</v>
      </c>
      <c r="AB1065" s="5">
        <v>396.62</v>
      </c>
    </row>
    <row r="1066" spans="1:28" x14ac:dyDescent="0.3">
      <c r="A1066" s="6">
        <v>39857</v>
      </c>
      <c r="B1066" s="7">
        <v>0.66666666666666663</v>
      </c>
      <c r="C1066" s="5">
        <v>73.739999999999995</v>
      </c>
      <c r="D1066" s="5">
        <v>73.739999999999995</v>
      </c>
      <c r="E1066" s="5">
        <v>71</v>
      </c>
      <c r="F1066" s="5">
        <v>73.739999999999995</v>
      </c>
      <c r="G1066" s="5">
        <v>14600</v>
      </c>
      <c r="I1066" s="6">
        <v>41501</v>
      </c>
      <c r="J1066" s="7">
        <v>0.66666666666666663</v>
      </c>
      <c r="K1066" s="5">
        <v>15000</v>
      </c>
      <c r="L1066" s="5">
        <v>15000</v>
      </c>
      <c r="M1066" s="5">
        <v>15000</v>
      </c>
      <c r="N1066" s="5">
        <v>15000</v>
      </c>
      <c r="O1066" s="5">
        <v>300</v>
      </c>
      <c r="Q1066" s="6">
        <v>39805</v>
      </c>
      <c r="R1066" s="7">
        <v>0.66666666666666663</v>
      </c>
      <c r="S1066" s="5">
        <v>77.37</v>
      </c>
      <c r="T1066" s="5">
        <v>77.37</v>
      </c>
      <c r="U1066" s="5">
        <v>77.37</v>
      </c>
      <c r="V1066" s="5">
        <v>77.37</v>
      </c>
      <c r="W1066" s="5">
        <v>100</v>
      </c>
      <c r="Y1066" s="6">
        <f t="shared" si="32"/>
        <v>41501</v>
      </c>
      <c r="Z1066" s="5">
        <f t="shared" si="33"/>
        <v>15000</v>
      </c>
      <c r="AA1066" s="5">
        <v>248.57</v>
      </c>
      <c r="AB1066" s="5">
        <v>395</v>
      </c>
    </row>
    <row r="1067" spans="1:28" x14ac:dyDescent="0.3">
      <c r="A1067" s="6">
        <v>39860</v>
      </c>
      <c r="B1067" s="7">
        <v>0.66666666666666663</v>
      </c>
      <c r="C1067" s="5">
        <v>73.599999999999994</v>
      </c>
      <c r="D1067" s="5">
        <v>76.400000000000006</v>
      </c>
      <c r="E1067" s="5">
        <v>73</v>
      </c>
      <c r="F1067" s="5">
        <v>75.41</v>
      </c>
      <c r="G1067" s="5">
        <v>10300</v>
      </c>
      <c r="I1067" s="6">
        <v>41506</v>
      </c>
      <c r="J1067" s="7">
        <v>0.66666666666666663</v>
      </c>
      <c r="K1067" s="5">
        <v>15000</v>
      </c>
      <c r="L1067" s="5">
        <v>15000</v>
      </c>
      <c r="M1067" s="5">
        <v>15000</v>
      </c>
      <c r="N1067" s="5">
        <v>15000</v>
      </c>
      <c r="O1067" s="5">
        <v>920</v>
      </c>
      <c r="Q1067" s="6">
        <v>39812</v>
      </c>
      <c r="R1067" s="7">
        <v>0.66666666666666663</v>
      </c>
      <c r="S1067" s="5">
        <v>63.04</v>
      </c>
      <c r="T1067" s="5">
        <v>63.04</v>
      </c>
      <c r="U1067" s="5">
        <v>63.04</v>
      </c>
      <c r="V1067" s="5">
        <v>63.04</v>
      </c>
      <c r="W1067" s="5">
        <v>100</v>
      </c>
      <c r="Y1067" s="6">
        <f t="shared" si="32"/>
        <v>41506</v>
      </c>
      <c r="Z1067" s="5">
        <f t="shared" si="33"/>
        <v>15000</v>
      </c>
      <c r="AA1067" s="5">
        <v>249.54</v>
      </c>
      <c r="AB1067" s="5">
        <v>381.44</v>
      </c>
    </row>
    <row r="1068" spans="1:28" x14ac:dyDescent="0.3">
      <c r="A1068" s="6">
        <v>39861</v>
      </c>
      <c r="B1068" s="7">
        <v>0.66666666666666663</v>
      </c>
      <c r="C1068" s="5">
        <v>75</v>
      </c>
      <c r="D1068" s="5">
        <v>77</v>
      </c>
      <c r="E1068" s="5">
        <v>74</v>
      </c>
      <c r="F1068" s="5">
        <v>76.010000000000005</v>
      </c>
      <c r="G1068" s="5">
        <v>15500</v>
      </c>
      <c r="I1068" s="6">
        <v>41509</v>
      </c>
      <c r="J1068" s="7">
        <v>0.66666666666666663</v>
      </c>
      <c r="K1068" s="5">
        <v>15000</v>
      </c>
      <c r="L1068" s="5">
        <v>15000</v>
      </c>
      <c r="M1068" s="5">
        <v>15000</v>
      </c>
      <c r="N1068" s="5">
        <v>15000</v>
      </c>
      <c r="O1068" s="5">
        <v>460</v>
      </c>
      <c r="Q1068" s="6">
        <v>39813</v>
      </c>
      <c r="R1068" s="7">
        <v>0.66666666666666663</v>
      </c>
      <c r="S1068" s="5">
        <v>59.89</v>
      </c>
      <c r="T1068" s="5">
        <v>59.89</v>
      </c>
      <c r="U1068" s="5">
        <v>59.89</v>
      </c>
      <c r="V1068" s="5">
        <v>59.89</v>
      </c>
      <c r="W1068" s="5">
        <v>100</v>
      </c>
      <c r="Y1068" s="6">
        <f t="shared" si="32"/>
        <v>41509</v>
      </c>
      <c r="Z1068" s="5">
        <f t="shared" si="33"/>
        <v>15000</v>
      </c>
      <c r="AA1068" s="5">
        <v>233.64</v>
      </c>
      <c r="AB1068" s="5">
        <v>399.9</v>
      </c>
    </row>
    <row r="1069" spans="1:28" x14ac:dyDescent="0.3">
      <c r="A1069" s="6">
        <v>39862</v>
      </c>
      <c r="B1069" s="7">
        <v>0.66666666666666663</v>
      </c>
      <c r="C1069" s="5">
        <v>75.95</v>
      </c>
      <c r="D1069" s="5">
        <v>77.989999999999995</v>
      </c>
      <c r="E1069" s="5">
        <v>75.95</v>
      </c>
      <c r="F1069" s="5">
        <v>77.2</v>
      </c>
      <c r="G1069" s="5">
        <v>9600</v>
      </c>
      <c r="I1069" s="6">
        <v>41515</v>
      </c>
      <c r="J1069" s="7">
        <v>0.66666666666666663</v>
      </c>
      <c r="K1069" s="5">
        <v>15000</v>
      </c>
      <c r="L1069" s="5">
        <v>15000</v>
      </c>
      <c r="M1069" s="5">
        <v>15000</v>
      </c>
      <c r="N1069" s="5">
        <v>15000</v>
      </c>
      <c r="O1069" s="5">
        <v>100</v>
      </c>
      <c r="Q1069" s="6">
        <v>39814</v>
      </c>
      <c r="R1069" s="7">
        <v>0.66666666666666663</v>
      </c>
      <c r="S1069" s="5">
        <v>56.9</v>
      </c>
      <c r="T1069" s="5">
        <v>56.9</v>
      </c>
      <c r="U1069" s="5">
        <v>56.9</v>
      </c>
      <c r="V1069" s="5">
        <v>56.9</v>
      </c>
      <c r="W1069" s="5">
        <v>500</v>
      </c>
      <c r="Y1069" s="6">
        <f t="shared" si="32"/>
        <v>41515</v>
      </c>
      <c r="Z1069" s="5">
        <f t="shared" si="33"/>
        <v>15000</v>
      </c>
      <c r="AA1069" s="5">
        <v>219.6</v>
      </c>
      <c r="AB1069" s="5">
        <v>391.86</v>
      </c>
    </row>
    <row r="1070" spans="1:28" x14ac:dyDescent="0.3">
      <c r="A1070" s="6">
        <v>39863</v>
      </c>
      <c r="B1070" s="7">
        <v>0.66666666666666663</v>
      </c>
      <c r="C1070" s="5">
        <v>77.150000000000006</v>
      </c>
      <c r="D1070" s="5">
        <v>79.2</v>
      </c>
      <c r="E1070" s="5">
        <v>77</v>
      </c>
      <c r="F1070" s="5">
        <v>78.010000000000005</v>
      </c>
      <c r="G1070" s="5">
        <v>11100</v>
      </c>
      <c r="I1070" s="6">
        <v>41521</v>
      </c>
      <c r="J1070" s="7">
        <v>0.66666666666666663</v>
      </c>
      <c r="K1070" s="5">
        <v>15000</v>
      </c>
      <c r="L1070" s="5">
        <v>15000</v>
      </c>
      <c r="M1070" s="5">
        <v>15000</v>
      </c>
      <c r="N1070" s="5">
        <v>15000</v>
      </c>
      <c r="O1070" s="5">
        <v>200</v>
      </c>
      <c r="Q1070" s="6">
        <v>39815</v>
      </c>
      <c r="R1070" s="7">
        <v>0.66666666666666663</v>
      </c>
      <c r="S1070" s="5">
        <v>56.9</v>
      </c>
      <c r="T1070" s="5">
        <v>59</v>
      </c>
      <c r="U1070" s="5">
        <v>54.06</v>
      </c>
      <c r="V1070" s="5">
        <v>54.06</v>
      </c>
      <c r="W1070" s="5">
        <v>920500</v>
      </c>
      <c r="Y1070" s="6">
        <f t="shared" si="32"/>
        <v>41521</v>
      </c>
      <c r="Z1070" s="5">
        <f t="shared" si="33"/>
        <v>15000</v>
      </c>
      <c r="AA1070" s="5">
        <v>210.05</v>
      </c>
      <c r="AB1070" s="5" t="e">
        <v>#N/A</v>
      </c>
    </row>
    <row r="1071" spans="1:28" x14ac:dyDescent="0.3">
      <c r="A1071" s="6">
        <v>39864</v>
      </c>
      <c r="B1071" s="7">
        <v>0.66666666666666663</v>
      </c>
      <c r="C1071" s="5">
        <v>79</v>
      </c>
      <c r="D1071" s="5">
        <v>80</v>
      </c>
      <c r="E1071" s="5">
        <v>76</v>
      </c>
      <c r="F1071" s="5">
        <v>77.849999999999994</v>
      </c>
      <c r="G1071" s="5">
        <v>13100</v>
      </c>
      <c r="I1071" s="6">
        <v>41522</v>
      </c>
      <c r="J1071" s="7">
        <v>0.66666666666666663</v>
      </c>
      <c r="K1071" s="5">
        <v>15000</v>
      </c>
      <c r="L1071" s="5">
        <v>15000</v>
      </c>
      <c r="M1071" s="5">
        <v>15000</v>
      </c>
      <c r="N1071" s="5">
        <v>15000</v>
      </c>
      <c r="O1071" s="5">
        <v>20</v>
      </c>
      <c r="Q1071" s="6">
        <v>39818</v>
      </c>
      <c r="R1071" s="7">
        <v>0.66666666666666663</v>
      </c>
      <c r="S1071" s="5">
        <v>54.06</v>
      </c>
      <c r="T1071" s="5">
        <v>57.79</v>
      </c>
      <c r="U1071" s="5">
        <v>54</v>
      </c>
      <c r="V1071" s="5">
        <v>57.79</v>
      </c>
      <c r="W1071" s="5">
        <v>173900</v>
      </c>
      <c r="Y1071" s="6">
        <f t="shared" si="32"/>
        <v>41522</v>
      </c>
      <c r="Z1071" s="5">
        <f t="shared" si="33"/>
        <v>15000</v>
      </c>
      <c r="AA1071" s="5">
        <v>218.66</v>
      </c>
      <c r="AB1071" s="5">
        <v>395</v>
      </c>
    </row>
    <row r="1072" spans="1:28" x14ac:dyDescent="0.3">
      <c r="A1072" s="6">
        <v>39867</v>
      </c>
      <c r="B1072" s="7">
        <v>0.66666666666666663</v>
      </c>
      <c r="C1072" s="5">
        <v>76</v>
      </c>
      <c r="D1072" s="5">
        <v>77</v>
      </c>
      <c r="E1072" s="5">
        <v>74.5</v>
      </c>
      <c r="F1072" s="5">
        <v>74.5</v>
      </c>
      <c r="G1072" s="5">
        <v>6500</v>
      </c>
      <c r="I1072" s="6">
        <v>41527</v>
      </c>
      <c r="J1072" s="7">
        <v>0.66666666666666663</v>
      </c>
      <c r="K1072" s="5">
        <v>15000</v>
      </c>
      <c r="L1072" s="5">
        <v>15000</v>
      </c>
      <c r="M1072" s="5">
        <v>15000</v>
      </c>
      <c r="N1072" s="5">
        <v>15000</v>
      </c>
      <c r="O1072" s="5">
        <v>20</v>
      </c>
      <c r="Q1072" s="6">
        <v>39819</v>
      </c>
      <c r="R1072" s="7">
        <v>0.66666666666666663</v>
      </c>
      <c r="S1072" s="5">
        <v>60.67</v>
      </c>
      <c r="T1072" s="5">
        <v>60.67</v>
      </c>
      <c r="U1072" s="5">
        <v>60.67</v>
      </c>
      <c r="V1072" s="5">
        <v>60.67</v>
      </c>
      <c r="W1072" s="5">
        <v>94600</v>
      </c>
      <c r="Y1072" s="6">
        <f t="shared" si="32"/>
        <v>41527</v>
      </c>
      <c r="Z1072" s="5">
        <f t="shared" si="33"/>
        <v>15000</v>
      </c>
      <c r="AA1072" s="5">
        <v>244.54</v>
      </c>
      <c r="AB1072" s="5">
        <v>410.86</v>
      </c>
    </row>
    <row r="1073" spans="1:28" x14ac:dyDescent="0.3">
      <c r="A1073" s="6">
        <v>39868</v>
      </c>
      <c r="B1073" s="7">
        <v>0.66666666666666663</v>
      </c>
      <c r="C1073" s="5">
        <v>74.5</v>
      </c>
      <c r="D1073" s="5">
        <v>76</v>
      </c>
      <c r="E1073" s="5">
        <v>74.5</v>
      </c>
      <c r="F1073" s="5">
        <v>75.95</v>
      </c>
      <c r="G1073" s="5">
        <v>2200</v>
      </c>
      <c r="I1073" s="6">
        <v>41528</v>
      </c>
      <c r="J1073" s="7">
        <v>0.66666666666666663</v>
      </c>
      <c r="K1073" s="5">
        <v>15000</v>
      </c>
      <c r="L1073" s="5">
        <v>15000</v>
      </c>
      <c r="M1073" s="5">
        <v>15000</v>
      </c>
      <c r="N1073" s="5">
        <v>15000</v>
      </c>
      <c r="O1073" s="5">
        <v>180</v>
      </c>
      <c r="Q1073" s="6">
        <v>39822</v>
      </c>
      <c r="R1073" s="7">
        <v>0.66666666666666663</v>
      </c>
      <c r="S1073" s="5">
        <v>60.67</v>
      </c>
      <c r="T1073" s="5">
        <v>63.7</v>
      </c>
      <c r="U1073" s="5">
        <v>58</v>
      </c>
      <c r="V1073" s="5">
        <v>59.21</v>
      </c>
      <c r="W1073" s="5">
        <v>786800</v>
      </c>
      <c r="Y1073" s="6">
        <f t="shared" si="32"/>
        <v>41528</v>
      </c>
      <c r="Z1073" s="5">
        <f t="shared" si="33"/>
        <v>15000</v>
      </c>
      <c r="AA1073" s="5">
        <v>243.57</v>
      </c>
      <c r="AB1073" s="5">
        <v>410</v>
      </c>
    </row>
    <row r="1074" spans="1:28" x14ac:dyDescent="0.3">
      <c r="A1074" s="6">
        <v>39869</v>
      </c>
      <c r="B1074" s="7">
        <v>0.66666666666666663</v>
      </c>
      <c r="C1074" s="5">
        <v>75.25</v>
      </c>
      <c r="D1074" s="5">
        <v>75.25</v>
      </c>
      <c r="E1074" s="5">
        <v>72.16</v>
      </c>
      <c r="F1074" s="5">
        <v>72.2</v>
      </c>
      <c r="G1074" s="5">
        <v>4000</v>
      </c>
      <c r="Q1074" s="6">
        <v>39825</v>
      </c>
      <c r="R1074" s="7">
        <v>0.66666666666666663</v>
      </c>
      <c r="S1074" s="5">
        <v>59.21</v>
      </c>
      <c r="T1074" s="5">
        <v>60</v>
      </c>
      <c r="U1074" s="5">
        <v>57.26</v>
      </c>
      <c r="V1074" s="5">
        <v>58.4</v>
      </c>
      <c r="W1074" s="5">
        <v>279700</v>
      </c>
    </row>
    <row r="1075" spans="1:28" x14ac:dyDescent="0.3">
      <c r="A1075" s="6">
        <v>39870</v>
      </c>
      <c r="B1075" s="7">
        <v>0.66666666666666663</v>
      </c>
      <c r="C1075" s="5">
        <v>68.599999999999994</v>
      </c>
      <c r="D1075" s="5">
        <v>72.45</v>
      </c>
      <c r="E1075" s="5">
        <v>68.599999999999994</v>
      </c>
      <c r="F1075" s="5">
        <v>70.3</v>
      </c>
      <c r="G1075" s="5">
        <v>4400</v>
      </c>
      <c r="Q1075" s="6">
        <v>39826</v>
      </c>
      <c r="R1075" s="7">
        <v>0.66666666666666663</v>
      </c>
      <c r="S1075" s="5">
        <v>58.4</v>
      </c>
      <c r="T1075" s="5">
        <v>61.25</v>
      </c>
      <c r="U1075" s="5">
        <v>55.43</v>
      </c>
      <c r="V1075" s="5">
        <v>61.25</v>
      </c>
      <c r="W1075" s="5">
        <v>1099100</v>
      </c>
    </row>
    <row r="1076" spans="1:28" x14ac:dyDescent="0.3">
      <c r="A1076" s="6">
        <v>39871</v>
      </c>
      <c r="B1076" s="7">
        <v>0.66666666666666663</v>
      </c>
      <c r="C1076" s="5">
        <v>72.989999999999995</v>
      </c>
      <c r="D1076" s="5">
        <v>72.989999999999995</v>
      </c>
      <c r="E1076" s="5">
        <v>71</v>
      </c>
      <c r="F1076" s="5">
        <v>71</v>
      </c>
      <c r="G1076" s="5">
        <v>200</v>
      </c>
      <c r="Q1076" s="6">
        <v>39827</v>
      </c>
      <c r="R1076" s="7">
        <v>0.66666666666666663</v>
      </c>
      <c r="S1076" s="5">
        <v>61.25</v>
      </c>
      <c r="T1076" s="5">
        <v>62.9</v>
      </c>
      <c r="U1076" s="5">
        <v>59.9</v>
      </c>
      <c r="V1076" s="5">
        <v>61.5</v>
      </c>
      <c r="W1076" s="5">
        <v>615800</v>
      </c>
    </row>
    <row r="1077" spans="1:28" x14ac:dyDescent="0.3">
      <c r="A1077" s="6">
        <v>39874</v>
      </c>
      <c r="B1077" s="7">
        <v>0.66666666666666663</v>
      </c>
      <c r="C1077" s="5">
        <v>72.989999999999995</v>
      </c>
      <c r="D1077" s="5">
        <v>72.989999999999995</v>
      </c>
      <c r="E1077" s="5">
        <v>71</v>
      </c>
      <c r="F1077" s="5">
        <v>71.05</v>
      </c>
      <c r="G1077" s="5">
        <v>5900</v>
      </c>
      <c r="Q1077" s="6">
        <v>39828</v>
      </c>
      <c r="R1077" s="7">
        <v>0.66666666666666663</v>
      </c>
      <c r="S1077" s="5">
        <v>61.5</v>
      </c>
      <c r="T1077" s="5">
        <v>61.65</v>
      </c>
      <c r="U1077" s="5">
        <v>58.6</v>
      </c>
      <c r="V1077" s="5">
        <v>58.6</v>
      </c>
      <c r="W1077" s="5">
        <v>370800</v>
      </c>
    </row>
    <row r="1078" spans="1:28" x14ac:dyDescent="0.3">
      <c r="A1078" s="6">
        <v>39875</v>
      </c>
      <c r="B1078" s="7">
        <v>0.66666666666666663</v>
      </c>
      <c r="C1078" s="5">
        <v>70.95</v>
      </c>
      <c r="D1078" s="5">
        <v>71.400000000000006</v>
      </c>
      <c r="E1078" s="5">
        <v>70.95</v>
      </c>
      <c r="F1078" s="5">
        <v>71.400000000000006</v>
      </c>
      <c r="G1078" s="5">
        <v>900</v>
      </c>
      <c r="Q1078" s="6">
        <v>39829</v>
      </c>
      <c r="R1078" s="7">
        <v>0.66666666666666663</v>
      </c>
      <c r="S1078" s="5">
        <v>56.8</v>
      </c>
      <c r="T1078" s="5">
        <v>56.8</v>
      </c>
      <c r="U1078" s="5">
        <v>55.67</v>
      </c>
      <c r="V1078" s="5">
        <v>55.67</v>
      </c>
      <c r="W1078" s="5">
        <v>137100</v>
      </c>
    </row>
    <row r="1079" spans="1:28" x14ac:dyDescent="0.3">
      <c r="A1079" s="6">
        <v>39876</v>
      </c>
      <c r="B1079" s="7">
        <v>0.66666666666666663</v>
      </c>
      <c r="C1079" s="5">
        <v>72.7</v>
      </c>
      <c r="D1079" s="5">
        <v>73.8</v>
      </c>
      <c r="E1079" s="5">
        <v>72</v>
      </c>
      <c r="F1079" s="5">
        <v>72.2</v>
      </c>
      <c r="G1079" s="5">
        <v>10800</v>
      </c>
      <c r="Q1079" s="6">
        <v>39832</v>
      </c>
      <c r="R1079" s="7">
        <v>0.66666666666666663</v>
      </c>
      <c r="S1079" s="5">
        <v>52.89</v>
      </c>
      <c r="T1079" s="5">
        <v>52.89</v>
      </c>
      <c r="U1079" s="5">
        <v>52.89</v>
      </c>
      <c r="V1079" s="5">
        <v>52.89</v>
      </c>
      <c r="W1079" s="5">
        <v>6800</v>
      </c>
    </row>
    <row r="1080" spans="1:28" x14ac:dyDescent="0.3">
      <c r="A1080" s="6">
        <v>39877</v>
      </c>
      <c r="B1080" s="7">
        <v>0.66666666666666663</v>
      </c>
      <c r="C1080" s="5">
        <v>73.5</v>
      </c>
      <c r="D1080" s="5">
        <v>73.8</v>
      </c>
      <c r="E1080" s="5">
        <v>73</v>
      </c>
      <c r="F1080" s="5">
        <v>73.8</v>
      </c>
      <c r="G1080" s="5">
        <v>4800</v>
      </c>
      <c r="Q1080" s="6">
        <v>39833</v>
      </c>
      <c r="R1080" s="7">
        <v>0.66666666666666663</v>
      </c>
      <c r="S1080" s="5">
        <v>52.82</v>
      </c>
      <c r="T1080" s="5">
        <v>52.82</v>
      </c>
      <c r="U1080" s="5">
        <v>50.25</v>
      </c>
      <c r="V1080" s="5">
        <v>50.25</v>
      </c>
      <c r="W1080" s="5">
        <v>397800</v>
      </c>
    </row>
    <row r="1081" spans="1:28" x14ac:dyDescent="0.3">
      <c r="A1081" s="6">
        <v>39878</v>
      </c>
      <c r="B1081" s="7">
        <v>0.66666666666666663</v>
      </c>
      <c r="C1081" s="5">
        <v>74</v>
      </c>
      <c r="D1081" s="5">
        <v>74</v>
      </c>
      <c r="E1081" s="5">
        <v>73.75</v>
      </c>
      <c r="F1081" s="5">
        <v>73.75</v>
      </c>
      <c r="G1081" s="5">
        <v>2200</v>
      </c>
      <c r="Q1081" s="6">
        <v>39834</v>
      </c>
      <c r="R1081" s="7">
        <v>0.66666666666666663</v>
      </c>
      <c r="S1081" s="5">
        <v>50.25</v>
      </c>
      <c r="T1081" s="5">
        <v>50.7</v>
      </c>
      <c r="U1081" s="5">
        <v>47.74</v>
      </c>
      <c r="V1081" s="5">
        <v>47.74</v>
      </c>
      <c r="W1081" s="5">
        <v>336500</v>
      </c>
    </row>
    <row r="1082" spans="1:28" x14ac:dyDescent="0.3">
      <c r="A1082" s="6">
        <v>39881</v>
      </c>
      <c r="B1082" s="7">
        <v>0.66666666666666663</v>
      </c>
      <c r="C1082" s="5">
        <v>73.25</v>
      </c>
      <c r="D1082" s="5">
        <v>73.25</v>
      </c>
      <c r="E1082" s="5">
        <v>73</v>
      </c>
      <c r="F1082" s="5">
        <v>73.25</v>
      </c>
      <c r="G1082" s="5">
        <v>1600</v>
      </c>
      <c r="Q1082" s="6">
        <v>39835</v>
      </c>
      <c r="R1082" s="7">
        <v>0.66666666666666663</v>
      </c>
      <c r="S1082" s="5">
        <v>45.36</v>
      </c>
      <c r="T1082" s="5">
        <v>45.36</v>
      </c>
      <c r="U1082" s="5">
        <v>45.36</v>
      </c>
      <c r="V1082" s="5">
        <v>45.36</v>
      </c>
      <c r="W1082" s="5">
        <v>32300</v>
      </c>
    </row>
    <row r="1083" spans="1:28" x14ac:dyDescent="0.3">
      <c r="A1083" s="6">
        <v>39884</v>
      </c>
      <c r="B1083" s="7">
        <v>0.66666666666666663</v>
      </c>
      <c r="C1083" s="5">
        <v>73.900000000000006</v>
      </c>
      <c r="D1083" s="5">
        <v>73.900000000000006</v>
      </c>
      <c r="E1083" s="5">
        <v>72.900000000000006</v>
      </c>
      <c r="F1083" s="5">
        <v>73.349999999999994</v>
      </c>
      <c r="G1083" s="5">
        <v>900</v>
      </c>
      <c r="Q1083" s="6">
        <v>39836</v>
      </c>
      <c r="R1083" s="7">
        <v>0.66666666666666663</v>
      </c>
      <c r="S1083" s="5">
        <v>43.1</v>
      </c>
      <c r="T1083" s="5">
        <v>43.1</v>
      </c>
      <c r="U1083" s="5">
        <v>43.1</v>
      </c>
      <c r="V1083" s="5">
        <v>43.1</v>
      </c>
      <c r="W1083" s="5">
        <v>43200</v>
      </c>
    </row>
    <row r="1084" spans="1:28" x14ac:dyDescent="0.3">
      <c r="A1084" s="6">
        <v>39885</v>
      </c>
      <c r="B1084" s="7">
        <v>0.66666666666666663</v>
      </c>
      <c r="C1084" s="5">
        <v>73.5</v>
      </c>
      <c r="D1084" s="5">
        <v>73.900000000000006</v>
      </c>
      <c r="E1084" s="5">
        <v>72.75</v>
      </c>
      <c r="F1084" s="5">
        <v>73.75</v>
      </c>
      <c r="G1084" s="5">
        <v>2200</v>
      </c>
      <c r="Q1084" s="6">
        <v>39839</v>
      </c>
      <c r="R1084" s="7">
        <v>0.66666666666666663</v>
      </c>
      <c r="S1084" s="5">
        <v>41.99</v>
      </c>
      <c r="T1084" s="5">
        <v>41.99</v>
      </c>
      <c r="U1084" s="5">
        <v>40.950000000000003</v>
      </c>
      <c r="V1084" s="5">
        <v>40.950000000000003</v>
      </c>
      <c r="W1084" s="5">
        <v>431000</v>
      </c>
    </row>
    <row r="1085" spans="1:28" x14ac:dyDescent="0.3">
      <c r="A1085" s="6">
        <v>39888</v>
      </c>
      <c r="B1085" s="7">
        <v>0.66666666666666663</v>
      </c>
      <c r="C1085" s="5">
        <v>75.75</v>
      </c>
      <c r="D1085" s="5">
        <v>76.97</v>
      </c>
      <c r="E1085" s="5">
        <v>75.75</v>
      </c>
      <c r="F1085" s="5">
        <v>76.97</v>
      </c>
      <c r="G1085" s="5">
        <v>13300</v>
      </c>
      <c r="Q1085" s="6">
        <v>39840</v>
      </c>
      <c r="R1085" s="7">
        <v>0.66666666666666663</v>
      </c>
      <c r="S1085" s="5">
        <v>40.950000000000003</v>
      </c>
      <c r="T1085" s="5">
        <v>42.99</v>
      </c>
      <c r="U1085" s="5">
        <v>38.909999999999997</v>
      </c>
      <c r="V1085" s="5">
        <v>42</v>
      </c>
      <c r="W1085" s="5">
        <v>1947900</v>
      </c>
    </row>
    <row r="1086" spans="1:28" x14ac:dyDescent="0.3">
      <c r="A1086" s="6">
        <v>39889</v>
      </c>
      <c r="B1086" s="7">
        <v>0.66666666666666663</v>
      </c>
      <c r="C1086" s="5">
        <v>75</v>
      </c>
      <c r="D1086" s="5">
        <v>75</v>
      </c>
      <c r="E1086" s="5">
        <v>74.05</v>
      </c>
      <c r="F1086" s="5">
        <v>74.349999999999994</v>
      </c>
      <c r="G1086" s="5">
        <v>6000</v>
      </c>
      <c r="Q1086" s="6">
        <v>39841</v>
      </c>
      <c r="R1086" s="7">
        <v>0.66666666666666663</v>
      </c>
      <c r="S1086" s="5">
        <v>42.2</v>
      </c>
      <c r="T1086" s="5">
        <v>44.19</v>
      </c>
      <c r="U1086" s="5">
        <v>42.2</v>
      </c>
      <c r="V1086" s="5">
        <v>43.95</v>
      </c>
      <c r="W1086" s="5">
        <v>625800</v>
      </c>
    </row>
    <row r="1087" spans="1:28" x14ac:dyDescent="0.3">
      <c r="A1087" s="6">
        <v>39890</v>
      </c>
      <c r="B1087" s="7">
        <v>0.66666666666666663</v>
      </c>
      <c r="C1087" s="5">
        <v>74</v>
      </c>
      <c r="D1087" s="5">
        <v>76.8</v>
      </c>
      <c r="E1087" s="5">
        <v>74</v>
      </c>
      <c r="F1087" s="5">
        <v>76.8</v>
      </c>
      <c r="G1087" s="5">
        <v>19000</v>
      </c>
      <c r="Q1087" s="6">
        <v>39842</v>
      </c>
      <c r="R1087" s="7">
        <v>0.66666666666666663</v>
      </c>
      <c r="S1087" s="5">
        <v>43.95</v>
      </c>
      <c r="T1087" s="5">
        <v>45.8</v>
      </c>
      <c r="U1087" s="5">
        <v>41.76</v>
      </c>
      <c r="V1087" s="5">
        <v>45.75</v>
      </c>
      <c r="W1087" s="5">
        <v>650500</v>
      </c>
    </row>
    <row r="1088" spans="1:28" x14ac:dyDescent="0.3">
      <c r="A1088" s="6">
        <v>39891</v>
      </c>
      <c r="B1088" s="7">
        <v>0.66666666666666663</v>
      </c>
      <c r="C1088" s="5">
        <v>76.5</v>
      </c>
      <c r="D1088" s="5">
        <v>79</v>
      </c>
      <c r="E1088" s="5">
        <v>76</v>
      </c>
      <c r="F1088" s="5">
        <v>79</v>
      </c>
      <c r="G1088" s="5">
        <v>15500</v>
      </c>
      <c r="Q1088" s="6">
        <v>39843</v>
      </c>
      <c r="R1088" s="7">
        <v>0.66666666666666663</v>
      </c>
      <c r="S1088" s="5">
        <v>45.75</v>
      </c>
      <c r="T1088" s="5">
        <v>47.29</v>
      </c>
      <c r="U1088" s="5">
        <v>43.55</v>
      </c>
      <c r="V1088" s="5">
        <v>47.29</v>
      </c>
      <c r="W1088" s="5">
        <v>390500</v>
      </c>
    </row>
    <row r="1089" spans="1:23" x14ac:dyDescent="0.3">
      <c r="A1089" s="6">
        <v>39892</v>
      </c>
      <c r="B1089" s="7">
        <v>0.66666666666666663</v>
      </c>
      <c r="C1089" s="5">
        <v>79</v>
      </c>
      <c r="D1089" s="5">
        <v>79</v>
      </c>
      <c r="E1089" s="5">
        <v>77.25</v>
      </c>
      <c r="F1089" s="5">
        <v>77.25</v>
      </c>
      <c r="G1089" s="5">
        <v>6600</v>
      </c>
      <c r="Q1089" s="6">
        <v>39846</v>
      </c>
      <c r="R1089" s="7">
        <v>0.66666666666666663</v>
      </c>
      <c r="S1089" s="5">
        <v>47.29</v>
      </c>
      <c r="T1089" s="5">
        <v>47.88</v>
      </c>
      <c r="U1089" s="5">
        <v>44.93</v>
      </c>
      <c r="V1089" s="5">
        <v>44.93</v>
      </c>
      <c r="W1089" s="5">
        <v>1124100</v>
      </c>
    </row>
    <row r="1090" spans="1:23" x14ac:dyDescent="0.3">
      <c r="A1090" s="6">
        <v>39896</v>
      </c>
      <c r="B1090" s="7">
        <v>0.66666666666666663</v>
      </c>
      <c r="C1090" s="5">
        <v>77.89</v>
      </c>
      <c r="D1090" s="5">
        <v>77.989999999999995</v>
      </c>
      <c r="E1090" s="5">
        <v>75.3</v>
      </c>
      <c r="F1090" s="5">
        <v>76.8</v>
      </c>
      <c r="G1090" s="5">
        <v>16600</v>
      </c>
      <c r="Q1090" s="6">
        <v>39847</v>
      </c>
      <c r="R1090" s="7">
        <v>0.66666666666666663</v>
      </c>
      <c r="S1090" s="5">
        <v>44.93</v>
      </c>
      <c r="T1090" s="5">
        <v>44.95</v>
      </c>
      <c r="U1090" s="5">
        <v>42.84</v>
      </c>
      <c r="V1090" s="5">
        <v>43</v>
      </c>
      <c r="W1090" s="5">
        <v>757300</v>
      </c>
    </row>
    <row r="1091" spans="1:23" x14ac:dyDescent="0.3">
      <c r="A1091" s="6">
        <v>39897</v>
      </c>
      <c r="B1091" s="7">
        <v>0.66666666666666663</v>
      </c>
      <c r="C1091" s="5">
        <v>77.989999999999995</v>
      </c>
      <c r="D1091" s="5">
        <v>79</v>
      </c>
      <c r="E1091" s="5">
        <v>77.5</v>
      </c>
      <c r="F1091" s="5">
        <v>78.98</v>
      </c>
      <c r="G1091" s="5">
        <v>30300</v>
      </c>
      <c r="Q1091" s="6">
        <v>39848</v>
      </c>
      <c r="R1091" s="7">
        <v>0.66666666666666663</v>
      </c>
      <c r="S1091" s="5">
        <v>43.46</v>
      </c>
      <c r="T1091" s="5">
        <v>45.13</v>
      </c>
      <c r="U1091" s="5">
        <v>43.46</v>
      </c>
      <c r="V1091" s="5">
        <v>45.13</v>
      </c>
      <c r="W1091" s="5">
        <v>614200</v>
      </c>
    </row>
    <row r="1092" spans="1:23" x14ac:dyDescent="0.3">
      <c r="A1092" s="6">
        <v>39898</v>
      </c>
      <c r="B1092" s="7">
        <v>0.66666666666666663</v>
      </c>
      <c r="C1092" s="5">
        <v>77.900000000000006</v>
      </c>
      <c r="D1092" s="5">
        <v>78.25</v>
      </c>
      <c r="E1092" s="5">
        <v>76</v>
      </c>
      <c r="F1092" s="5">
        <v>77</v>
      </c>
      <c r="G1092" s="5">
        <v>6200</v>
      </c>
      <c r="Q1092" s="6">
        <v>39850</v>
      </c>
      <c r="R1092" s="7">
        <v>0.66666666666666663</v>
      </c>
      <c r="S1092" s="5">
        <v>46.53</v>
      </c>
      <c r="T1092" s="5">
        <v>47.38</v>
      </c>
      <c r="U1092" s="5">
        <v>46.53</v>
      </c>
      <c r="V1092" s="5">
        <v>47.38</v>
      </c>
      <c r="W1092" s="5">
        <v>914200</v>
      </c>
    </row>
    <row r="1093" spans="1:23" x14ac:dyDescent="0.3">
      <c r="A1093" s="6">
        <v>39899</v>
      </c>
      <c r="B1093" s="7">
        <v>0.66666666666666663</v>
      </c>
      <c r="C1093" s="5">
        <v>74.099999999999994</v>
      </c>
      <c r="D1093" s="5">
        <v>76</v>
      </c>
      <c r="E1093" s="5">
        <v>72.87</v>
      </c>
      <c r="F1093" s="5">
        <v>75</v>
      </c>
      <c r="G1093" s="5">
        <v>12000</v>
      </c>
      <c r="Q1093" s="6">
        <v>39853</v>
      </c>
      <c r="R1093" s="7">
        <v>0.66666666666666663</v>
      </c>
      <c r="S1093" s="5">
        <v>48.5</v>
      </c>
      <c r="T1093" s="5">
        <v>49.74</v>
      </c>
      <c r="U1093" s="5">
        <v>48.5</v>
      </c>
      <c r="V1093" s="5">
        <v>49.74</v>
      </c>
      <c r="W1093" s="5">
        <v>1420300</v>
      </c>
    </row>
    <row r="1094" spans="1:23" x14ac:dyDescent="0.3">
      <c r="A1094" s="6">
        <v>39902</v>
      </c>
      <c r="B1094" s="7">
        <v>0.66666666666666663</v>
      </c>
      <c r="C1094" s="5">
        <v>76</v>
      </c>
      <c r="D1094" s="5">
        <v>78</v>
      </c>
      <c r="E1094" s="5">
        <v>74.510000000000005</v>
      </c>
      <c r="F1094" s="5">
        <v>75.61</v>
      </c>
      <c r="G1094" s="5">
        <v>22200</v>
      </c>
      <c r="Q1094" s="6">
        <v>39854</v>
      </c>
      <c r="R1094" s="7">
        <v>0.66666666666666663</v>
      </c>
      <c r="S1094" s="5">
        <v>49.74</v>
      </c>
      <c r="T1094" s="5">
        <v>52.22</v>
      </c>
      <c r="U1094" s="5">
        <v>49.5</v>
      </c>
      <c r="V1094" s="5">
        <v>50.25</v>
      </c>
      <c r="W1094" s="5">
        <v>2088600</v>
      </c>
    </row>
    <row r="1095" spans="1:23" x14ac:dyDescent="0.3">
      <c r="A1095" s="6">
        <v>39903</v>
      </c>
      <c r="B1095" s="7">
        <v>0.66666666666666663</v>
      </c>
      <c r="C1095" s="5">
        <v>76</v>
      </c>
      <c r="D1095" s="5">
        <v>76</v>
      </c>
      <c r="E1095" s="5">
        <v>71.83</v>
      </c>
      <c r="F1095" s="5">
        <v>74.489999999999995</v>
      </c>
      <c r="G1095" s="5">
        <v>36800</v>
      </c>
      <c r="Q1095" s="6">
        <v>39855</v>
      </c>
      <c r="R1095" s="7">
        <v>0.66666666666666663</v>
      </c>
      <c r="S1095" s="5">
        <v>50.25</v>
      </c>
      <c r="T1095" s="5">
        <v>50.6</v>
      </c>
      <c r="U1095" s="5">
        <v>48.32</v>
      </c>
      <c r="V1095" s="5">
        <v>48.32</v>
      </c>
      <c r="W1095" s="5">
        <v>3087600</v>
      </c>
    </row>
    <row r="1096" spans="1:23" x14ac:dyDescent="0.3">
      <c r="A1096" s="6">
        <v>39904</v>
      </c>
      <c r="B1096" s="7">
        <v>0.66666666666666663</v>
      </c>
      <c r="C1096" s="5">
        <v>74</v>
      </c>
      <c r="D1096" s="5">
        <v>74.900000000000006</v>
      </c>
      <c r="E1096" s="5">
        <v>73</v>
      </c>
      <c r="F1096" s="5">
        <v>74.75</v>
      </c>
      <c r="G1096" s="5">
        <v>10300</v>
      </c>
      <c r="Q1096" s="6">
        <v>39856</v>
      </c>
      <c r="R1096" s="7">
        <v>0.66666666666666663</v>
      </c>
      <c r="S1096" s="5">
        <v>48.32</v>
      </c>
      <c r="T1096" s="5">
        <v>48.75</v>
      </c>
      <c r="U1096" s="5">
        <v>45.96</v>
      </c>
      <c r="V1096" s="5">
        <v>46</v>
      </c>
      <c r="W1096" s="5">
        <v>510300</v>
      </c>
    </row>
    <row r="1097" spans="1:23" x14ac:dyDescent="0.3">
      <c r="A1097" s="6">
        <v>39905</v>
      </c>
      <c r="B1097" s="7">
        <v>0.66666666666666663</v>
      </c>
      <c r="C1097" s="5">
        <v>74.8</v>
      </c>
      <c r="D1097" s="5">
        <v>75.98</v>
      </c>
      <c r="E1097" s="5">
        <v>74.75</v>
      </c>
      <c r="F1097" s="5">
        <v>75.22</v>
      </c>
      <c r="G1097" s="5">
        <v>12400</v>
      </c>
      <c r="Q1097" s="6">
        <v>39857</v>
      </c>
      <c r="R1097" s="7">
        <v>0.66666666666666663</v>
      </c>
      <c r="S1097" s="5">
        <v>46</v>
      </c>
      <c r="T1097" s="5">
        <v>48.37</v>
      </c>
      <c r="U1097" s="5">
        <v>46</v>
      </c>
      <c r="V1097" s="5">
        <v>48.37</v>
      </c>
      <c r="W1097" s="5">
        <v>371700</v>
      </c>
    </row>
    <row r="1098" spans="1:23" x14ac:dyDescent="0.3">
      <c r="A1098" s="6">
        <v>39906</v>
      </c>
      <c r="B1098" s="7">
        <v>0.66666666666666663</v>
      </c>
      <c r="C1098" s="5">
        <v>75.67</v>
      </c>
      <c r="D1098" s="5">
        <v>79.45</v>
      </c>
      <c r="E1098" s="5">
        <v>75.510000000000005</v>
      </c>
      <c r="F1098" s="5">
        <v>78</v>
      </c>
      <c r="G1098" s="5">
        <v>38700</v>
      </c>
      <c r="Q1098" s="6">
        <v>39860</v>
      </c>
      <c r="R1098" s="7">
        <v>0.66666666666666663</v>
      </c>
      <c r="S1098" s="5">
        <v>48.9</v>
      </c>
      <c r="T1098" s="5">
        <v>50.78</v>
      </c>
      <c r="U1098" s="5">
        <v>48.9</v>
      </c>
      <c r="V1098" s="5">
        <v>50.7</v>
      </c>
      <c r="W1098" s="5">
        <v>1905600</v>
      </c>
    </row>
    <row r="1099" spans="1:23" x14ac:dyDescent="0.3">
      <c r="A1099" s="6">
        <v>39909</v>
      </c>
      <c r="B1099" s="7">
        <v>0.66666666666666663</v>
      </c>
      <c r="C1099" s="5">
        <v>77</v>
      </c>
      <c r="D1099" s="5">
        <v>81.03</v>
      </c>
      <c r="E1099" s="5">
        <v>77</v>
      </c>
      <c r="F1099" s="5">
        <v>79.510000000000005</v>
      </c>
      <c r="G1099" s="5">
        <v>27300</v>
      </c>
      <c r="Q1099" s="6">
        <v>39861</v>
      </c>
      <c r="R1099" s="7">
        <v>0.66666666666666663</v>
      </c>
      <c r="S1099" s="5">
        <v>50.7</v>
      </c>
      <c r="T1099" s="5">
        <v>53.23</v>
      </c>
      <c r="U1099" s="5">
        <v>48.9</v>
      </c>
      <c r="V1099" s="5">
        <v>53.23</v>
      </c>
      <c r="W1099" s="5">
        <v>2405700</v>
      </c>
    </row>
    <row r="1100" spans="1:23" x14ac:dyDescent="0.3">
      <c r="A1100" s="6">
        <v>39910</v>
      </c>
      <c r="B1100" s="7">
        <v>0.66666666666666663</v>
      </c>
      <c r="C1100" s="5">
        <v>79.05</v>
      </c>
      <c r="D1100" s="5">
        <v>82</v>
      </c>
      <c r="E1100" s="5">
        <v>79.05</v>
      </c>
      <c r="F1100" s="5">
        <v>81</v>
      </c>
      <c r="G1100" s="5">
        <v>20800</v>
      </c>
      <c r="Q1100" s="6">
        <v>39862</v>
      </c>
      <c r="R1100" s="7">
        <v>0.66666666666666663</v>
      </c>
      <c r="S1100" s="5">
        <v>53.32</v>
      </c>
      <c r="T1100" s="5">
        <v>55.89</v>
      </c>
      <c r="U1100" s="5">
        <v>53.32</v>
      </c>
      <c r="V1100" s="5">
        <v>55.89</v>
      </c>
      <c r="W1100" s="5">
        <v>2109500</v>
      </c>
    </row>
    <row r="1101" spans="1:23" x14ac:dyDescent="0.3">
      <c r="A1101" s="6">
        <v>39911</v>
      </c>
      <c r="B1101" s="7">
        <v>0.66666666666666663</v>
      </c>
      <c r="C1101" s="5">
        <v>81.8</v>
      </c>
      <c r="D1101" s="5">
        <v>82.95</v>
      </c>
      <c r="E1101" s="5">
        <v>78</v>
      </c>
      <c r="F1101" s="5">
        <v>80.25</v>
      </c>
      <c r="G1101" s="5">
        <v>22700</v>
      </c>
      <c r="Q1101" s="6">
        <v>39863</v>
      </c>
      <c r="R1101" s="7">
        <v>0.66666666666666663</v>
      </c>
      <c r="S1101" s="5">
        <v>56.21</v>
      </c>
      <c r="T1101" s="5">
        <v>58.68</v>
      </c>
      <c r="U1101" s="5">
        <v>56.21</v>
      </c>
      <c r="V1101" s="5">
        <v>58.68</v>
      </c>
      <c r="W1101" s="5">
        <v>934400</v>
      </c>
    </row>
    <row r="1102" spans="1:23" x14ac:dyDescent="0.3">
      <c r="A1102" s="6">
        <v>39912</v>
      </c>
      <c r="B1102" s="7">
        <v>0.66666666666666663</v>
      </c>
      <c r="C1102" s="5">
        <v>78</v>
      </c>
      <c r="D1102" s="5">
        <v>81</v>
      </c>
      <c r="E1102" s="5">
        <v>77.150000000000006</v>
      </c>
      <c r="F1102" s="5">
        <v>77.5</v>
      </c>
      <c r="G1102" s="5">
        <v>12200</v>
      </c>
      <c r="Q1102" s="6">
        <v>39864</v>
      </c>
      <c r="R1102" s="7">
        <v>0.66666666666666663</v>
      </c>
      <c r="S1102" s="5">
        <v>58.68</v>
      </c>
      <c r="T1102" s="5">
        <v>61.61</v>
      </c>
      <c r="U1102" s="5">
        <v>55.8</v>
      </c>
      <c r="V1102" s="5">
        <v>56.65</v>
      </c>
      <c r="W1102" s="5">
        <v>2290600</v>
      </c>
    </row>
    <row r="1103" spans="1:23" x14ac:dyDescent="0.3">
      <c r="A1103" s="6">
        <v>39913</v>
      </c>
      <c r="B1103" s="7">
        <v>0.66666666666666663</v>
      </c>
      <c r="C1103" s="5">
        <v>79</v>
      </c>
      <c r="D1103" s="5">
        <v>82.2</v>
      </c>
      <c r="E1103" s="5">
        <v>78</v>
      </c>
      <c r="F1103" s="5">
        <v>81</v>
      </c>
      <c r="G1103" s="5">
        <v>5400</v>
      </c>
      <c r="Q1103" s="6">
        <v>39867</v>
      </c>
      <c r="R1103" s="7">
        <v>0.66666666666666663</v>
      </c>
      <c r="S1103" s="5">
        <v>56.65</v>
      </c>
      <c r="T1103" s="5">
        <v>57.5</v>
      </c>
      <c r="U1103" s="5">
        <v>53.98</v>
      </c>
      <c r="V1103" s="5">
        <v>53.98</v>
      </c>
      <c r="W1103" s="5">
        <v>837100</v>
      </c>
    </row>
    <row r="1104" spans="1:23" x14ac:dyDescent="0.3">
      <c r="A1104" s="6">
        <v>39916</v>
      </c>
      <c r="B1104" s="7">
        <v>0.66666666666666663</v>
      </c>
      <c r="C1104" s="5">
        <v>83.9</v>
      </c>
      <c r="D1104" s="5">
        <v>85</v>
      </c>
      <c r="E1104" s="5">
        <v>81.86</v>
      </c>
      <c r="F1104" s="5">
        <v>82.6</v>
      </c>
      <c r="G1104" s="5">
        <v>18000</v>
      </c>
      <c r="Q1104" s="6">
        <v>39868</v>
      </c>
      <c r="R1104" s="7">
        <v>0.66666666666666663</v>
      </c>
      <c r="S1104" s="5">
        <v>53.98</v>
      </c>
      <c r="T1104" s="5">
        <v>56.67</v>
      </c>
      <c r="U1104" s="5">
        <v>52.1</v>
      </c>
      <c r="V1104" s="5">
        <v>55.94</v>
      </c>
      <c r="W1104" s="5">
        <v>2503400</v>
      </c>
    </row>
    <row r="1105" spans="1:23" x14ac:dyDescent="0.3">
      <c r="A1105" s="6">
        <v>39917</v>
      </c>
      <c r="B1105" s="7">
        <v>0.66666666666666663</v>
      </c>
      <c r="C1105" s="5">
        <v>81</v>
      </c>
      <c r="D1105" s="5">
        <v>83</v>
      </c>
      <c r="E1105" s="5">
        <v>81</v>
      </c>
      <c r="F1105" s="5">
        <v>81.8</v>
      </c>
      <c r="G1105" s="5">
        <v>10700</v>
      </c>
      <c r="Q1105" s="6">
        <v>39869</v>
      </c>
      <c r="R1105" s="7">
        <v>0.66666666666666663</v>
      </c>
      <c r="S1105" s="5">
        <v>55.94</v>
      </c>
      <c r="T1105" s="5">
        <v>58.73</v>
      </c>
      <c r="U1105" s="5">
        <v>53.15</v>
      </c>
      <c r="V1105" s="5">
        <v>53.15</v>
      </c>
      <c r="W1105" s="5">
        <v>1646800</v>
      </c>
    </row>
    <row r="1106" spans="1:23" x14ac:dyDescent="0.3">
      <c r="A1106" s="6">
        <v>39918</v>
      </c>
      <c r="B1106" s="7">
        <v>0.66666666666666663</v>
      </c>
      <c r="C1106" s="5">
        <v>78</v>
      </c>
      <c r="D1106" s="5">
        <v>83</v>
      </c>
      <c r="E1106" s="5">
        <v>78</v>
      </c>
      <c r="F1106" s="5">
        <v>83</v>
      </c>
      <c r="G1106" s="5">
        <v>12800</v>
      </c>
      <c r="Q1106" s="6">
        <v>39870</v>
      </c>
      <c r="R1106" s="7">
        <v>0.66666666666666663</v>
      </c>
      <c r="S1106" s="5">
        <v>53.15</v>
      </c>
      <c r="T1106" s="5">
        <v>55.77</v>
      </c>
      <c r="U1106" s="5">
        <v>50.5</v>
      </c>
      <c r="V1106" s="5">
        <v>54.1</v>
      </c>
      <c r="W1106" s="5">
        <v>1828600</v>
      </c>
    </row>
    <row r="1107" spans="1:23" x14ac:dyDescent="0.3">
      <c r="A1107" s="6">
        <v>39919</v>
      </c>
      <c r="B1107" s="7">
        <v>0.66666666666666663</v>
      </c>
      <c r="C1107" s="5">
        <v>83.99</v>
      </c>
      <c r="D1107" s="5">
        <v>85</v>
      </c>
      <c r="E1107" s="5">
        <v>81.55</v>
      </c>
      <c r="F1107" s="5">
        <v>81.55</v>
      </c>
      <c r="G1107" s="5">
        <v>14200</v>
      </c>
      <c r="Q1107" s="6">
        <v>39871</v>
      </c>
      <c r="R1107" s="7">
        <v>0.66666666666666663</v>
      </c>
      <c r="S1107" s="5">
        <v>54.1</v>
      </c>
      <c r="T1107" s="5">
        <v>57.17</v>
      </c>
      <c r="U1107" s="5">
        <v>54</v>
      </c>
      <c r="V1107" s="5">
        <v>56.48</v>
      </c>
      <c r="W1107" s="5">
        <v>1222600</v>
      </c>
    </row>
    <row r="1108" spans="1:23" x14ac:dyDescent="0.3">
      <c r="A1108" s="6">
        <v>39920</v>
      </c>
      <c r="B1108" s="7">
        <v>0.66666666666666663</v>
      </c>
      <c r="C1108" s="5">
        <v>83</v>
      </c>
      <c r="D1108" s="5">
        <v>86.27</v>
      </c>
      <c r="E1108" s="5">
        <v>83</v>
      </c>
      <c r="F1108" s="5">
        <v>86.27</v>
      </c>
      <c r="G1108" s="5">
        <v>26100</v>
      </c>
      <c r="Q1108" s="6">
        <v>39874</v>
      </c>
      <c r="R1108" s="7">
        <v>0.66666666666666663</v>
      </c>
      <c r="S1108" s="5">
        <v>56.48</v>
      </c>
      <c r="T1108" s="5">
        <v>59.05</v>
      </c>
      <c r="U1108" s="5">
        <v>54.2</v>
      </c>
      <c r="V1108" s="5">
        <v>59.05</v>
      </c>
      <c r="W1108" s="5">
        <v>2205300</v>
      </c>
    </row>
    <row r="1109" spans="1:23" x14ac:dyDescent="0.3">
      <c r="A1109" s="6">
        <v>39923</v>
      </c>
      <c r="B1109" s="7">
        <v>0.66666666666666663</v>
      </c>
      <c r="C1109" s="5">
        <v>90.58</v>
      </c>
      <c r="D1109" s="5">
        <v>90.58</v>
      </c>
      <c r="E1109" s="5">
        <v>90.58</v>
      </c>
      <c r="F1109" s="5">
        <v>90.58</v>
      </c>
      <c r="G1109" s="5">
        <v>4200</v>
      </c>
      <c r="Q1109" s="6">
        <v>39875</v>
      </c>
      <c r="R1109" s="7">
        <v>0.66666666666666663</v>
      </c>
      <c r="S1109" s="5">
        <v>59.05</v>
      </c>
      <c r="T1109" s="5">
        <v>62</v>
      </c>
      <c r="U1109" s="5">
        <v>57</v>
      </c>
      <c r="V1109" s="5">
        <v>62</v>
      </c>
      <c r="W1109" s="5">
        <v>2209500</v>
      </c>
    </row>
    <row r="1110" spans="1:23" x14ac:dyDescent="0.3">
      <c r="A1110" s="6">
        <v>39924</v>
      </c>
      <c r="B1110" s="7">
        <v>0.66666666666666663</v>
      </c>
      <c r="C1110" s="5">
        <v>94.9</v>
      </c>
      <c r="D1110" s="5">
        <v>95.1</v>
      </c>
      <c r="E1110" s="5">
        <v>92</v>
      </c>
      <c r="F1110" s="5">
        <v>95.1</v>
      </c>
      <c r="G1110" s="5">
        <v>20500</v>
      </c>
      <c r="Q1110" s="6">
        <v>39876</v>
      </c>
      <c r="R1110" s="7">
        <v>0.66666666666666663</v>
      </c>
      <c r="S1110" s="5">
        <v>63</v>
      </c>
      <c r="T1110" s="5">
        <v>65.099999999999994</v>
      </c>
      <c r="U1110" s="5">
        <v>63</v>
      </c>
      <c r="V1110" s="5">
        <v>65.099999999999994</v>
      </c>
      <c r="W1110" s="5">
        <v>525000</v>
      </c>
    </row>
    <row r="1111" spans="1:23" x14ac:dyDescent="0.3">
      <c r="A1111" s="6">
        <v>39925</v>
      </c>
      <c r="B1111" s="7">
        <v>0.66666666666666663</v>
      </c>
      <c r="C1111" s="5">
        <v>99.85</v>
      </c>
      <c r="D1111" s="5">
        <v>99.85</v>
      </c>
      <c r="E1111" s="5">
        <v>90.35</v>
      </c>
      <c r="F1111" s="5">
        <v>91.5</v>
      </c>
      <c r="G1111" s="5">
        <v>45300</v>
      </c>
      <c r="Q1111" s="6">
        <v>39877</v>
      </c>
      <c r="R1111" s="7">
        <v>0.66666666666666663</v>
      </c>
      <c r="S1111" s="5">
        <v>67.5</v>
      </c>
      <c r="T1111" s="5">
        <v>68.349999999999994</v>
      </c>
      <c r="U1111" s="5">
        <v>67.5</v>
      </c>
      <c r="V1111" s="5">
        <v>68.349999999999994</v>
      </c>
      <c r="W1111" s="5">
        <v>944200</v>
      </c>
    </row>
    <row r="1112" spans="1:23" x14ac:dyDescent="0.3">
      <c r="A1112" s="6">
        <v>39926</v>
      </c>
      <c r="B1112" s="7">
        <v>0.66666666666666663</v>
      </c>
      <c r="C1112" s="5">
        <v>88.2</v>
      </c>
      <c r="D1112" s="5">
        <v>90.5</v>
      </c>
      <c r="E1112" s="5">
        <v>87.16</v>
      </c>
      <c r="F1112" s="5">
        <v>87.16</v>
      </c>
      <c r="G1112" s="5">
        <v>13600</v>
      </c>
      <c r="Q1112" s="6">
        <v>39878</v>
      </c>
      <c r="R1112" s="7">
        <v>0.66666666666666663</v>
      </c>
      <c r="S1112" s="5">
        <v>69.25</v>
      </c>
      <c r="T1112" s="5">
        <v>71.760000000000005</v>
      </c>
      <c r="U1112" s="5">
        <v>69.25</v>
      </c>
      <c r="V1112" s="5">
        <v>71.760000000000005</v>
      </c>
      <c r="W1112" s="5">
        <v>1895400</v>
      </c>
    </row>
    <row r="1113" spans="1:23" x14ac:dyDescent="0.3">
      <c r="A1113" s="6">
        <v>39927</v>
      </c>
      <c r="B1113" s="7">
        <v>0.66666666666666663</v>
      </c>
      <c r="C1113" s="5">
        <v>83.05</v>
      </c>
      <c r="D1113" s="5">
        <v>90</v>
      </c>
      <c r="E1113" s="5">
        <v>82.81</v>
      </c>
      <c r="F1113" s="5">
        <v>86</v>
      </c>
      <c r="G1113" s="5">
        <v>19000</v>
      </c>
      <c r="Q1113" s="6">
        <v>39881</v>
      </c>
      <c r="R1113" s="7">
        <v>0.66666666666666663</v>
      </c>
      <c r="S1113" s="5">
        <v>71.760000000000005</v>
      </c>
      <c r="T1113" s="5">
        <v>75.290000000000006</v>
      </c>
      <c r="U1113" s="5">
        <v>71</v>
      </c>
      <c r="V1113" s="5">
        <v>75.290000000000006</v>
      </c>
      <c r="W1113" s="5">
        <v>1145800</v>
      </c>
    </row>
    <row r="1114" spans="1:23" x14ac:dyDescent="0.3">
      <c r="A1114" s="6">
        <v>39930</v>
      </c>
      <c r="B1114" s="7">
        <v>0.66666666666666663</v>
      </c>
      <c r="C1114" s="5">
        <v>84.26</v>
      </c>
      <c r="D1114" s="5">
        <v>85</v>
      </c>
      <c r="E1114" s="5">
        <v>83.25</v>
      </c>
      <c r="F1114" s="5">
        <v>83.25</v>
      </c>
      <c r="G1114" s="5">
        <v>12600</v>
      </c>
      <c r="Q1114" s="6">
        <v>39884</v>
      </c>
      <c r="R1114" s="7">
        <v>0.66666666666666663</v>
      </c>
      <c r="S1114" s="5">
        <v>69</v>
      </c>
      <c r="T1114" s="5">
        <v>69</v>
      </c>
      <c r="U1114" s="5">
        <v>67.8</v>
      </c>
      <c r="V1114" s="5">
        <v>67.8</v>
      </c>
      <c r="W1114" s="5">
        <v>580300</v>
      </c>
    </row>
    <row r="1115" spans="1:23" x14ac:dyDescent="0.3">
      <c r="A1115" s="6">
        <v>39931</v>
      </c>
      <c r="B1115" s="7">
        <v>0.66666666666666663</v>
      </c>
      <c r="C1115" s="5">
        <v>79.099999999999994</v>
      </c>
      <c r="D1115" s="5">
        <v>83.91</v>
      </c>
      <c r="E1115" s="5">
        <v>79.099999999999994</v>
      </c>
      <c r="F1115" s="5">
        <v>83.91</v>
      </c>
      <c r="G1115" s="5">
        <v>6700</v>
      </c>
      <c r="Q1115" s="6">
        <v>39885</v>
      </c>
      <c r="R1115" s="7">
        <v>0.66666666666666663</v>
      </c>
      <c r="S1115" s="5">
        <v>67.8</v>
      </c>
      <c r="T1115" s="5">
        <v>69.849999999999994</v>
      </c>
      <c r="U1115" s="5">
        <v>65</v>
      </c>
      <c r="V1115" s="5">
        <v>66.709999999999994</v>
      </c>
      <c r="W1115" s="5">
        <v>3890300</v>
      </c>
    </row>
    <row r="1116" spans="1:23" x14ac:dyDescent="0.3">
      <c r="A1116" s="6">
        <v>39932</v>
      </c>
      <c r="B1116" s="7">
        <v>0.66666666666666663</v>
      </c>
      <c r="C1116" s="5">
        <v>81.7</v>
      </c>
      <c r="D1116" s="5">
        <v>84.45</v>
      </c>
      <c r="E1116" s="5">
        <v>79.72</v>
      </c>
      <c r="F1116" s="5">
        <v>79.72</v>
      </c>
      <c r="G1116" s="5">
        <v>14500</v>
      </c>
      <c r="Q1116" s="6">
        <v>39888</v>
      </c>
      <c r="R1116" s="7">
        <v>0.66666666666666663</v>
      </c>
      <c r="S1116" s="5">
        <v>69.56</v>
      </c>
      <c r="T1116" s="5">
        <v>70.03</v>
      </c>
      <c r="U1116" s="5">
        <v>69.56</v>
      </c>
      <c r="V1116" s="5">
        <v>70.03</v>
      </c>
      <c r="W1116" s="5">
        <v>714400</v>
      </c>
    </row>
    <row r="1117" spans="1:23" x14ac:dyDescent="0.3">
      <c r="A1117" s="6">
        <v>39933</v>
      </c>
      <c r="B1117" s="7">
        <v>0.66666666666666663</v>
      </c>
      <c r="C1117" s="5">
        <v>77</v>
      </c>
      <c r="D1117" s="5">
        <v>78.5</v>
      </c>
      <c r="E1117" s="5">
        <v>76.25</v>
      </c>
      <c r="F1117" s="5">
        <v>76.5</v>
      </c>
      <c r="G1117" s="5">
        <v>12400</v>
      </c>
      <c r="Q1117" s="6">
        <v>39889</v>
      </c>
      <c r="R1117" s="7">
        <v>0.66666666666666663</v>
      </c>
      <c r="S1117" s="5">
        <v>70.03</v>
      </c>
      <c r="T1117" s="5">
        <v>73.53</v>
      </c>
      <c r="U1117" s="5">
        <v>68.2</v>
      </c>
      <c r="V1117" s="5">
        <v>73.53</v>
      </c>
      <c r="W1117" s="5">
        <v>4680800</v>
      </c>
    </row>
    <row r="1118" spans="1:23" x14ac:dyDescent="0.3">
      <c r="A1118" s="6">
        <v>39937</v>
      </c>
      <c r="B1118" s="7">
        <v>0.66666666666666663</v>
      </c>
      <c r="C1118" s="5">
        <v>75.5</v>
      </c>
      <c r="D1118" s="5">
        <v>78.5</v>
      </c>
      <c r="E1118" s="5">
        <v>75</v>
      </c>
      <c r="F1118" s="5">
        <v>75.5</v>
      </c>
      <c r="G1118" s="5">
        <v>9300</v>
      </c>
      <c r="Q1118" s="6">
        <v>39890</v>
      </c>
      <c r="R1118" s="7">
        <v>0.66666666666666663</v>
      </c>
      <c r="S1118" s="5">
        <v>73.53</v>
      </c>
      <c r="T1118" s="5">
        <v>76.75</v>
      </c>
      <c r="U1118" s="5">
        <v>72.75</v>
      </c>
      <c r="V1118" s="5">
        <v>75.489999999999995</v>
      </c>
      <c r="W1118" s="5">
        <v>2322200</v>
      </c>
    </row>
    <row r="1119" spans="1:23" x14ac:dyDescent="0.3">
      <c r="A1119" s="6">
        <v>39938</v>
      </c>
      <c r="B1119" s="7">
        <v>0.66666666666666663</v>
      </c>
      <c r="C1119" s="5">
        <v>74.75</v>
      </c>
      <c r="D1119" s="5">
        <v>76</v>
      </c>
      <c r="E1119" s="5">
        <v>74.05</v>
      </c>
      <c r="F1119" s="5">
        <v>74.8</v>
      </c>
      <c r="G1119" s="5">
        <v>3200</v>
      </c>
      <c r="Q1119" s="6">
        <v>39891</v>
      </c>
      <c r="R1119" s="7">
        <v>0.66666666666666663</v>
      </c>
      <c r="S1119" s="5">
        <v>75.489999999999995</v>
      </c>
      <c r="T1119" s="5">
        <v>77.75</v>
      </c>
      <c r="U1119" s="5">
        <v>75</v>
      </c>
      <c r="V1119" s="5">
        <v>75.8</v>
      </c>
      <c r="W1119" s="5">
        <v>2960600</v>
      </c>
    </row>
    <row r="1120" spans="1:23" x14ac:dyDescent="0.3">
      <c r="A1120" s="6">
        <v>39939</v>
      </c>
      <c r="B1120" s="7">
        <v>0.66666666666666663</v>
      </c>
      <c r="C1120" s="5">
        <v>76.25</v>
      </c>
      <c r="D1120" s="5">
        <v>78.540000000000006</v>
      </c>
      <c r="E1120" s="5">
        <v>76</v>
      </c>
      <c r="F1120" s="5">
        <v>78.540000000000006</v>
      </c>
      <c r="G1120" s="5">
        <v>18500</v>
      </c>
      <c r="Q1120" s="6">
        <v>39892</v>
      </c>
      <c r="R1120" s="7">
        <v>0.66666666666666663</v>
      </c>
      <c r="S1120" s="5">
        <v>75.8</v>
      </c>
      <c r="T1120" s="5">
        <v>77.349999999999994</v>
      </c>
      <c r="U1120" s="5">
        <v>72.16</v>
      </c>
      <c r="V1120" s="5">
        <v>72.16</v>
      </c>
      <c r="W1120" s="5">
        <v>1245200</v>
      </c>
    </row>
    <row r="1121" spans="1:23" x14ac:dyDescent="0.3">
      <c r="A1121" s="6">
        <v>39940</v>
      </c>
      <c r="B1121" s="7">
        <v>0.66666666666666663</v>
      </c>
      <c r="C1121" s="5">
        <v>79</v>
      </c>
      <c r="D1121" s="5">
        <v>80</v>
      </c>
      <c r="E1121" s="5">
        <v>75.25</v>
      </c>
      <c r="F1121" s="5">
        <v>77.55</v>
      </c>
      <c r="G1121" s="5">
        <v>31000</v>
      </c>
      <c r="Q1121" s="6">
        <v>39896</v>
      </c>
      <c r="R1121" s="7">
        <v>0.66666666666666663</v>
      </c>
      <c r="S1121" s="5">
        <v>73.010000000000005</v>
      </c>
      <c r="T1121" s="5">
        <v>76.12</v>
      </c>
      <c r="U1121" s="5">
        <v>73.010000000000005</v>
      </c>
      <c r="V1121" s="5">
        <v>76.12</v>
      </c>
      <c r="W1121" s="5">
        <v>944900</v>
      </c>
    </row>
    <row r="1122" spans="1:23" x14ac:dyDescent="0.3">
      <c r="A1122" s="6">
        <v>39941</v>
      </c>
      <c r="B1122" s="7">
        <v>0.66666666666666663</v>
      </c>
      <c r="C1122" s="5">
        <v>77.150000000000006</v>
      </c>
      <c r="D1122" s="5">
        <v>79.989999999999995</v>
      </c>
      <c r="E1122" s="5">
        <v>77.150000000000006</v>
      </c>
      <c r="F1122" s="5">
        <v>78</v>
      </c>
      <c r="G1122" s="5">
        <v>3300</v>
      </c>
      <c r="Q1122" s="6">
        <v>39897</v>
      </c>
      <c r="R1122" s="7">
        <v>0.66666666666666663</v>
      </c>
      <c r="S1122" s="5">
        <v>76.5</v>
      </c>
      <c r="T1122" s="5">
        <v>79.92</v>
      </c>
      <c r="U1122" s="5">
        <v>76.5</v>
      </c>
      <c r="V1122" s="5">
        <v>78.489999999999995</v>
      </c>
      <c r="W1122" s="5">
        <v>2354300</v>
      </c>
    </row>
    <row r="1123" spans="1:23" x14ac:dyDescent="0.3">
      <c r="A1123" s="6">
        <v>39944</v>
      </c>
      <c r="B1123" s="7">
        <v>0.66666666666666663</v>
      </c>
      <c r="C1123" s="5">
        <v>78.62</v>
      </c>
      <c r="D1123" s="5">
        <v>79.040000000000006</v>
      </c>
      <c r="E1123" s="5">
        <v>78</v>
      </c>
      <c r="F1123" s="5">
        <v>78</v>
      </c>
      <c r="G1123" s="5">
        <v>6700</v>
      </c>
      <c r="Q1123" s="6">
        <v>39898</v>
      </c>
      <c r="R1123" s="7">
        <v>0.66666666666666663</v>
      </c>
      <c r="S1123" s="5">
        <v>78.489999999999995</v>
      </c>
      <c r="T1123" s="5">
        <v>82.99</v>
      </c>
      <c r="U1123" s="5">
        <v>75.5</v>
      </c>
      <c r="V1123" s="5">
        <v>80.599999999999994</v>
      </c>
      <c r="W1123" s="5">
        <v>3403200</v>
      </c>
    </row>
    <row r="1124" spans="1:23" x14ac:dyDescent="0.3">
      <c r="A1124" s="6">
        <v>39945</v>
      </c>
      <c r="B1124" s="7">
        <v>0.66666666666666663</v>
      </c>
      <c r="C1124" s="5">
        <v>80.5</v>
      </c>
      <c r="D1124" s="5">
        <v>81.900000000000006</v>
      </c>
      <c r="E1124" s="5">
        <v>80.5</v>
      </c>
      <c r="F1124" s="5">
        <v>81.900000000000006</v>
      </c>
      <c r="G1124" s="5">
        <v>12300</v>
      </c>
      <c r="Q1124" s="6">
        <v>39899</v>
      </c>
      <c r="R1124" s="7">
        <v>0.66666666666666663</v>
      </c>
      <c r="S1124" s="5">
        <v>81.400000000000006</v>
      </c>
      <c r="T1124" s="5">
        <v>84.85</v>
      </c>
      <c r="U1124" s="5">
        <v>81.400000000000006</v>
      </c>
      <c r="V1124" s="5">
        <v>84.85</v>
      </c>
      <c r="W1124" s="5">
        <v>1272000</v>
      </c>
    </row>
    <row r="1125" spans="1:23" x14ac:dyDescent="0.3">
      <c r="A1125" s="6">
        <v>39946</v>
      </c>
      <c r="B1125" s="7">
        <v>0.66666666666666663</v>
      </c>
      <c r="C1125" s="5">
        <v>85.49</v>
      </c>
      <c r="D1125" s="5">
        <v>85.99</v>
      </c>
      <c r="E1125" s="5">
        <v>84.05</v>
      </c>
      <c r="F1125" s="5">
        <v>85.99</v>
      </c>
      <c r="G1125" s="5">
        <v>23700</v>
      </c>
      <c r="Q1125" s="6">
        <v>39902</v>
      </c>
      <c r="R1125" s="7">
        <v>0.66666666666666663</v>
      </c>
      <c r="S1125" s="5">
        <v>89.09</v>
      </c>
      <c r="T1125" s="5">
        <v>89.09</v>
      </c>
      <c r="U1125" s="5">
        <v>89.09</v>
      </c>
      <c r="V1125" s="5">
        <v>89.09</v>
      </c>
      <c r="W1125" s="5">
        <v>129000</v>
      </c>
    </row>
    <row r="1126" spans="1:23" x14ac:dyDescent="0.3">
      <c r="A1126" s="6">
        <v>39947</v>
      </c>
      <c r="B1126" s="7">
        <v>0.66666666666666663</v>
      </c>
      <c r="C1126" s="5">
        <v>87</v>
      </c>
      <c r="D1126" s="5">
        <v>88.7</v>
      </c>
      <c r="E1126" s="5">
        <v>81.56</v>
      </c>
      <c r="F1126" s="5">
        <v>83.99</v>
      </c>
      <c r="G1126" s="5">
        <v>19400</v>
      </c>
      <c r="Q1126" s="6">
        <v>39903</v>
      </c>
      <c r="R1126" s="7">
        <v>0.66666666666666663</v>
      </c>
      <c r="S1126" s="5">
        <v>89.09</v>
      </c>
      <c r="T1126" s="5">
        <v>93.54</v>
      </c>
      <c r="U1126" s="5">
        <v>84.64</v>
      </c>
      <c r="V1126" s="5">
        <v>84.64</v>
      </c>
      <c r="W1126" s="5">
        <v>2033200</v>
      </c>
    </row>
    <row r="1127" spans="1:23" x14ac:dyDescent="0.3">
      <c r="A1127" s="6">
        <v>39948</v>
      </c>
      <c r="B1127" s="7">
        <v>0.66666666666666663</v>
      </c>
      <c r="C1127" s="5">
        <v>83.76</v>
      </c>
      <c r="D1127" s="5">
        <v>85</v>
      </c>
      <c r="E1127" s="5">
        <v>82.99</v>
      </c>
      <c r="F1127" s="5">
        <v>83</v>
      </c>
      <c r="G1127" s="5">
        <v>6300</v>
      </c>
      <c r="Q1127" s="6">
        <v>39904</v>
      </c>
      <c r="R1127" s="7">
        <v>0.66666666666666663</v>
      </c>
      <c r="S1127" s="5">
        <v>84.64</v>
      </c>
      <c r="T1127" s="5">
        <v>88</v>
      </c>
      <c r="U1127" s="5">
        <v>82</v>
      </c>
      <c r="V1127" s="5">
        <v>84.5</v>
      </c>
      <c r="W1127" s="5">
        <v>3561600</v>
      </c>
    </row>
    <row r="1128" spans="1:23" x14ac:dyDescent="0.3">
      <c r="A1128" s="6">
        <v>39951</v>
      </c>
      <c r="B1128" s="7">
        <v>0.66666666666666663</v>
      </c>
      <c r="C1128" s="5">
        <v>81.55</v>
      </c>
      <c r="D1128" s="5">
        <v>82</v>
      </c>
      <c r="E1128" s="5">
        <v>81</v>
      </c>
      <c r="F1128" s="5">
        <v>81.5</v>
      </c>
      <c r="G1128" s="5">
        <v>4700</v>
      </c>
      <c r="Q1128" s="6">
        <v>39905</v>
      </c>
      <c r="R1128" s="7">
        <v>0.66666666666666663</v>
      </c>
      <c r="S1128" s="5">
        <v>85</v>
      </c>
      <c r="T1128" s="5">
        <v>88.46</v>
      </c>
      <c r="U1128" s="5">
        <v>85</v>
      </c>
      <c r="V1128" s="5">
        <v>88.46</v>
      </c>
      <c r="W1128" s="5">
        <v>3194000</v>
      </c>
    </row>
    <row r="1129" spans="1:23" x14ac:dyDescent="0.3">
      <c r="A1129" s="6">
        <v>39952</v>
      </c>
      <c r="B1129" s="7">
        <v>0.66666666666666663</v>
      </c>
      <c r="C1129" s="5">
        <v>81</v>
      </c>
      <c r="D1129" s="5">
        <v>81.3</v>
      </c>
      <c r="E1129" s="5">
        <v>80</v>
      </c>
      <c r="F1129" s="5">
        <v>80</v>
      </c>
      <c r="G1129" s="5">
        <v>7100</v>
      </c>
      <c r="Q1129" s="6">
        <v>39906</v>
      </c>
      <c r="R1129" s="7">
        <v>0.66666666666666663</v>
      </c>
      <c r="S1129" s="5">
        <v>89</v>
      </c>
      <c r="T1129" s="5">
        <v>92.68</v>
      </c>
      <c r="U1129" s="5">
        <v>89</v>
      </c>
      <c r="V1129" s="5">
        <v>92.68</v>
      </c>
      <c r="W1129" s="5">
        <v>1160700</v>
      </c>
    </row>
    <row r="1130" spans="1:23" x14ac:dyDescent="0.3">
      <c r="A1130" s="6">
        <v>39953</v>
      </c>
      <c r="B1130" s="7">
        <v>0.66666666666666663</v>
      </c>
      <c r="C1130" s="5">
        <v>80</v>
      </c>
      <c r="D1130" s="5">
        <v>81</v>
      </c>
      <c r="E1130" s="5">
        <v>80</v>
      </c>
      <c r="F1130" s="5">
        <v>80.790000000000006</v>
      </c>
      <c r="G1130" s="5">
        <v>2200</v>
      </c>
      <c r="Q1130" s="6">
        <v>39909</v>
      </c>
      <c r="R1130" s="7">
        <v>0.66666666666666663</v>
      </c>
      <c r="S1130" s="5">
        <v>94.25</v>
      </c>
      <c r="T1130" s="5">
        <v>97.31</v>
      </c>
      <c r="U1130" s="5">
        <v>94.25</v>
      </c>
      <c r="V1130" s="5">
        <v>97.31</v>
      </c>
      <c r="W1130" s="5">
        <v>1534100</v>
      </c>
    </row>
    <row r="1131" spans="1:23" x14ac:dyDescent="0.3">
      <c r="A1131" s="6">
        <v>39954</v>
      </c>
      <c r="B1131" s="7">
        <v>0.66666666666666663</v>
      </c>
      <c r="C1131" s="5">
        <v>80.709999999999994</v>
      </c>
      <c r="D1131" s="5">
        <v>80.709999999999994</v>
      </c>
      <c r="E1131" s="5">
        <v>78.16</v>
      </c>
      <c r="F1131" s="5">
        <v>78.62</v>
      </c>
      <c r="G1131" s="5">
        <v>3000</v>
      </c>
      <c r="Q1131" s="6">
        <v>39910</v>
      </c>
      <c r="R1131" s="7">
        <v>0.66666666666666663</v>
      </c>
      <c r="S1131" s="5">
        <v>99.5</v>
      </c>
      <c r="T1131" s="5">
        <v>102.17</v>
      </c>
      <c r="U1131" s="5">
        <v>99.5</v>
      </c>
      <c r="V1131" s="5">
        <v>102.17</v>
      </c>
      <c r="W1131" s="5">
        <v>1055500</v>
      </c>
    </row>
    <row r="1132" spans="1:23" x14ac:dyDescent="0.3">
      <c r="A1132" s="6">
        <v>39955</v>
      </c>
      <c r="B1132" s="7">
        <v>0.66666666666666663</v>
      </c>
      <c r="C1132" s="5">
        <v>80</v>
      </c>
      <c r="D1132" s="5">
        <v>81.5</v>
      </c>
      <c r="E1132" s="5">
        <v>79.900000000000006</v>
      </c>
      <c r="F1132" s="5">
        <v>80</v>
      </c>
      <c r="G1132" s="5">
        <v>9400</v>
      </c>
      <c r="Q1132" s="6">
        <v>39911</v>
      </c>
      <c r="R1132" s="7">
        <v>0.66666666666666663</v>
      </c>
      <c r="S1132" s="5">
        <v>102.17</v>
      </c>
      <c r="T1132" s="5">
        <v>107.27</v>
      </c>
      <c r="U1132" s="5">
        <v>98</v>
      </c>
      <c r="V1132" s="5">
        <v>106</v>
      </c>
      <c r="W1132" s="5">
        <v>5622800</v>
      </c>
    </row>
    <row r="1133" spans="1:23" x14ac:dyDescent="0.3">
      <c r="A1133" s="6">
        <v>39958</v>
      </c>
      <c r="B1133" s="7">
        <v>0.66666666666666663</v>
      </c>
      <c r="C1133" s="5">
        <v>79.099999999999994</v>
      </c>
      <c r="D1133" s="5">
        <v>82.5</v>
      </c>
      <c r="E1133" s="5">
        <v>79.099999999999994</v>
      </c>
      <c r="F1133" s="5">
        <v>80.25</v>
      </c>
      <c r="G1133" s="5">
        <v>8100</v>
      </c>
      <c r="Q1133" s="6">
        <v>39912</v>
      </c>
      <c r="R1133" s="7">
        <v>0.66666666666666663</v>
      </c>
      <c r="S1133" s="5">
        <v>106</v>
      </c>
      <c r="T1133" s="5">
        <v>110.28</v>
      </c>
      <c r="U1133" s="5">
        <v>104.55</v>
      </c>
      <c r="V1133" s="5">
        <v>110.28</v>
      </c>
      <c r="W1133" s="5">
        <v>1559000</v>
      </c>
    </row>
    <row r="1134" spans="1:23" x14ac:dyDescent="0.3">
      <c r="A1134" s="6">
        <v>39959</v>
      </c>
      <c r="B1134" s="7">
        <v>0.66666666666666663</v>
      </c>
      <c r="C1134" s="5">
        <v>80.7</v>
      </c>
      <c r="D1134" s="5">
        <v>81</v>
      </c>
      <c r="E1134" s="5">
        <v>80.599999999999994</v>
      </c>
      <c r="F1134" s="5">
        <v>81</v>
      </c>
      <c r="G1134" s="5">
        <v>1300</v>
      </c>
      <c r="Q1134" s="6">
        <v>39913</v>
      </c>
      <c r="R1134" s="7">
        <v>0.66666666666666663</v>
      </c>
      <c r="S1134" s="5">
        <v>114</v>
      </c>
      <c r="T1134" s="5">
        <v>115.79</v>
      </c>
      <c r="U1134" s="5">
        <v>114</v>
      </c>
      <c r="V1134" s="5">
        <v>115.79</v>
      </c>
      <c r="W1134" s="5">
        <v>1218300</v>
      </c>
    </row>
    <row r="1135" spans="1:23" x14ac:dyDescent="0.3">
      <c r="A1135" s="6">
        <v>39960</v>
      </c>
      <c r="B1135" s="7">
        <v>0.66666666666666663</v>
      </c>
      <c r="C1135" s="5">
        <v>81</v>
      </c>
      <c r="D1135" s="5">
        <v>82</v>
      </c>
      <c r="E1135" s="5">
        <v>80.900000000000006</v>
      </c>
      <c r="F1135" s="5">
        <v>81.06</v>
      </c>
      <c r="G1135" s="5">
        <v>5500</v>
      </c>
      <c r="Q1135" s="6">
        <v>39916</v>
      </c>
      <c r="R1135" s="7">
        <v>0.66666666666666663</v>
      </c>
      <c r="S1135" s="5">
        <v>121.57</v>
      </c>
      <c r="T1135" s="5">
        <v>121.57</v>
      </c>
      <c r="U1135" s="5">
        <v>121.57</v>
      </c>
      <c r="V1135" s="5">
        <v>121.57</v>
      </c>
      <c r="W1135" s="5">
        <v>117200</v>
      </c>
    </row>
    <row r="1136" spans="1:23" x14ac:dyDescent="0.3">
      <c r="A1136" s="6">
        <v>39961</v>
      </c>
      <c r="B1136" s="7">
        <v>0.66666666666666663</v>
      </c>
      <c r="C1136" s="5">
        <v>82.5</v>
      </c>
      <c r="D1136" s="5">
        <v>84.5</v>
      </c>
      <c r="E1136" s="5">
        <v>81.8</v>
      </c>
      <c r="F1136" s="5">
        <v>82.6</v>
      </c>
      <c r="G1136" s="5">
        <v>15800</v>
      </c>
      <c r="Q1136" s="6">
        <v>39917</v>
      </c>
      <c r="R1136" s="7">
        <v>0.66666666666666663</v>
      </c>
      <c r="S1136" s="5">
        <v>122.12</v>
      </c>
      <c r="T1136" s="5">
        <v>127.64</v>
      </c>
      <c r="U1136" s="5">
        <v>122.12</v>
      </c>
      <c r="V1136" s="5">
        <v>127.6</v>
      </c>
      <c r="W1136" s="5">
        <v>2091200</v>
      </c>
    </row>
    <row r="1137" spans="1:23" x14ac:dyDescent="0.3">
      <c r="A1137" s="6">
        <v>39962</v>
      </c>
      <c r="B1137" s="7">
        <v>0.66666666666666663</v>
      </c>
      <c r="C1137" s="5">
        <v>83.5</v>
      </c>
      <c r="D1137" s="5">
        <v>83.5</v>
      </c>
      <c r="E1137" s="5">
        <v>81.5</v>
      </c>
      <c r="F1137" s="5">
        <v>83.29</v>
      </c>
      <c r="G1137" s="5">
        <v>16600</v>
      </c>
      <c r="Q1137" s="6">
        <v>39918</v>
      </c>
      <c r="R1137" s="7">
        <v>0.66666666666666663</v>
      </c>
      <c r="S1137" s="5">
        <v>127.6</v>
      </c>
      <c r="T1137" s="5">
        <v>133.56</v>
      </c>
      <c r="U1137" s="5">
        <v>120.85</v>
      </c>
      <c r="V1137" s="5">
        <v>133</v>
      </c>
      <c r="W1137" s="5">
        <v>2532900</v>
      </c>
    </row>
    <row r="1138" spans="1:23" x14ac:dyDescent="0.3">
      <c r="A1138" s="6">
        <v>39965</v>
      </c>
      <c r="B1138" s="7">
        <v>0.66666666666666663</v>
      </c>
      <c r="C1138" s="5">
        <v>82.5</v>
      </c>
      <c r="D1138" s="5">
        <v>82.5</v>
      </c>
      <c r="E1138" s="5">
        <v>81</v>
      </c>
      <c r="F1138" s="5">
        <v>81</v>
      </c>
      <c r="G1138" s="5">
        <v>8800</v>
      </c>
      <c r="Q1138" s="6">
        <v>39919</v>
      </c>
      <c r="R1138" s="7">
        <v>0.66666666666666663</v>
      </c>
      <c r="S1138" s="5">
        <v>133</v>
      </c>
      <c r="T1138" s="5">
        <v>136.9</v>
      </c>
      <c r="U1138" s="5">
        <v>125.33</v>
      </c>
      <c r="V1138" s="5">
        <v>125.33</v>
      </c>
      <c r="W1138" s="5">
        <v>3232200</v>
      </c>
    </row>
    <row r="1139" spans="1:23" x14ac:dyDescent="0.3">
      <c r="A1139" s="6">
        <v>39966</v>
      </c>
      <c r="B1139" s="7">
        <v>0.66666666666666663</v>
      </c>
      <c r="C1139" s="5">
        <v>81</v>
      </c>
      <c r="D1139" s="5">
        <v>81.45</v>
      </c>
      <c r="E1139" s="5">
        <v>79.510000000000005</v>
      </c>
      <c r="F1139" s="5">
        <v>79.510000000000005</v>
      </c>
      <c r="G1139" s="5">
        <v>8600</v>
      </c>
      <c r="Q1139" s="6">
        <v>39920</v>
      </c>
      <c r="R1139" s="7">
        <v>0.66666666666666663</v>
      </c>
      <c r="S1139" s="5">
        <v>125.33</v>
      </c>
      <c r="T1139" s="5">
        <v>127.99</v>
      </c>
      <c r="U1139" s="5">
        <v>119.24</v>
      </c>
      <c r="V1139" s="5">
        <v>119.24</v>
      </c>
      <c r="W1139" s="5">
        <v>2666200</v>
      </c>
    </row>
    <row r="1140" spans="1:23" x14ac:dyDescent="0.3">
      <c r="A1140" s="6">
        <v>39967</v>
      </c>
      <c r="B1140" s="7">
        <v>0.66666666666666663</v>
      </c>
      <c r="C1140" s="5">
        <v>80</v>
      </c>
      <c r="D1140" s="5">
        <v>83.75</v>
      </c>
      <c r="E1140" s="5">
        <v>80</v>
      </c>
      <c r="F1140" s="5">
        <v>81.25</v>
      </c>
      <c r="G1140" s="5">
        <v>15600</v>
      </c>
      <c r="Q1140" s="6">
        <v>39923</v>
      </c>
      <c r="R1140" s="7">
        <v>0.66666666666666663</v>
      </c>
      <c r="S1140" s="5">
        <v>119.24</v>
      </c>
      <c r="T1140" s="5">
        <v>126.9</v>
      </c>
      <c r="U1140" s="5">
        <v>117</v>
      </c>
      <c r="V1140" s="5">
        <v>124</v>
      </c>
      <c r="W1140" s="5">
        <v>4776700</v>
      </c>
    </row>
    <row r="1141" spans="1:23" x14ac:dyDescent="0.3">
      <c r="A1141" s="6">
        <v>39968</v>
      </c>
      <c r="B1141" s="7">
        <v>0.66666666666666663</v>
      </c>
      <c r="C1141" s="5">
        <v>80.3</v>
      </c>
      <c r="D1141" s="5">
        <v>81.099999999999994</v>
      </c>
      <c r="E1141" s="5">
        <v>80</v>
      </c>
      <c r="F1141" s="5">
        <v>80.06</v>
      </c>
      <c r="G1141" s="5">
        <v>5600</v>
      </c>
      <c r="Q1141" s="6">
        <v>39924</v>
      </c>
      <c r="R1141" s="7">
        <v>0.66666666666666663</v>
      </c>
      <c r="S1141" s="5">
        <v>125.5</v>
      </c>
      <c r="T1141" s="5">
        <v>130.66999999999999</v>
      </c>
      <c r="U1141" s="5">
        <v>125.5</v>
      </c>
      <c r="V1141" s="5">
        <v>130.66999999999999</v>
      </c>
      <c r="W1141" s="5">
        <v>2046800</v>
      </c>
    </row>
    <row r="1142" spans="1:23" x14ac:dyDescent="0.3">
      <c r="A1142" s="6">
        <v>39969</v>
      </c>
      <c r="B1142" s="7">
        <v>0.66666666666666663</v>
      </c>
      <c r="C1142" s="5">
        <v>80.900000000000006</v>
      </c>
      <c r="D1142" s="5">
        <v>82</v>
      </c>
      <c r="E1142" s="5">
        <v>80.099999999999994</v>
      </c>
      <c r="F1142" s="5">
        <v>80.8</v>
      </c>
      <c r="G1142" s="5">
        <v>2000</v>
      </c>
      <c r="Q1142" s="6">
        <v>39925</v>
      </c>
      <c r="R1142" s="7">
        <v>0.66666666666666663</v>
      </c>
      <c r="S1142" s="5">
        <v>130.66999999999999</v>
      </c>
      <c r="T1142" s="5">
        <v>137.19999999999999</v>
      </c>
      <c r="U1142" s="5">
        <v>130</v>
      </c>
      <c r="V1142" s="5">
        <v>137.19999999999999</v>
      </c>
      <c r="W1142" s="5">
        <v>2306100</v>
      </c>
    </row>
    <row r="1143" spans="1:23" x14ac:dyDescent="0.3">
      <c r="A1143" s="6">
        <v>39972</v>
      </c>
      <c r="B1143" s="7">
        <v>0.66666666666666663</v>
      </c>
      <c r="C1143" s="5">
        <v>80.55</v>
      </c>
      <c r="D1143" s="5">
        <v>81.5</v>
      </c>
      <c r="E1143" s="5">
        <v>80.2</v>
      </c>
      <c r="F1143" s="5">
        <v>80.260000000000005</v>
      </c>
      <c r="G1143" s="5">
        <v>3800</v>
      </c>
      <c r="Q1143" s="6">
        <v>39926</v>
      </c>
      <c r="R1143" s="7">
        <v>0.66666666666666663</v>
      </c>
      <c r="S1143" s="5">
        <v>137.19999999999999</v>
      </c>
      <c r="T1143" s="5">
        <v>137.99</v>
      </c>
      <c r="U1143" s="5">
        <v>130.34</v>
      </c>
      <c r="V1143" s="5">
        <v>130.34</v>
      </c>
      <c r="W1143" s="5">
        <v>1396700</v>
      </c>
    </row>
    <row r="1144" spans="1:23" x14ac:dyDescent="0.3">
      <c r="A1144" s="6">
        <v>39973</v>
      </c>
      <c r="B1144" s="7">
        <v>0.66666666666666663</v>
      </c>
      <c r="C1144" s="5">
        <v>84.27</v>
      </c>
      <c r="D1144" s="5">
        <v>84.27</v>
      </c>
      <c r="E1144" s="5">
        <v>80.849999999999994</v>
      </c>
      <c r="F1144" s="5">
        <v>82</v>
      </c>
      <c r="G1144" s="5">
        <v>3400</v>
      </c>
      <c r="Q1144" s="6">
        <v>39927</v>
      </c>
      <c r="R1144" s="7">
        <v>0.66666666666666663</v>
      </c>
      <c r="S1144" s="5">
        <v>130.34</v>
      </c>
      <c r="T1144" s="5">
        <v>136</v>
      </c>
      <c r="U1144" s="5">
        <v>123.83</v>
      </c>
      <c r="V1144" s="5">
        <v>130.97999999999999</v>
      </c>
      <c r="W1144" s="5">
        <v>3963000</v>
      </c>
    </row>
    <row r="1145" spans="1:23" x14ac:dyDescent="0.3">
      <c r="A1145" s="6">
        <v>39974</v>
      </c>
      <c r="B1145" s="7">
        <v>0.66666666666666663</v>
      </c>
      <c r="C1145" s="5">
        <v>80.099999999999994</v>
      </c>
      <c r="D1145" s="5">
        <v>83</v>
      </c>
      <c r="E1145" s="5">
        <v>79.5</v>
      </c>
      <c r="F1145" s="5">
        <v>81.08</v>
      </c>
      <c r="G1145" s="5">
        <v>3900</v>
      </c>
      <c r="Q1145" s="6">
        <v>39930</v>
      </c>
      <c r="R1145" s="7">
        <v>0.66666666666666663</v>
      </c>
      <c r="S1145" s="5">
        <v>130.97999999999999</v>
      </c>
      <c r="T1145" s="5">
        <v>134.4</v>
      </c>
      <c r="U1145" s="5">
        <v>126.97</v>
      </c>
      <c r="V1145" s="5">
        <v>126.97</v>
      </c>
      <c r="W1145" s="5">
        <v>1234600</v>
      </c>
    </row>
    <row r="1146" spans="1:23" x14ac:dyDescent="0.3">
      <c r="A1146" s="6">
        <v>39975</v>
      </c>
      <c r="B1146" s="7">
        <v>0.66666666666666663</v>
      </c>
      <c r="C1146" s="5">
        <v>81</v>
      </c>
      <c r="D1146" s="5">
        <v>81.900000000000006</v>
      </c>
      <c r="E1146" s="5">
        <v>81</v>
      </c>
      <c r="F1146" s="5">
        <v>81.06</v>
      </c>
      <c r="G1146" s="5">
        <v>900</v>
      </c>
      <c r="Q1146" s="6">
        <v>39931</v>
      </c>
      <c r="R1146" s="7">
        <v>0.66666666666666663</v>
      </c>
      <c r="S1146" s="5">
        <v>125.9</v>
      </c>
      <c r="T1146" s="5">
        <v>125.9</v>
      </c>
      <c r="U1146" s="5">
        <v>120.63</v>
      </c>
      <c r="V1146" s="5">
        <v>120.99</v>
      </c>
      <c r="W1146" s="5">
        <v>1968300</v>
      </c>
    </row>
    <row r="1147" spans="1:23" x14ac:dyDescent="0.3">
      <c r="A1147" s="6">
        <v>39976</v>
      </c>
      <c r="B1147" s="7">
        <v>0.66666666666666663</v>
      </c>
      <c r="C1147" s="5">
        <v>82.49</v>
      </c>
      <c r="D1147" s="5">
        <v>82.49</v>
      </c>
      <c r="E1147" s="5">
        <v>81.05</v>
      </c>
      <c r="F1147" s="5">
        <v>81.97</v>
      </c>
      <c r="G1147" s="5">
        <v>1100</v>
      </c>
      <c r="Q1147" s="6">
        <v>39932</v>
      </c>
      <c r="R1147" s="7">
        <v>0.66666666666666663</v>
      </c>
      <c r="S1147" s="5">
        <v>121</v>
      </c>
      <c r="T1147" s="5">
        <v>127.45</v>
      </c>
      <c r="U1147" s="5">
        <v>121</v>
      </c>
      <c r="V1147" s="5">
        <v>124.01</v>
      </c>
      <c r="W1147" s="5">
        <v>2019400</v>
      </c>
    </row>
    <row r="1148" spans="1:23" x14ac:dyDescent="0.3">
      <c r="A1148" s="6">
        <v>39979</v>
      </c>
      <c r="B1148" s="7">
        <v>0.66666666666666663</v>
      </c>
      <c r="C1148" s="5">
        <v>80.45</v>
      </c>
      <c r="D1148" s="5">
        <v>80.45</v>
      </c>
      <c r="E1148" s="5">
        <v>80.45</v>
      </c>
      <c r="F1148" s="5">
        <v>80.45</v>
      </c>
      <c r="G1148" s="5">
        <v>300</v>
      </c>
      <c r="Q1148" s="6">
        <v>39933</v>
      </c>
      <c r="R1148" s="7">
        <v>0.66666666666666663</v>
      </c>
      <c r="S1148" s="5">
        <v>124.01</v>
      </c>
      <c r="T1148" s="5">
        <v>125.6</v>
      </c>
      <c r="U1148" s="5">
        <v>118.51</v>
      </c>
      <c r="V1148" s="5">
        <v>124</v>
      </c>
      <c r="W1148" s="5">
        <v>1552200</v>
      </c>
    </row>
    <row r="1149" spans="1:23" x14ac:dyDescent="0.3">
      <c r="A1149" s="6">
        <v>39980</v>
      </c>
      <c r="B1149" s="7">
        <v>0.66666666666666663</v>
      </c>
      <c r="C1149" s="5">
        <v>80</v>
      </c>
      <c r="D1149" s="5">
        <v>81.8</v>
      </c>
      <c r="E1149" s="5">
        <v>80</v>
      </c>
      <c r="F1149" s="5">
        <v>81.569999999999993</v>
      </c>
      <c r="G1149" s="5">
        <v>2200</v>
      </c>
      <c r="Q1149" s="6">
        <v>39937</v>
      </c>
      <c r="R1149" s="7">
        <v>0.66666666666666663</v>
      </c>
      <c r="S1149" s="5">
        <v>124</v>
      </c>
      <c r="T1149" s="5">
        <v>125.98</v>
      </c>
      <c r="U1149" s="5">
        <v>117.1</v>
      </c>
      <c r="V1149" s="5">
        <v>117.1</v>
      </c>
      <c r="W1149" s="5">
        <v>1090100</v>
      </c>
    </row>
    <row r="1150" spans="1:23" x14ac:dyDescent="0.3">
      <c r="A1150" s="6">
        <v>39981</v>
      </c>
      <c r="B1150" s="7">
        <v>0.66666666666666663</v>
      </c>
      <c r="C1150" s="5">
        <v>80.75</v>
      </c>
      <c r="D1150" s="5">
        <v>85.6</v>
      </c>
      <c r="E1150" s="5">
        <v>80.75</v>
      </c>
      <c r="F1150" s="5">
        <v>84.04</v>
      </c>
      <c r="G1150" s="5">
        <v>33400</v>
      </c>
      <c r="Q1150" s="6">
        <v>39938</v>
      </c>
      <c r="R1150" s="7">
        <v>0.66666666666666663</v>
      </c>
      <c r="S1150" s="5">
        <v>117.1</v>
      </c>
      <c r="T1150" s="5">
        <v>123.42</v>
      </c>
      <c r="U1150" s="5">
        <v>113.33</v>
      </c>
      <c r="V1150" s="5">
        <v>123.42</v>
      </c>
      <c r="W1150" s="5">
        <v>2924000</v>
      </c>
    </row>
    <row r="1151" spans="1:23" x14ac:dyDescent="0.3">
      <c r="A1151" s="6">
        <v>39982</v>
      </c>
      <c r="B1151" s="7">
        <v>0.66666666666666663</v>
      </c>
      <c r="C1151" s="5">
        <v>83.5</v>
      </c>
      <c r="D1151" s="5">
        <v>83.5</v>
      </c>
      <c r="E1151" s="5">
        <v>82</v>
      </c>
      <c r="F1151" s="5">
        <v>82.5</v>
      </c>
      <c r="G1151" s="5">
        <v>3200</v>
      </c>
      <c r="Q1151" s="6">
        <v>39939</v>
      </c>
      <c r="R1151" s="7">
        <v>0.66666666666666663</v>
      </c>
      <c r="S1151" s="5">
        <v>123.42</v>
      </c>
      <c r="T1151" s="5">
        <v>128.66999999999999</v>
      </c>
      <c r="U1151" s="5">
        <v>123.25</v>
      </c>
      <c r="V1151" s="5">
        <v>128.66999999999999</v>
      </c>
      <c r="W1151" s="5">
        <v>1523900</v>
      </c>
    </row>
    <row r="1152" spans="1:23" x14ac:dyDescent="0.3">
      <c r="A1152" s="6">
        <v>39983</v>
      </c>
      <c r="B1152" s="7">
        <v>0.66666666666666663</v>
      </c>
      <c r="C1152" s="5">
        <v>82.2</v>
      </c>
      <c r="D1152" s="5">
        <v>82.2</v>
      </c>
      <c r="E1152" s="5">
        <v>82.2</v>
      </c>
      <c r="F1152" s="5">
        <v>82.2</v>
      </c>
      <c r="G1152" s="5">
        <v>400</v>
      </c>
      <c r="Q1152" s="6">
        <v>39940</v>
      </c>
      <c r="R1152" s="7">
        <v>0.66666666666666663</v>
      </c>
      <c r="S1152" s="5">
        <v>129.25</v>
      </c>
      <c r="T1152" s="5">
        <v>134.25</v>
      </c>
      <c r="U1152" s="5">
        <v>129.25</v>
      </c>
      <c r="V1152" s="5">
        <v>132.01</v>
      </c>
      <c r="W1152" s="5">
        <v>2636000</v>
      </c>
    </row>
    <row r="1153" spans="1:23" x14ac:dyDescent="0.3">
      <c r="A1153" s="6">
        <v>39986</v>
      </c>
      <c r="B1153" s="7">
        <v>0.66666666666666663</v>
      </c>
      <c r="C1153" s="5">
        <v>81.05</v>
      </c>
      <c r="D1153" s="5">
        <v>82.05</v>
      </c>
      <c r="E1153" s="5">
        <v>81</v>
      </c>
      <c r="F1153" s="5">
        <v>81.010000000000005</v>
      </c>
      <c r="G1153" s="5">
        <v>700</v>
      </c>
      <c r="Q1153" s="6">
        <v>39941</v>
      </c>
      <c r="R1153" s="7">
        <v>0.66666666666666663</v>
      </c>
      <c r="S1153" s="5">
        <v>132.01</v>
      </c>
      <c r="T1153" s="5">
        <v>132.69999999999999</v>
      </c>
      <c r="U1153" s="5">
        <v>125.68</v>
      </c>
      <c r="V1153" s="5">
        <v>125.88</v>
      </c>
      <c r="W1153" s="5">
        <v>1679600</v>
      </c>
    </row>
    <row r="1154" spans="1:23" x14ac:dyDescent="0.3">
      <c r="A1154" s="6">
        <v>39987</v>
      </c>
      <c r="B1154" s="7">
        <v>0.66666666666666663</v>
      </c>
      <c r="C1154" s="5">
        <v>82.2</v>
      </c>
      <c r="D1154" s="5">
        <v>82.2</v>
      </c>
      <c r="E1154" s="5">
        <v>81.05</v>
      </c>
      <c r="F1154" s="5">
        <v>81.099999999999994</v>
      </c>
      <c r="G1154" s="5">
        <v>600</v>
      </c>
      <c r="Q1154" s="6">
        <v>39944</v>
      </c>
      <c r="R1154" s="7">
        <v>0.66666666666666663</v>
      </c>
      <c r="S1154" s="5">
        <v>125.88</v>
      </c>
      <c r="T1154" s="5">
        <v>132.5</v>
      </c>
      <c r="U1154" s="5">
        <v>125.6</v>
      </c>
      <c r="V1154" s="5">
        <v>131</v>
      </c>
      <c r="W1154" s="5">
        <v>1423800</v>
      </c>
    </row>
    <row r="1155" spans="1:23" x14ac:dyDescent="0.3">
      <c r="A1155" s="6">
        <v>39988</v>
      </c>
      <c r="B1155" s="7">
        <v>0.66666666666666663</v>
      </c>
      <c r="C1155" s="5">
        <v>81.510000000000005</v>
      </c>
      <c r="D1155" s="5">
        <v>81.510000000000005</v>
      </c>
      <c r="E1155" s="5">
        <v>78</v>
      </c>
      <c r="F1155" s="5">
        <v>79.319999999999993</v>
      </c>
      <c r="G1155" s="5">
        <v>24600</v>
      </c>
      <c r="Q1155" s="6">
        <v>39945</v>
      </c>
      <c r="R1155" s="7">
        <v>0.66666666666666663</v>
      </c>
      <c r="S1155" s="5">
        <v>131</v>
      </c>
      <c r="T1155" s="5">
        <v>136.59</v>
      </c>
      <c r="U1155" s="5">
        <v>130.55000000000001</v>
      </c>
      <c r="V1155" s="5">
        <v>134.9</v>
      </c>
      <c r="W1155" s="5">
        <v>2864500</v>
      </c>
    </row>
    <row r="1156" spans="1:23" x14ac:dyDescent="0.3">
      <c r="A1156" s="6">
        <v>39989</v>
      </c>
      <c r="B1156" s="7">
        <v>0.66666666666666663</v>
      </c>
      <c r="C1156" s="5">
        <v>79.989999999999995</v>
      </c>
      <c r="D1156" s="5">
        <v>80.849999999999994</v>
      </c>
      <c r="E1156" s="5">
        <v>79.27</v>
      </c>
      <c r="F1156" s="5">
        <v>79.459999999999994</v>
      </c>
      <c r="G1156" s="5">
        <v>3700</v>
      </c>
      <c r="Q1156" s="6">
        <v>39946</v>
      </c>
      <c r="R1156" s="7">
        <v>0.66666666666666663</v>
      </c>
      <c r="S1156" s="5">
        <v>134.9</v>
      </c>
      <c r="T1156" s="5">
        <v>139.80000000000001</v>
      </c>
      <c r="U1156" s="5">
        <v>129.31</v>
      </c>
      <c r="V1156" s="5">
        <v>129.31</v>
      </c>
      <c r="W1156" s="5">
        <v>4543000</v>
      </c>
    </row>
    <row r="1157" spans="1:23" x14ac:dyDescent="0.3">
      <c r="A1157" s="6">
        <v>39990</v>
      </c>
      <c r="B1157" s="7">
        <v>0.66666666666666663</v>
      </c>
      <c r="C1157" s="5">
        <v>79.459999999999994</v>
      </c>
      <c r="D1157" s="5">
        <v>82.99</v>
      </c>
      <c r="E1157" s="5">
        <v>79.459999999999994</v>
      </c>
      <c r="F1157" s="5">
        <v>81.93</v>
      </c>
      <c r="G1157" s="5">
        <v>21100</v>
      </c>
      <c r="Q1157" s="6">
        <v>39947</v>
      </c>
      <c r="R1157" s="7">
        <v>0.66666666666666663</v>
      </c>
      <c r="S1157" s="5">
        <v>126.5</v>
      </c>
      <c r="T1157" s="5">
        <v>126.5</v>
      </c>
      <c r="U1157" s="5">
        <v>122.85</v>
      </c>
      <c r="V1157" s="5">
        <v>122.85</v>
      </c>
      <c r="W1157" s="5">
        <v>3393500</v>
      </c>
    </row>
    <row r="1158" spans="1:23" x14ac:dyDescent="0.3">
      <c r="A1158" s="6">
        <v>39993</v>
      </c>
      <c r="B1158" s="7">
        <v>0.66666666666666663</v>
      </c>
      <c r="C1158" s="5">
        <v>81.99</v>
      </c>
      <c r="D1158" s="5">
        <v>82</v>
      </c>
      <c r="E1158" s="5">
        <v>80.81</v>
      </c>
      <c r="F1158" s="5">
        <v>81.02</v>
      </c>
      <c r="G1158" s="5">
        <v>6200</v>
      </c>
      <c r="Q1158" s="6">
        <v>39948</v>
      </c>
      <c r="R1158" s="7">
        <v>0.66666666666666663</v>
      </c>
      <c r="S1158" s="5">
        <v>122.85</v>
      </c>
      <c r="T1158" s="5">
        <v>125.19</v>
      </c>
      <c r="U1158" s="5">
        <v>119.7</v>
      </c>
      <c r="V1158" s="5">
        <v>122</v>
      </c>
      <c r="W1158" s="5">
        <v>3019000</v>
      </c>
    </row>
    <row r="1159" spans="1:23" x14ac:dyDescent="0.3">
      <c r="A1159" s="6">
        <v>39994</v>
      </c>
      <c r="B1159" s="7">
        <v>0.66666666666666663</v>
      </c>
      <c r="C1159" s="5">
        <v>80.8</v>
      </c>
      <c r="D1159" s="5">
        <v>80.8</v>
      </c>
      <c r="E1159" s="5">
        <v>80.069999999999993</v>
      </c>
      <c r="F1159" s="5">
        <v>80.2</v>
      </c>
      <c r="G1159" s="5">
        <v>1600</v>
      </c>
      <c r="Q1159" s="6">
        <v>39951</v>
      </c>
      <c r="R1159" s="7">
        <v>0.66666666666666663</v>
      </c>
      <c r="S1159" s="5">
        <v>122</v>
      </c>
      <c r="T1159" s="5">
        <v>125</v>
      </c>
      <c r="U1159" s="5">
        <v>121.06</v>
      </c>
      <c r="V1159" s="5">
        <v>122.7</v>
      </c>
      <c r="W1159" s="5">
        <v>1274700</v>
      </c>
    </row>
    <row r="1160" spans="1:23" x14ac:dyDescent="0.3">
      <c r="A1160" s="6">
        <v>39995</v>
      </c>
      <c r="B1160" s="7">
        <v>0.66666666666666663</v>
      </c>
      <c r="C1160" s="5">
        <v>78.25</v>
      </c>
      <c r="D1160" s="5">
        <v>81.400000000000006</v>
      </c>
      <c r="E1160" s="5">
        <v>78.25</v>
      </c>
      <c r="F1160" s="5">
        <v>81.349999999999994</v>
      </c>
      <c r="G1160" s="5">
        <v>700</v>
      </c>
      <c r="Q1160" s="6">
        <v>39952</v>
      </c>
      <c r="R1160" s="7">
        <v>0.66666666666666663</v>
      </c>
      <c r="S1160" s="5">
        <v>122.7</v>
      </c>
      <c r="T1160" s="5">
        <v>125</v>
      </c>
      <c r="U1160" s="5">
        <v>118.5</v>
      </c>
      <c r="V1160" s="5">
        <v>118.62</v>
      </c>
      <c r="W1160" s="5">
        <v>947500</v>
      </c>
    </row>
    <row r="1161" spans="1:23" x14ac:dyDescent="0.3">
      <c r="A1161" s="6">
        <v>39996</v>
      </c>
      <c r="B1161" s="7">
        <v>0.66666666666666663</v>
      </c>
      <c r="C1161" s="5">
        <v>80.36</v>
      </c>
      <c r="D1161" s="5">
        <v>82</v>
      </c>
      <c r="E1161" s="5">
        <v>80.36</v>
      </c>
      <c r="F1161" s="5">
        <v>81.760000000000005</v>
      </c>
      <c r="G1161" s="5">
        <v>10400</v>
      </c>
      <c r="Q1161" s="6">
        <v>39953</v>
      </c>
      <c r="R1161" s="7">
        <v>0.66666666666666663</v>
      </c>
      <c r="S1161" s="5">
        <v>118.62</v>
      </c>
      <c r="T1161" s="5">
        <v>121.2</v>
      </c>
      <c r="U1161" s="5">
        <v>115.1</v>
      </c>
      <c r="V1161" s="5">
        <v>119.45</v>
      </c>
      <c r="W1161" s="5">
        <v>1948500</v>
      </c>
    </row>
    <row r="1162" spans="1:23" x14ac:dyDescent="0.3">
      <c r="A1162" s="6">
        <v>39997</v>
      </c>
      <c r="B1162" s="7">
        <v>0.66666666666666663</v>
      </c>
      <c r="C1162" s="5">
        <v>79.25</v>
      </c>
      <c r="D1162" s="5">
        <v>81.5</v>
      </c>
      <c r="E1162" s="5">
        <v>79.25</v>
      </c>
      <c r="F1162" s="5">
        <v>81.03</v>
      </c>
      <c r="G1162" s="5">
        <v>3300</v>
      </c>
      <c r="Q1162" s="6">
        <v>39954</v>
      </c>
      <c r="R1162" s="7">
        <v>0.66666666666666663</v>
      </c>
      <c r="S1162" s="5">
        <v>118.75</v>
      </c>
      <c r="T1162" s="5">
        <v>118.75</v>
      </c>
      <c r="U1162" s="5">
        <v>113.93</v>
      </c>
      <c r="V1162" s="5">
        <v>116.77</v>
      </c>
      <c r="W1162" s="5">
        <v>2157900</v>
      </c>
    </row>
    <row r="1163" spans="1:23" x14ac:dyDescent="0.3">
      <c r="A1163" s="6">
        <v>40000</v>
      </c>
      <c r="B1163" s="7">
        <v>0.66666666666666663</v>
      </c>
      <c r="C1163" s="5">
        <v>81.099999999999994</v>
      </c>
      <c r="D1163" s="5">
        <v>81.48</v>
      </c>
      <c r="E1163" s="5">
        <v>80.099999999999994</v>
      </c>
      <c r="F1163" s="5">
        <v>81</v>
      </c>
      <c r="G1163" s="5">
        <v>4000</v>
      </c>
      <c r="Q1163" s="6">
        <v>39955</v>
      </c>
      <c r="R1163" s="7">
        <v>0.66666666666666663</v>
      </c>
      <c r="S1163" s="5">
        <v>119.03</v>
      </c>
      <c r="T1163" s="5">
        <v>122.6</v>
      </c>
      <c r="U1163" s="5">
        <v>119.03</v>
      </c>
      <c r="V1163" s="5">
        <v>122.6</v>
      </c>
      <c r="W1163" s="5">
        <v>2392800</v>
      </c>
    </row>
    <row r="1164" spans="1:23" x14ac:dyDescent="0.3">
      <c r="A1164" s="6">
        <v>40001</v>
      </c>
      <c r="B1164" s="7">
        <v>0.66666666666666663</v>
      </c>
      <c r="C1164" s="5">
        <v>81</v>
      </c>
      <c r="D1164" s="5">
        <v>82</v>
      </c>
      <c r="E1164" s="5">
        <v>81</v>
      </c>
      <c r="F1164" s="5">
        <v>81</v>
      </c>
      <c r="G1164" s="5">
        <v>12900</v>
      </c>
      <c r="Q1164" s="6">
        <v>39958</v>
      </c>
      <c r="R1164" s="7">
        <v>0.66666666666666663</v>
      </c>
      <c r="S1164" s="5">
        <v>123</v>
      </c>
      <c r="T1164" s="5">
        <v>128.54</v>
      </c>
      <c r="U1164" s="5">
        <v>123</v>
      </c>
      <c r="V1164" s="5">
        <v>127.12</v>
      </c>
      <c r="W1164" s="5">
        <v>3966100</v>
      </c>
    </row>
    <row r="1165" spans="1:23" x14ac:dyDescent="0.3">
      <c r="A1165" s="6">
        <v>40002</v>
      </c>
      <c r="B1165" s="7">
        <v>0.66666666666666663</v>
      </c>
      <c r="C1165" s="5">
        <v>80.05</v>
      </c>
      <c r="D1165" s="5">
        <v>80.94</v>
      </c>
      <c r="E1165" s="5">
        <v>80.010000000000005</v>
      </c>
      <c r="F1165" s="5">
        <v>80.09</v>
      </c>
      <c r="G1165" s="5">
        <v>4800</v>
      </c>
      <c r="Q1165" s="6">
        <v>39959</v>
      </c>
      <c r="R1165" s="7">
        <v>0.66666666666666663</v>
      </c>
      <c r="S1165" s="5">
        <v>127.12</v>
      </c>
      <c r="T1165" s="5">
        <v>129.30000000000001</v>
      </c>
      <c r="U1165" s="5">
        <v>124.01</v>
      </c>
      <c r="V1165" s="5">
        <v>124.44</v>
      </c>
      <c r="W1165" s="5">
        <v>2265300</v>
      </c>
    </row>
    <row r="1166" spans="1:23" x14ac:dyDescent="0.3">
      <c r="A1166" s="6">
        <v>40003</v>
      </c>
      <c r="B1166" s="7">
        <v>0.66666666666666663</v>
      </c>
      <c r="C1166" s="5">
        <v>80.010000000000005</v>
      </c>
      <c r="D1166" s="5">
        <v>81.099999999999994</v>
      </c>
      <c r="E1166" s="5">
        <v>80.010000000000005</v>
      </c>
      <c r="F1166" s="5">
        <v>81.05</v>
      </c>
      <c r="G1166" s="5">
        <v>3500</v>
      </c>
      <c r="Q1166" s="6">
        <v>39960</v>
      </c>
      <c r="R1166" s="7">
        <v>0.66666666666666663</v>
      </c>
      <c r="S1166" s="5">
        <v>124.44</v>
      </c>
      <c r="T1166" s="5">
        <v>127.7</v>
      </c>
      <c r="U1166" s="5">
        <v>123</v>
      </c>
      <c r="V1166" s="5">
        <v>123.5</v>
      </c>
      <c r="W1166" s="5">
        <v>1218000</v>
      </c>
    </row>
    <row r="1167" spans="1:23" x14ac:dyDescent="0.3">
      <c r="A1167" s="6">
        <v>40004</v>
      </c>
      <c r="B1167" s="7">
        <v>0.66666666666666663</v>
      </c>
      <c r="C1167" s="5">
        <v>80.02</v>
      </c>
      <c r="D1167" s="5">
        <v>82</v>
      </c>
      <c r="E1167" s="5">
        <v>80.02</v>
      </c>
      <c r="F1167" s="5">
        <v>81.91</v>
      </c>
      <c r="G1167" s="5">
        <v>2300</v>
      </c>
      <c r="Q1167" s="6">
        <v>39961</v>
      </c>
      <c r="R1167" s="7">
        <v>0.66666666666666663</v>
      </c>
      <c r="S1167" s="5">
        <v>124.05</v>
      </c>
      <c r="T1167" s="5">
        <v>127.75</v>
      </c>
      <c r="U1167" s="5">
        <v>124.05</v>
      </c>
      <c r="V1167" s="5">
        <v>125.2</v>
      </c>
      <c r="W1167" s="5">
        <v>1819600</v>
      </c>
    </row>
    <row r="1168" spans="1:23" x14ac:dyDescent="0.3">
      <c r="A1168" s="6">
        <v>40007</v>
      </c>
      <c r="B1168" s="7">
        <v>0.66666666666666663</v>
      </c>
      <c r="C1168" s="5">
        <v>81.55</v>
      </c>
      <c r="D1168" s="5">
        <v>83</v>
      </c>
      <c r="E1168" s="5">
        <v>81.55</v>
      </c>
      <c r="F1168" s="5">
        <v>82.57</v>
      </c>
      <c r="G1168" s="5">
        <v>16400</v>
      </c>
      <c r="Q1168" s="6">
        <v>39962</v>
      </c>
      <c r="R1168" s="7">
        <v>0.66666666666666663</v>
      </c>
      <c r="S1168" s="5">
        <v>125.5</v>
      </c>
      <c r="T1168" s="5">
        <v>132.5</v>
      </c>
      <c r="U1168" s="5">
        <v>125.5</v>
      </c>
      <c r="V1168" s="5">
        <v>127.18</v>
      </c>
      <c r="W1168" s="5">
        <v>4134100</v>
      </c>
    </row>
    <row r="1169" spans="1:23" x14ac:dyDescent="0.3">
      <c r="A1169" s="6">
        <v>40008</v>
      </c>
      <c r="B1169" s="7">
        <v>0.66666666666666663</v>
      </c>
      <c r="C1169" s="5">
        <v>82.02</v>
      </c>
      <c r="D1169" s="5">
        <v>82.25</v>
      </c>
      <c r="E1169" s="5">
        <v>81.5</v>
      </c>
      <c r="F1169" s="5">
        <v>81.83</v>
      </c>
      <c r="G1169" s="5">
        <v>8000</v>
      </c>
      <c r="Q1169" s="6">
        <v>39965</v>
      </c>
      <c r="R1169" s="7">
        <v>0.66666666666666663</v>
      </c>
      <c r="S1169" s="5">
        <v>127.18</v>
      </c>
      <c r="T1169" s="5">
        <v>129.5</v>
      </c>
      <c r="U1169" s="5">
        <v>123.1</v>
      </c>
      <c r="V1169" s="5">
        <v>123.11</v>
      </c>
      <c r="W1169" s="5">
        <v>1337700</v>
      </c>
    </row>
    <row r="1170" spans="1:23" x14ac:dyDescent="0.3">
      <c r="A1170" s="6">
        <v>40009</v>
      </c>
      <c r="B1170" s="7">
        <v>0.66666666666666663</v>
      </c>
      <c r="C1170" s="5">
        <v>81.83</v>
      </c>
      <c r="D1170" s="5">
        <v>82.49</v>
      </c>
      <c r="E1170" s="5">
        <v>81.83</v>
      </c>
      <c r="F1170" s="5">
        <v>81.900000000000006</v>
      </c>
      <c r="G1170" s="5">
        <v>3900</v>
      </c>
      <c r="Q1170" s="6">
        <v>39966</v>
      </c>
      <c r="R1170" s="7">
        <v>0.66666666666666663</v>
      </c>
      <c r="S1170" s="5">
        <v>123.11</v>
      </c>
      <c r="T1170" s="5">
        <v>125.9</v>
      </c>
      <c r="U1170" s="5">
        <v>120.5</v>
      </c>
      <c r="V1170" s="5">
        <v>123</v>
      </c>
      <c r="W1170" s="5">
        <v>1005700</v>
      </c>
    </row>
    <row r="1171" spans="1:23" x14ac:dyDescent="0.3">
      <c r="A1171" s="6">
        <v>40010</v>
      </c>
      <c r="B1171" s="7">
        <v>0.66666666666666663</v>
      </c>
      <c r="C1171" s="5">
        <v>82</v>
      </c>
      <c r="D1171" s="5">
        <v>82.75</v>
      </c>
      <c r="E1171" s="5">
        <v>81.900000000000006</v>
      </c>
      <c r="F1171" s="5">
        <v>81.900000000000006</v>
      </c>
      <c r="G1171" s="5">
        <v>3300</v>
      </c>
      <c r="Q1171" s="6">
        <v>39967</v>
      </c>
      <c r="R1171" s="7">
        <v>0.66666666666666663</v>
      </c>
      <c r="S1171" s="5">
        <v>123</v>
      </c>
      <c r="T1171" s="5">
        <v>125</v>
      </c>
      <c r="U1171" s="5">
        <v>116.43</v>
      </c>
      <c r="V1171" s="5">
        <v>117.7</v>
      </c>
      <c r="W1171" s="5">
        <v>1557800</v>
      </c>
    </row>
    <row r="1172" spans="1:23" x14ac:dyDescent="0.3">
      <c r="A1172" s="6">
        <v>40011</v>
      </c>
      <c r="B1172" s="7">
        <v>0.66666666666666663</v>
      </c>
      <c r="C1172" s="5">
        <v>82</v>
      </c>
      <c r="D1172" s="5">
        <v>82</v>
      </c>
      <c r="E1172" s="5">
        <v>81.7</v>
      </c>
      <c r="F1172" s="5">
        <v>82</v>
      </c>
      <c r="G1172" s="5">
        <v>2600</v>
      </c>
      <c r="Q1172" s="6">
        <v>39968</v>
      </c>
      <c r="R1172" s="7">
        <v>0.66666666666666663</v>
      </c>
      <c r="S1172" s="5">
        <v>117.7</v>
      </c>
      <c r="T1172" s="5">
        <v>119.99</v>
      </c>
      <c r="U1172" s="5">
        <v>116</v>
      </c>
      <c r="V1172" s="5">
        <v>118.64</v>
      </c>
      <c r="W1172" s="5">
        <v>1646100</v>
      </c>
    </row>
    <row r="1173" spans="1:23" x14ac:dyDescent="0.3">
      <c r="A1173" s="6">
        <v>40014</v>
      </c>
      <c r="B1173" s="7">
        <v>0.66666666666666663</v>
      </c>
      <c r="C1173" s="5">
        <v>82</v>
      </c>
      <c r="D1173" s="5">
        <v>82</v>
      </c>
      <c r="E1173" s="5">
        <v>82</v>
      </c>
      <c r="F1173" s="5">
        <v>82</v>
      </c>
      <c r="G1173" s="5">
        <v>2300</v>
      </c>
      <c r="Q1173" s="6">
        <v>39969</v>
      </c>
      <c r="R1173" s="7">
        <v>0.66666666666666663</v>
      </c>
      <c r="S1173" s="5">
        <v>118.64</v>
      </c>
      <c r="T1173" s="5">
        <v>122.75</v>
      </c>
      <c r="U1173" s="5">
        <v>118.05</v>
      </c>
      <c r="V1173" s="5">
        <v>121</v>
      </c>
      <c r="W1173" s="5">
        <v>2110700</v>
      </c>
    </row>
    <row r="1174" spans="1:23" x14ac:dyDescent="0.3">
      <c r="A1174" s="6">
        <v>40015</v>
      </c>
      <c r="B1174" s="7">
        <v>0.66666666666666663</v>
      </c>
      <c r="C1174" s="5">
        <v>81</v>
      </c>
      <c r="D1174" s="5">
        <v>83</v>
      </c>
      <c r="E1174" s="5">
        <v>81</v>
      </c>
      <c r="F1174" s="5">
        <v>82.98</v>
      </c>
      <c r="G1174" s="5">
        <v>4473</v>
      </c>
      <c r="Q1174" s="6">
        <v>39972</v>
      </c>
      <c r="R1174" s="7">
        <v>0.66666666666666663</v>
      </c>
      <c r="S1174" s="5">
        <v>121</v>
      </c>
      <c r="T1174" s="5">
        <v>123.35</v>
      </c>
      <c r="U1174" s="5">
        <v>116</v>
      </c>
      <c r="V1174" s="5">
        <v>120.25</v>
      </c>
      <c r="W1174" s="5">
        <v>1568200</v>
      </c>
    </row>
    <row r="1175" spans="1:23" x14ac:dyDescent="0.3">
      <c r="A1175" s="6">
        <v>40016</v>
      </c>
      <c r="B1175" s="7">
        <v>0.66666666666666663</v>
      </c>
      <c r="C1175" s="5">
        <v>82.2</v>
      </c>
      <c r="D1175" s="5">
        <v>83.5</v>
      </c>
      <c r="E1175" s="5">
        <v>82.2</v>
      </c>
      <c r="F1175" s="5">
        <v>82.32</v>
      </c>
      <c r="G1175" s="5">
        <v>4355</v>
      </c>
      <c r="Q1175" s="6">
        <v>39973</v>
      </c>
      <c r="R1175" s="7">
        <v>0.66666666666666663</v>
      </c>
      <c r="S1175" s="5">
        <v>120.6</v>
      </c>
      <c r="T1175" s="5">
        <v>126.15</v>
      </c>
      <c r="U1175" s="5">
        <v>120.6</v>
      </c>
      <c r="V1175" s="5">
        <v>126.08</v>
      </c>
      <c r="W1175" s="5">
        <v>3027300</v>
      </c>
    </row>
    <row r="1176" spans="1:23" x14ac:dyDescent="0.3">
      <c r="A1176" s="6">
        <v>40017</v>
      </c>
      <c r="B1176" s="7">
        <v>0.66666666666666663</v>
      </c>
      <c r="C1176" s="5">
        <v>82.99</v>
      </c>
      <c r="D1176" s="5">
        <v>83.74</v>
      </c>
      <c r="E1176" s="5">
        <v>82.5</v>
      </c>
      <c r="F1176" s="5">
        <v>83.5</v>
      </c>
      <c r="G1176" s="5">
        <v>4469</v>
      </c>
      <c r="Q1176" s="6">
        <v>39974</v>
      </c>
      <c r="R1176" s="7">
        <v>0.66666666666666663</v>
      </c>
      <c r="S1176" s="5">
        <v>126.08</v>
      </c>
      <c r="T1176" s="5">
        <v>128.80000000000001</v>
      </c>
      <c r="U1176" s="5">
        <v>123.1</v>
      </c>
      <c r="V1176" s="5">
        <v>123.98</v>
      </c>
      <c r="W1176" s="5">
        <v>2970600</v>
      </c>
    </row>
    <row r="1177" spans="1:23" x14ac:dyDescent="0.3">
      <c r="A1177" s="6">
        <v>40018</v>
      </c>
      <c r="B1177" s="7">
        <v>0.66666666666666663</v>
      </c>
      <c r="C1177" s="5">
        <v>83.6</v>
      </c>
      <c r="D1177" s="5">
        <v>84.89</v>
      </c>
      <c r="E1177" s="5">
        <v>83.3</v>
      </c>
      <c r="F1177" s="5">
        <v>84.01</v>
      </c>
      <c r="G1177" s="5">
        <v>12571</v>
      </c>
      <c r="Q1177" s="6">
        <v>39975</v>
      </c>
      <c r="R1177" s="7">
        <v>0.66666666666666663</v>
      </c>
      <c r="S1177" s="5">
        <v>123.98</v>
      </c>
      <c r="T1177" s="5">
        <v>127.49</v>
      </c>
      <c r="U1177" s="5">
        <v>123.41</v>
      </c>
      <c r="V1177" s="5">
        <v>125.39</v>
      </c>
      <c r="W1177" s="5">
        <v>1916400</v>
      </c>
    </row>
    <row r="1178" spans="1:23" x14ac:dyDescent="0.3">
      <c r="A1178" s="6">
        <v>40021</v>
      </c>
      <c r="B1178" s="7">
        <v>0.66666666666666663</v>
      </c>
      <c r="C1178" s="5">
        <v>85</v>
      </c>
      <c r="D1178" s="5">
        <v>88.21</v>
      </c>
      <c r="E1178" s="5">
        <v>85</v>
      </c>
      <c r="F1178" s="5">
        <v>88.21</v>
      </c>
      <c r="G1178" s="5">
        <v>17177</v>
      </c>
      <c r="Q1178" s="6">
        <v>39976</v>
      </c>
      <c r="R1178" s="7">
        <v>0.66666666666666663</v>
      </c>
      <c r="S1178" s="5">
        <v>125.39</v>
      </c>
      <c r="T1178" s="5">
        <v>126.59</v>
      </c>
      <c r="U1178" s="5">
        <v>122.71</v>
      </c>
      <c r="V1178" s="5">
        <v>123.42</v>
      </c>
      <c r="W1178" s="5">
        <v>879500</v>
      </c>
    </row>
    <row r="1179" spans="1:23" x14ac:dyDescent="0.3">
      <c r="A1179" s="6">
        <v>40022</v>
      </c>
      <c r="B1179" s="7">
        <v>0.66666666666666663</v>
      </c>
      <c r="C1179" s="5">
        <v>92.62</v>
      </c>
      <c r="D1179" s="5">
        <v>92.62</v>
      </c>
      <c r="E1179" s="5">
        <v>92.62</v>
      </c>
      <c r="F1179" s="5">
        <v>92.62</v>
      </c>
      <c r="G1179" s="5">
        <v>58710</v>
      </c>
      <c r="Q1179" s="6">
        <v>39979</v>
      </c>
      <c r="R1179" s="7">
        <v>0.66666666666666663</v>
      </c>
      <c r="S1179" s="5">
        <v>123.42</v>
      </c>
      <c r="T1179" s="5">
        <v>127.4</v>
      </c>
      <c r="U1179" s="5">
        <v>120.5</v>
      </c>
      <c r="V1179" s="5">
        <v>121.97</v>
      </c>
      <c r="W1179" s="5">
        <v>1537600</v>
      </c>
    </row>
    <row r="1180" spans="1:23" x14ac:dyDescent="0.3">
      <c r="A1180" s="6">
        <v>40023</v>
      </c>
      <c r="B1180" s="7">
        <v>0.66666666666666663</v>
      </c>
      <c r="C1180" s="5">
        <v>97</v>
      </c>
      <c r="D1180" s="5">
        <v>97.25</v>
      </c>
      <c r="E1180" s="5">
        <v>95.99</v>
      </c>
      <c r="F1180" s="5">
        <v>97.25</v>
      </c>
      <c r="G1180" s="5">
        <v>47027</v>
      </c>
      <c r="Q1180" s="6">
        <v>39980</v>
      </c>
      <c r="R1180" s="7">
        <v>0.66666666666666663</v>
      </c>
      <c r="S1180" s="5">
        <v>121.97</v>
      </c>
      <c r="T1180" s="5">
        <v>123.5</v>
      </c>
      <c r="U1180" s="5">
        <v>120.8</v>
      </c>
      <c r="V1180" s="5">
        <v>122.26</v>
      </c>
      <c r="W1180" s="5">
        <v>617000</v>
      </c>
    </row>
    <row r="1181" spans="1:23" x14ac:dyDescent="0.3">
      <c r="A1181" s="6">
        <v>40024</v>
      </c>
      <c r="B1181" s="7">
        <v>0.66666666666666663</v>
      </c>
      <c r="C1181" s="5">
        <v>102.11</v>
      </c>
      <c r="D1181" s="5">
        <v>102.11</v>
      </c>
      <c r="E1181" s="5">
        <v>95.26</v>
      </c>
      <c r="F1181" s="5">
        <v>99.06</v>
      </c>
      <c r="G1181" s="5">
        <v>151275</v>
      </c>
      <c r="Q1181" s="6">
        <v>39981</v>
      </c>
      <c r="R1181" s="7">
        <v>0.66666666666666663</v>
      </c>
      <c r="S1181" s="5">
        <v>122.95</v>
      </c>
      <c r="T1181" s="5">
        <v>127.95</v>
      </c>
      <c r="U1181" s="5">
        <v>122.95</v>
      </c>
      <c r="V1181" s="5">
        <v>127.11</v>
      </c>
      <c r="W1181" s="5">
        <v>1752600</v>
      </c>
    </row>
    <row r="1182" spans="1:23" x14ac:dyDescent="0.3">
      <c r="A1182" s="6">
        <v>40025</v>
      </c>
      <c r="B1182" s="7">
        <v>0.66666666666666663</v>
      </c>
      <c r="C1182" s="5">
        <v>100</v>
      </c>
      <c r="D1182" s="5">
        <v>104.01</v>
      </c>
      <c r="E1182" s="5">
        <v>100</v>
      </c>
      <c r="F1182" s="5">
        <v>104.01</v>
      </c>
      <c r="G1182" s="5">
        <v>83039</v>
      </c>
      <c r="Q1182" s="6">
        <v>39982</v>
      </c>
      <c r="R1182" s="7">
        <v>0.66666666666666663</v>
      </c>
      <c r="S1182" s="5">
        <v>127.11</v>
      </c>
      <c r="T1182" s="5">
        <v>128.9</v>
      </c>
      <c r="U1182" s="5">
        <v>122.25</v>
      </c>
      <c r="V1182" s="5">
        <v>123.62</v>
      </c>
      <c r="W1182" s="5">
        <v>1960300</v>
      </c>
    </row>
    <row r="1183" spans="1:23" x14ac:dyDescent="0.3">
      <c r="A1183" s="6">
        <v>40028</v>
      </c>
      <c r="B1183" s="7">
        <v>0.66666666666666663</v>
      </c>
      <c r="C1183" s="5">
        <v>108.4</v>
      </c>
      <c r="D1183" s="5">
        <v>109.21</v>
      </c>
      <c r="E1183" s="5">
        <v>106.05</v>
      </c>
      <c r="F1183" s="5">
        <v>109.21</v>
      </c>
      <c r="G1183" s="5">
        <v>79898</v>
      </c>
      <c r="Q1183" s="6">
        <v>39983</v>
      </c>
      <c r="R1183" s="7">
        <v>0.66666666666666663</v>
      </c>
      <c r="S1183" s="5">
        <v>123.62</v>
      </c>
      <c r="T1183" s="5">
        <v>126.3</v>
      </c>
      <c r="U1183" s="5">
        <v>122.75</v>
      </c>
      <c r="V1183" s="5">
        <v>124.22</v>
      </c>
      <c r="W1183" s="5">
        <v>933500</v>
      </c>
    </row>
    <row r="1184" spans="1:23" x14ac:dyDescent="0.3">
      <c r="A1184" s="6">
        <v>40029</v>
      </c>
      <c r="B1184" s="7">
        <v>0.66666666666666663</v>
      </c>
      <c r="C1184" s="5">
        <v>112.99</v>
      </c>
      <c r="D1184" s="5">
        <v>114.67</v>
      </c>
      <c r="E1184" s="5">
        <v>112.75</v>
      </c>
      <c r="F1184" s="5">
        <v>114.67</v>
      </c>
      <c r="G1184" s="5">
        <v>17027</v>
      </c>
      <c r="Q1184" s="6">
        <v>39986</v>
      </c>
      <c r="R1184" s="7">
        <v>0.66666666666666663</v>
      </c>
      <c r="S1184" s="5">
        <v>124.3</v>
      </c>
      <c r="T1184" s="5">
        <v>126.6</v>
      </c>
      <c r="U1184" s="5">
        <v>124.3</v>
      </c>
      <c r="V1184" s="5">
        <v>124.78</v>
      </c>
      <c r="W1184" s="5">
        <v>1052900</v>
      </c>
    </row>
    <row r="1185" spans="1:23" x14ac:dyDescent="0.3">
      <c r="A1185" s="6">
        <v>40030</v>
      </c>
      <c r="B1185" s="7">
        <v>0.66666666666666663</v>
      </c>
      <c r="C1185" s="5">
        <v>120.4</v>
      </c>
      <c r="D1185" s="5">
        <v>120.4</v>
      </c>
      <c r="E1185" s="5">
        <v>120.4</v>
      </c>
      <c r="F1185" s="5">
        <v>120.4</v>
      </c>
      <c r="G1185" s="5">
        <v>8971</v>
      </c>
      <c r="Q1185" s="6">
        <v>39987</v>
      </c>
      <c r="R1185" s="7">
        <v>0.66666666666666663</v>
      </c>
      <c r="S1185" s="5">
        <v>124.78</v>
      </c>
      <c r="T1185" s="5">
        <v>128.75</v>
      </c>
      <c r="U1185" s="5">
        <v>124.7</v>
      </c>
      <c r="V1185" s="5">
        <v>126.15</v>
      </c>
      <c r="W1185" s="5">
        <v>3083400</v>
      </c>
    </row>
    <row r="1186" spans="1:23" x14ac:dyDescent="0.3">
      <c r="A1186" s="6">
        <v>40031</v>
      </c>
      <c r="B1186" s="7">
        <v>0.66666666666666663</v>
      </c>
      <c r="C1186" s="5">
        <v>126.42</v>
      </c>
      <c r="D1186" s="5">
        <v>126.42</v>
      </c>
      <c r="E1186" s="5">
        <v>117.1</v>
      </c>
      <c r="F1186" s="5">
        <v>118.54</v>
      </c>
      <c r="G1186" s="5">
        <v>111543</v>
      </c>
      <c r="Q1186" s="6">
        <v>39988</v>
      </c>
      <c r="R1186" s="7">
        <v>0.66666666666666663</v>
      </c>
      <c r="S1186" s="5">
        <v>126.15</v>
      </c>
      <c r="T1186" s="5">
        <v>127.45</v>
      </c>
      <c r="U1186" s="5">
        <v>125.27</v>
      </c>
      <c r="V1186" s="5">
        <v>125.57</v>
      </c>
      <c r="W1186" s="5">
        <v>1254400</v>
      </c>
    </row>
    <row r="1187" spans="1:23" x14ac:dyDescent="0.3">
      <c r="A1187" s="6">
        <v>40035</v>
      </c>
      <c r="B1187" s="7">
        <v>0.66666666666666663</v>
      </c>
      <c r="C1187" s="5">
        <v>108.76</v>
      </c>
      <c r="D1187" s="5">
        <v>108.76</v>
      </c>
      <c r="E1187" s="5">
        <v>100.21</v>
      </c>
      <c r="F1187" s="5">
        <v>101.08</v>
      </c>
      <c r="G1187" s="5">
        <v>49113</v>
      </c>
      <c r="Q1187" s="6">
        <v>39989</v>
      </c>
      <c r="R1187" s="7">
        <v>0.66666666666666663</v>
      </c>
      <c r="S1187" s="5">
        <v>125.57</v>
      </c>
      <c r="T1187" s="5">
        <v>126.45</v>
      </c>
      <c r="U1187" s="5">
        <v>124.6</v>
      </c>
      <c r="V1187" s="5">
        <v>125.61</v>
      </c>
      <c r="W1187" s="5">
        <v>616900</v>
      </c>
    </row>
    <row r="1188" spans="1:23" x14ac:dyDescent="0.3">
      <c r="A1188" s="6">
        <v>40036</v>
      </c>
      <c r="B1188" s="7">
        <v>0.66666666666666663</v>
      </c>
      <c r="C1188" s="5">
        <v>100</v>
      </c>
      <c r="D1188" s="5">
        <v>100.05</v>
      </c>
      <c r="E1188" s="5">
        <v>96.03</v>
      </c>
      <c r="F1188" s="5">
        <v>96.04</v>
      </c>
      <c r="G1188" s="5">
        <v>34134</v>
      </c>
      <c r="Q1188" s="6">
        <v>39990</v>
      </c>
      <c r="R1188" s="7">
        <v>0.66666666666666663</v>
      </c>
      <c r="S1188" s="5">
        <v>125.61</v>
      </c>
      <c r="T1188" s="5">
        <v>128.49</v>
      </c>
      <c r="U1188" s="5">
        <v>125.36</v>
      </c>
      <c r="V1188" s="5">
        <v>126.65</v>
      </c>
      <c r="W1188" s="5">
        <v>1485500</v>
      </c>
    </row>
    <row r="1189" spans="1:23" x14ac:dyDescent="0.3">
      <c r="A1189" s="6">
        <v>40037</v>
      </c>
      <c r="B1189" s="7">
        <v>0.66666666666666663</v>
      </c>
      <c r="C1189" s="5">
        <v>93.1</v>
      </c>
      <c r="D1189" s="5">
        <v>95.99</v>
      </c>
      <c r="E1189" s="5">
        <v>92.5</v>
      </c>
      <c r="F1189" s="5">
        <v>93.44</v>
      </c>
      <c r="G1189" s="5">
        <v>30511</v>
      </c>
      <c r="Q1189" s="6">
        <v>39993</v>
      </c>
      <c r="R1189" s="7">
        <v>0.66666666666666663</v>
      </c>
      <c r="S1189" s="5">
        <v>126.65</v>
      </c>
      <c r="T1189" s="5">
        <v>128.4</v>
      </c>
      <c r="U1189" s="5">
        <v>126</v>
      </c>
      <c r="V1189" s="5">
        <v>126.32</v>
      </c>
      <c r="W1189" s="5">
        <v>746500</v>
      </c>
    </row>
    <row r="1190" spans="1:23" x14ac:dyDescent="0.3">
      <c r="A1190" s="6">
        <v>40038</v>
      </c>
      <c r="B1190" s="7">
        <v>0.66666666666666663</v>
      </c>
      <c r="C1190" s="5">
        <v>93.44</v>
      </c>
      <c r="D1190" s="5">
        <v>97.4</v>
      </c>
      <c r="E1190" s="5">
        <v>92.32</v>
      </c>
      <c r="F1190" s="5">
        <v>96</v>
      </c>
      <c r="G1190" s="5">
        <v>14232</v>
      </c>
      <c r="Q1190" s="6">
        <v>39994</v>
      </c>
      <c r="R1190" s="7">
        <v>0.66666666666666663</v>
      </c>
      <c r="S1190" s="5">
        <v>126.32</v>
      </c>
      <c r="T1190" s="5">
        <v>127.1</v>
      </c>
      <c r="U1190" s="5">
        <v>124</v>
      </c>
      <c r="V1190" s="5">
        <v>124.79</v>
      </c>
      <c r="W1190" s="5">
        <v>350300</v>
      </c>
    </row>
    <row r="1191" spans="1:23" x14ac:dyDescent="0.3">
      <c r="A1191" s="6">
        <v>40042</v>
      </c>
      <c r="B1191" s="7">
        <v>0.66666666666666663</v>
      </c>
      <c r="C1191" s="5">
        <v>96</v>
      </c>
      <c r="D1191" s="5">
        <v>96.25</v>
      </c>
      <c r="E1191" s="5">
        <v>94.5</v>
      </c>
      <c r="F1191" s="5">
        <v>95.76</v>
      </c>
      <c r="G1191" s="5">
        <v>16515</v>
      </c>
      <c r="Q1191" s="6">
        <v>39995</v>
      </c>
      <c r="R1191" s="7">
        <v>0.66666666666666663</v>
      </c>
      <c r="S1191" s="5">
        <v>124.79</v>
      </c>
      <c r="T1191" s="5">
        <v>131.02000000000001</v>
      </c>
      <c r="U1191" s="5">
        <v>124.5</v>
      </c>
      <c r="V1191" s="5">
        <v>131.02000000000001</v>
      </c>
      <c r="W1191" s="5">
        <v>1849300</v>
      </c>
    </row>
    <row r="1192" spans="1:23" x14ac:dyDescent="0.3">
      <c r="A1192" s="6">
        <v>40043</v>
      </c>
      <c r="B1192" s="7">
        <v>0.66666666666666663</v>
      </c>
      <c r="C1192" s="5">
        <v>94</v>
      </c>
      <c r="D1192" s="5">
        <v>96.2</v>
      </c>
      <c r="E1192" s="5">
        <v>93.01</v>
      </c>
      <c r="F1192" s="5">
        <v>94.16</v>
      </c>
      <c r="G1192" s="5">
        <v>8226</v>
      </c>
      <c r="Q1192" s="6">
        <v>39996</v>
      </c>
      <c r="R1192" s="7">
        <v>0.66666666666666663</v>
      </c>
      <c r="S1192" s="5">
        <v>133.5</v>
      </c>
      <c r="T1192" s="5">
        <v>137.57</v>
      </c>
      <c r="U1192" s="5">
        <v>133.5</v>
      </c>
      <c r="V1192" s="5">
        <v>137.57</v>
      </c>
      <c r="W1192" s="5">
        <v>741500</v>
      </c>
    </row>
    <row r="1193" spans="1:23" x14ac:dyDescent="0.3">
      <c r="A1193" s="6">
        <v>40044</v>
      </c>
      <c r="B1193" s="7">
        <v>0.66666666666666663</v>
      </c>
      <c r="C1193" s="5">
        <v>95.5</v>
      </c>
      <c r="D1193" s="5">
        <v>95.5</v>
      </c>
      <c r="E1193" s="5">
        <v>90</v>
      </c>
      <c r="F1193" s="5">
        <v>92.95</v>
      </c>
      <c r="G1193" s="5">
        <v>4988</v>
      </c>
      <c r="Q1193" s="6">
        <v>39997</v>
      </c>
      <c r="R1193" s="7">
        <v>0.66666666666666663</v>
      </c>
      <c r="S1193" s="5">
        <v>140.30000000000001</v>
      </c>
      <c r="T1193" s="5">
        <v>144.44</v>
      </c>
      <c r="U1193" s="5">
        <v>140.30000000000001</v>
      </c>
      <c r="V1193" s="5">
        <v>144.36000000000001</v>
      </c>
      <c r="W1193" s="5">
        <v>4001500</v>
      </c>
    </row>
    <row r="1194" spans="1:23" x14ac:dyDescent="0.3">
      <c r="A1194" s="6">
        <v>40045</v>
      </c>
      <c r="B1194" s="7">
        <v>0.66666666666666663</v>
      </c>
      <c r="C1194" s="5">
        <v>91</v>
      </c>
      <c r="D1194" s="5">
        <v>92.9</v>
      </c>
      <c r="E1194" s="5">
        <v>88.31</v>
      </c>
      <c r="F1194" s="5">
        <v>88.5</v>
      </c>
      <c r="G1194" s="5">
        <v>14939</v>
      </c>
      <c r="Q1194" s="6">
        <v>40000</v>
      </c>
      <c r="R1194" s="7">
        <v>0.66666666666666663</v>
      </c>
      <c r="S1194" s="5">
        <v>144.36000000000001</v>
      </c>
      <c r="T1194" s="5">
        <v>148</v>
      </c>
      <c r="U1194" s="5">
        <v>139.18</v>
      </c>
      <c r="V1194" s="5">
        <v>143.18</v>
      </c>
      <c r="W1194" s="5">
        <v>4400100</v>
      </c>
    </row>
    <row r="1195" spans="1:23" x14ac:dyDescent="0.3">
      <c r="A1195" s="6">
        <v>40046</v>
      </c>
      <c r="B1195" s="7">
        <v>0.66666666666666663</v>
      </c>
      <c r="C1195" s="5">
        <v>88.75</v>
      </c>
      <c r="D1195" s="5">
        <v>91.9</v>
      </c>
      <c r="E1195" s="5">
        <v>88</v>
      </c>
      <c r="F1195" s="5">
        <v>91.5</v>
      </c>
      <c r="G1195" s="5">
        <v>4284</v>
      </c>
      <c r="Q1195" s="6">
        <v>40001</v>
      </c>
      <c r="R1195" s="7">
        <v>0.66666666666666663</v>
      </c>
      <c r="S1195" s="5">
        <v>143.18</v>
      </c>
      <c r="T1195" s="5">
        <v>145.9</v>
      </c>
      <c r="U1195" s="5">
        <v>141.5</v>
      </c>
      <c r="V1195" s="5">
        <v>142.55000000000001</v>
      </c>
      <c r="W1195" s="5">
        <v>4878000</v>
      </c>
    </row>
    <row r="1196" spans="1:23" x14ac:dyDescent="0.3">
      <c r="A1196" s="6">
        <v>40049</v>
      </c>
      <c r="B1196" s="7">
        <v>0.66666666666666663</v>
      </c>
      <c r="C1196" s="5">
        <v>92.45</v>
      </c>
      <c r="D1196" s="5">
        <v>92.5</v>
      </c>
      <c r="E1196" s="5">
        <v>91.5</v>
      </c>
      <c r="F1196" s="5">
        <v>92.5</v>
      </c>
      <c r="G1196" s="5">
        <v>2932</v>
      </c>
      <c r="Q1196" s="6">
        <v>40002</v>
      </c>
      <c r="R1196" s="7">
        <v>0.66666666666666663</v>
      </c>
      <c r="S1196" s="5">
        <v>141.9</v>
      </c>
      <c r="T1196" s="5">
        <v>141.9</v>
      </c>
      <c r="U1196" s="5">
        <v>135.43</v>
      </c>
      <c r="V1196" s="5">
        <v>135.53</v>
      </c>
      <c r="W1196" s="5">
        <v>2767400</v>
      </c>
    </row>
    <row r="1197" spans="1:23" x14ac:dyDescent="0.3">
      <c r="A1197" s="6">
        <v>40050</v>
      </c>
      <c r="B1197" s="7">
        <v>0.66666666666666663</v>
      </c>
      <c r="C1197" s="5">
        <v>92.75</v>
      </c>
      <c r="D1197" s="5">
        <v>93</v>
      </c>
      <c r="E1197" s="5">
        <v>90.5</v>
      </c>
      <c r="F1197" s="5">
        <v>91.16</v>
      </c>
      <c r="G1197" s="5">
        <v>5857</v>
      </c>
      <c r="Q1197" s="6">
        <v>40003</v>
      </c>
      <c r="R1197" s="7">
        <v>0.66666666666666663</v>
      </c>
      <c r="S1197" s="5">
        <v>135.53</v>
      </c>
      <c r="T1197" s="5">
        <v>139.38</v>
      </c>
      <c r="U1197" s="5">
        <v>134.41</v>
      </c>
      <c r="V1197" s="5">
        <v>136.18</v>
      </c>
      <c r="W1197" s="5">
        <v>3081500</v>
      </c>
    </row>
    <row r="1198" spans="1:23" x14ac:dyDescent="0.3">
      <c r="A1198" s="6">
        <v>40051</v>
      </c>
      <c r="B1198" s="7">
        <v>0.66666666666666663</v>
      </c>
      <c r="C1198" s="5">
        <v>91.1</v>
      </c>
      <c r="D1198" s="5">
        <v>92</v>
      </c>
      <c r="E1198" s="5">
        <v>91.1</v>
      </c>
      <c r="F1198" s="5">
        <v>91.56</v>
      </c>
      <c r="G1198" s="5">
        <v>6115</v>
      </c>
      <c r="Q1198" s="6">
        <v>40004</v>
      </c>
      <c r="R1198" s="7">
        <v>0.66666666666666663</v>
      </c>
      <c r="S1198" s="5">
        <v>136.18</v>
      </c>
      <c r="T1198" s="5">
        <v>139.80000000000001</v>
      </c>
      <c r="U1198" s="5">
        <v>135.94</v>
      </c>
      <c r="V1198" s="5">
        <v>137.97999999999999</v>
      </c>
      <c r="W1198" s="5">
        <v>1280000</v>
      </c>
    </row>
    <row r="1199" spans="1:23" x14ac:dyDescent="0.3">
      <c r="A1199" s="6">
        <v>40052</v>
      </c>
      <c r="B1199" s="7">
        <v>0.66666666666666663</v>
      </c>
      <c r="C1199" s="5">
        <v>89</v>
      </c>
      <c r="D1199" s="5">
        <v>92</v>
      </c>
      <c r="E1199" s="5">
        <v>89</v>
      </c>
      <c r="F1199" s="5">
        <v>90.49</v>
      </c>
      <c r="G1199" s="5">
        <v>8111</v>
      </c>
      <c r="Q1199" s="6">
        <v>40007</v>
      </c>
      <c r="R1199" s="7">
        <v>0.66666666666666663</v>
      </c>
      <c r="S1199" s="5">
        <v>138.75</v>
      </c>
      <c r="T1199" s="5">
        <v>144.87</v>
      </c>
      <c r="U1199" s="5">
        <v>138.75</v>
      </c>
      <c r="V1199" s="5">
        <v>144.87</v>
      </c>
      <c r="W1199" s="5">
        <v>2730900</v>
      </c>
    </row>
    <row r="1200" spans="1:23" x14ac:dyDescent="0.3">
      <c r="A1200" s="6">
        <v>40053</v>
      </c>
      <c r="B1200" s="7">
        <v>0.66666666666666663</v>
      </c>
      <c r="C1200" s="5">
        <v>90.01</v>
      </c>
      <c r="D1200" s="5">
        <v>91</v>
      </c>
      <c r="E1200" s="5">
        <v>90</v>
      </c>
      <c r="F1200" s="5">
        <v>90.5</v>
      </c>
      <c r="G1200" s="5">
        <v>5755</v>
      </c>
      <c r="Q1200" s="6">
        <v>40008</v>
      </c>
      <c r="R1200" s="7">
        <v>0.66666666666666663</v>
      </c>
      <c r="S1200" s="5">
        <v>144.87</v>
      </c>
      <c r="T1200" s="5">
        <v>152</v>
      </c>
      <c r="U1200" s="5">
        <v>144.19999999999999</v>
      </c>
      <c r="V1200" s="5">
        <v>150.30000000000001</v>
      </c>
      <c r="W1200" s="5">
        <v>4808300</v>
      </c>
    </row>
    <row r="1201" spans="1:23" x14ac:dyDescent="0.3">
      <c r="A1201" s="6">
        <v>40056</v>
      </c>
      <c r="B1201" s="7">
        <v>0.66666666666666663</v>
      </c>
      <c r="C1201" s="5">
        <v>90</v>
      </c>
      <c r="D1201" s="5">
        <v>91.89</v>
      </c>
      <c r="E1201" s="5">
        <v>90</v>
      </c>
      <c r="F1201" s="5">
        <v>91.84</v>
      </c>
      <c r="G1201" s="5">
        <v>4244</v>
      </c>
      <c r="Q1201" s="6">
        <v>40009</v>
      </c>
      <c r="R1201" s="7">
        <v>0.66666666666666663</v>
      </c>
      <c r="S1201" s="5">
        <v>150.30000000000001</v>
      </c>
      <c r="T1201" s="5">
        <v>157.5</v>
      </c>
      <c r="U1201" s="5">
        <v>150.26</v>
      </c>
      <c r="V1201" s="5">
        <v>153.12</v>
      </c>
      <c r="W1201" s="5">
        <v>4622600</v>
      </c>
    </row>
    <row r="1202" spans="1:23" x14ac:dyDescent="0.3">
      <c r="A1202" s="6">
        <v>40057</v>
      </c>
      <c r="B1202" s="7">
        <v>0.66666666666666663</v>
      </c>
      <c r="C1202" s="5">
        <v>92.75</v>
      </c>
      <c r="D1202" s="5">
        <v>93</v>
      </c>
      <c r="E1202" s="5">
        <v>91</v>
      </c>
      <c r="F1202" s="5">
        <v>91.15</v>
      </c>
      <c r="G1202" s="5">
        <v>17686</v>
      </c>
      <c r="Q1202" s="6">
        <v>40010</v>
      </c>
      <c r="R1202" s="7">
        <v>0.66666666666666663</v>
      </c>
      <c r="S1202" s="5">
        <v>153.12</v>
      </c>
      <c r="T1202" s="5">
        <v>155.5</v>
      </c>
      <c r="U1202" s="5">
        <v>147.5</v>
      </c>
      <c r="V1202" s="5">
        <v>152.22999999999999</v>
      </c>
      <c r="W1202" s="5">
        <v>6115000</v>
      </c>
    </row>
    <row r="1203" spans="1:23" x14ac:dyDescent="0.3">
      <c r="A1203" s="6">
        <v>40058</v>
      </c>
      <c r="B1203" s="7">
        <v>0.66666666666666663</v>
      </c>
      <c r="C1203" s="5">
        <v>92.15</v>
      </c>
      <c r="D1203" s="5">
        <v>93</v>
      </c>
      <c r="E1203" s="5">
        <v>91.2</v>
      </c>
      <c r="F1203" s="5">
        <v>92.61</v>
      </c>
      <c r="G1203" s="5">
        <v>11155</v>
      </c>
      <c r="Q1203" s="6">
        <v>40011</v>
      </c>
      <c r="R1203" s="7">
        <v>0.66666666666666663</v>
      </c>
      <c r="S1203" s="5">
        <v>152.22999999999999</v>
      </c>
      <c r="T1203" s="5">
        <v>152.80000000000001</v>
      </c>
      <c r="U1203" s="5">
        <v>148.19999999999999</v>
      </c>
      <c r="V1203" s="5">
        <v>149.24</v>
      </c>
      <c r="W1203" s="5">
        <v>2366000</v>
      </c>
    </row>
    <row r="1204" spans="1:23" x14ac:dyDescent="0.3">
      <c r="A1204" s="6">
        <v>40059</v>
      </c>
      <c r="B1204" s="7">
        <v>0.66666666666666663</v>
      </c>
      <c r="C1204" s="5">
        <v>94.7</v>
      </c>
      <c r="D1204" s="5">
        <v>94.7</v>
      </c>
      <c r="E1204" s="5">
        <v>91.1</v>
      </c>
      <c r="F1204" s="5">
        <v>92</v>
      </c>
      <c r="G1204" s="5">
        <v>7023</v>
      </c>
      <c r="Q1204" s="6">
        <v>40014</v>
      </c>
      <c r="R1204" s="7">
        <v>0.66666666666666663</v>
      </c>
      <c r="S1204" s="5">
        <v>149.24</v>
      </c>
      <c r="T1204" s="5">
        <v>151.69999999999999</v>
      </c>
      <c r="U1204" s="5">
        <v>146.25</v>
      </c>
      <c r="V1204" s="5">
        <v>147.21</v>
      </c>
      <c r="W1204" s="5">
        <v>1077000</v>
      </c>
    </row>
    <row r="1205" spans="1:23" x14ac:dyDescent="0.3">
      <c r="A1205" s="6">
        <v>40060</v>
      </c>
      <c r="B1205" s="7">
        <v>0.66666666666666663</v>
      </c>
      <c r="C1205" s="5">
        <v>92.9</v>
      </c>
      <c r="D1205" s="5">
        <v>93.5</v>
      </c>
      <c r="E1205" s="5">
        <v>89.35</v>
      </c>
      <c r="F1205" s="5">
        <v>92</v>
      </c>
      <c r="G1205" s="5">
        <v>5017</v>
      </c>
      <c r="Q1205" s="6">
        <v>40015</v>
      </c>
      <c r="R1205" s="7">
        <v>0.66666666666666663</v>
      </c>
      <c r="S1205" s="5">
        <v>147.21</v>
      </c>
      <c r="T1205" s="5">
        <v>149.75</v>
      </c>
      <c r="U1205" s="5">
        <v>147</v>
      </c>
      <c r="V1205" s="5">
        <v>147.49</v>
      </c>
      <c r="W1205" s="5">
        <v>980081</v>
      </c>
    </row>
    <row r="1206" spans="1:23" x14ac:dyDescent="0.3">
      <c r="A1206" s="6">
        <v>40063</v>
      </c>
      <c r="B1206" s="7">
        <v>0.66666666666666663</v>
      </c>
      <c r="C1206" s="5">
        <v>91.01</v>
      </c>
      <c r="D1206" s="5">
        <v>92.98</v>
      </c>
      <c r="E1206" s="5">
        <v>91</v>
      </c>
      <c r="F1206" s="5">
        <v>91.03</v>
      </c>
      <c r="G1206" s="5">
        <v>12297</v>
      </c>
      <c r="Q1206" s="6">
        <v>40016</v>
      </c>
      <c r="R1206" s="7">
        <v>0.66666666666666663</v>
      </c>
      <c r="S1206" s="5">
        <v>147.49</v>
      </c>
      <c r="T1206" s="5">
        <v>151.47999999999999</v>
      </c>
      <c r="U1206" s="5">
        <v>147.31</v>
      </c>
      <c r="V1206" s="5">
        <v>147.77000000000001</v>
      </c>
      <c r="W1206" s="5">
        <v>1375080</v>
      </c>
    </row>
    <row r="1207" spans="1:23" x14ac:dyDescent="0.3">
      <c r="A1207" s="6">
        <v>40064</v>
      </c>
      <c r="B1207" s="7">
        <v>0.66666666666666663</v>
      </c>
      <c r="C1207" s="5">
        <v>91.9</v>
      </c>
      <c r="D1207" s="5">
        <v>92</v>
      </c>
      <c r="E1207" s="5">
        <v>90</v>
      </c>
      <c r="F1207" s="5">
        <v>90.23</v>
      </c>
      <c r="G1207" s="5">
        <v>3205</v>
      </c>
      <c r="Q1207" s="6">
        <v>40017</v>
      </c>
      <c r="R1207" s="7">
        <v>0.66666666666666663</v>
      </c>
      <c r="S1207" s="5">
        <v>149</v>
      </c>
      <c r="T1207" s="5">
        <v>152</v>
      </c>
      <c r="U1207" s="5">
        <v>149</v>
      </c>
      <c r="V1207" s="5">
        <v>149.91</v>
      </c>
      <c r="W1207" s="5">
        <v>2159760</v>
      </c>
    </row>
    <row r="1208" spans="1:23" x14ac:dyDescent="0.3">
      <c r="A1208" s="6">
        <v>40065</v>
      </c>
      <c r="B1208" s="7">
        <v>0.66666666666666663</v>
      </c>
      <c r="C1208" s="5">
        <v>90.23</v>
      </c>
      <c r="D1208" s="5">
        <v>91.99</v>
      </c>
      <c r="E1208" s="5">
        <v>90.23</v>
      </c>
      <c r="F1208" s="5">
        <v>91.04</v>
      </c>
      <c r="G1208" s="5">
        <v>9571</v>
      </c>
      <c r="Q1208" s="6">
        <v>40018</v>
      </c>
      <c r="R1208" s="7">
        <v>0.66666666666666663</v>
      </c>
      <c r="S1208" s="5">
        <v>149.91</v>
      </c>
      <c r="T1208" s="5">
        <v>153.9</v>
      </c>
      <c r="U1208" s="5">
        <v>149.5</v>
      </c>
      <c r="V1208" s="5">
        <v>150.66</v>
      </c>
      <c r="W1208" s="5">
        <v>3325185</v>
      </c>
    </row>
    <row r="1209" spans="1:23" x14ac:dyDescent="0.3">
      <c r="A1209" s="6">
        <v>40066</v>
      </c>
      <c r="B1209" s="7">
        <v>0.66666666666666663</v>
      </c>
      <c r="C1209" s="5">
        <v>91</v>
      </c>
      <c r="D1209" s="5">
        <v>91.7</v>
      </c>
      <c r="E1209" s="5">
        <v>90.01</v>
      </c>
      <c r="F1209" s="5">
        <v>90.5</v>
      </c>
      <c r="G1209" s="5">
        <v>3133</v>
      </c>
      <c r="Q1209" s="6">
        <v>40021</v>
      </c>
      <c r="R1209" s="7">
        <v>0.66666666666666663</v>
      </c>
      <c r="S1209" s="5">
        <v>150.66</v>
      </c>
      <c r="T1209" s="5">
        <v>153.99</v>
      </c>
      <c r="U1209" s="5">
        <v>148.5</v>
      </c>
      <c r="V1209" s="5">
        <v>152.13999999999999</v>
      </c>
      <c r="W1209" s="5">
        <v>2775101</v>
      </c>
    </row>
    <row r="1210" spans="1:23" x14ac:dyDescent="0.3">
      <c r="A1210" s="6">
        <v>40067</v>
      </c>
      <c r="B1210" s="7">
        <v>0.66666666666666663</v>
      </c>
      <c r="C1210" s="5">
        <v>92.8</v>
      </c>
      <c r="D1210" s="5">
        <v>92.8</v>
      </c>
      <c r="E1210" s="5">
        <v>90.5</v>
      </c>
      <c r="F1210" s="5">
        <v>90.84</v>
      </c>
      <c r="G1210" s="5">
        <v>10350</v>
      </c>
      <c r="Q1210" s="6">
        <v>40022</v>
      </c>
      <c r="R1210" s="7">
        <v>0.66666666666666663</v>
      </c>
      <c r="S1210" s="5">
        <v>152.13999999999999</v>
      </c>
      <c r="T1210" s="5">
        <v>154.44999999999999</v>
      </c>
      <c r="U1210" s="5">
        <v>149.55000000000001</v>
      </c>
      <c r="V1210" s="5">
        <v>151.88</v>
      </c>
      <c r="W1210" s="5">
        <v>3341805</v>
      </c>
    </row>
    <row r="1211" spans="1:23" x14ac:dyDescent="0.3">
      <c r="A1211" s="6">
        <v>40070</v>
      </c>
      <c r="B1211" s="7">
        <v>0.66666666666666663</v>
      </c>
      <c r="C1211" s="5">
        <v>92.4</v>
      </c>
      <c r="D1211" s="5">
        <v>92.4</v>
      </c>
      <c r="E1211" s="5">
        <v>90</v>
      </c>
      <c r="F1211" s="5">
        <v>90.3</v>
      </c>
      <c r="G1211" s="5">
        <v>6988</v>
      </c>
      <c r="Q1211" s="6">
        <v>40023</v>
      </c>
      <c r="R1211" s="7">
        <v>0.66666666666666663</v>
      </c>
      <c r="S1211" s="5">
        <v>151.88</v>
      </c>
      <c r="T1211" s="5">
        <v>155.4</v>
      </c>
      <c r="U1211" s="5">
        <v>148.19999999999999</v>
      </c>
      <c r="V1211" s="5">
        <v>150.41</v>
      </c>
      <c r="W1211" s="5">
        <v>4444033</v>
      </c>
    </row>
    <row r="1212" spans="1:23" x14ac:dyDescent="0.3">
      <c r="A1212" s="6">
        <v>40071</v>
      </c>
      <c r="B1212" s="7">
        <v>0.66666666666666663</v>
      </c>
      <c r="C1212" s="5">
        <v>91</v>
      </c>
      <c r="D1212" s="5">
        <v>91.48</v>
      </c>
      <c r="E1212" s="5">
        <v>90</v>
      </c>
      <c r="F1212" s="5">
        <v>90</v>
      </c>
      <c r="G1212" s="5">
        <v>4402</v>
      </c>
      <c r="Q1212" s="6">
        <v>40024</v>
      </c>
      <c r="R1212" s="7">
        <v>0.66666666666666663</v>
      </c>
      <c r="S1212" s="5">
        <v>150.41</v>
      </c>
      <c r="T1212" s="5">
        <v>151.5</v>
      </c>
      <c r="U1212" s="5">
        <v>143.1</v>
      </c>
      <c r="V1212" s="5">
        <v>144.5</v>
      </c>
      <c r="W1212" s="5">
        <v>1938089</v>
      </c>
    </row>
    <row r="1213" spans="1:23" x14ac:dyDescent="0.3">
      <c r="A1213" s="6">
        <v>40072</v>
      </c>
      <c r="B1213" s="7">
        <v>0.66666666666666663</v>
      </c>
      <c r="C1213" s="5">
        <v>90.25</v>
      </c>
      <c r="D1213" s="5">
        <v>91</v>
      </c>
      <c r="E1213" s="5">
        <v>90.01</v>
      </c>
      <c r="F1213" s="5">
        <v>90.07</v>
      </c>
      <c r="G1213" s="5">
        <v>3197</v>
      </c>
      <c r="Q1213" s="6">
        <v>40025</v>
      </c>
      <c r="R1213" s="7">
        <v>0.66666666666666663</v>
      </c>
      <c r="S1213" s="5">
        <v>145</v>
      </c>
      <c r="T1213" s="5">
        <v>151.72</v>
      </c>
      <c r="U1213" s="5">
        <v>145</v>
      </c>
      <c r="V1213" s="5">
        <v>151.16</v>
      </c>
      <c r="W1213" s="5">
        <v>1936039</v>
      </c>
    </row>
    <row r="1214" spans="1:23" x14ac:dyDescent="0.3">
      <c r="A1214" s="6">
        <v>40073</v>
      </c>
      <c r="B1214" s="7">
        <v>0.66666666666666663</v>
      </c>
      <c r="C1214" s="5">
        <v>91</v>
      </c>
      <c r="D1214" s="5">
        <v>93</v>
      </c>
      <c r="E1214" s="5">
        <v>91</v>
      </c>
      <c r="F1214" s="5">
        <v>91.25</v>
      </c>
      <c r="G1214" s="5">
        <v>17368</v>
      </c>
      <c r="Q1214" s="6">
        <v>40028</v>
      </c>
      <c r="R1214" s="7">
        <v>0.66666666666666663</v>
      </c>
      <c r="S1214" s="5">
        <v>151.55000000000001</v>
      </c>
      <c r="T1214" s="5">
        <v>154.4</v>
      </c>
      <c r="U1214" s="5">
        <v>151.55000000000001</v>
      </c>
      <c r="V1214" s="5">
        <v>152.75</v>
      </c>
      <c r="W1214" s="5">
        <v>2920079</v>
      </c>
    </row>
    <row r="1215" spans="1:23" x14ac:dyDescent="0.3">
      <c r="A1215" s="6">
        <v>40074</v>
      </c>
      <c r="B1215" s="7">
        <v>0.66666666666666663</v>
      </c>
      <c r="C1215" s="5">
        <v>91</v>
      </c>
      <c r="D1215" s="5">
        <v>92</v>
      </c>
      <c r="E1215" s="5">
        <v>90.6</v>
      </c>
      <c r="F1215" s="5">
        <v>91.5</v>
      </c>
      <c r="G1215" s="5">
        <v>8880</v>
      </c>
      <c r="Q1215" s="6">
        <v>40029</v>
      </c>
      <c r="R1215" s="7">
        <v>0.66666666666666663</v>
      </c>
      <c r="S1215" s="5">
        <v>153.36000000000001</v>
      </c>
      <c r="T1215" s="5">
        <v>157.4</v>
      </c>
      <c r="U1215" s="5">
        <v>153.36000000000001</v>
      </c>
      <c r="V1215" s="5">
        <v>155.93</v>
      </c>
      <c r="W1215" s="5">
        <v>3837255</v>
      </c>
    </row>
    <row r="1216" spans="1:23" x14ac:dyDescent="0.3">
      <c r="A1216" s="6">
        <v>40080</v>
      </c>
      <c r="B1216" s="7">
        <v>0.66666666666666663</v>
      </c>
      <c r="C1216" s="5">
        <v>91.9</v>
      </c>
      <c r="D1216" s="5">
        <v>96</v>
      </c>
      <c r="E1216" s="5">
        <v>91.9</v>
      </c>
      <c r="F1216" s="5">
        <v>92.69</v>
      </c>
      <c r="G1216" s="5">
        <v>30236</v>
      </c>
      <c r="Q1216" s="6">
        <v>40030</v>
      </c>
      <c r="R1216" s="7">
        <v>0.66666666666666663</v>
      </c>
      <c r="S1216" s="5">
        <v>155.93</v>
      </c>
      <c r="T1216" s="5">
        <v>159.25</v>
      </c>
      <c r="U1216" s="5">
        <v>154.01</v>
      </c>
      <c r="V1216" s="5">
        <v>155.88</v>
      </c>
      <c r="W1216" s="5">
        <v>3270211</v>
      </c>
    </row>
    <row r="1217" spans="1:23" x14ac:dyDescent="0.3">
      <c r="A1217" s="6">
        <v>40081</v>
      </c>
      <c r="B1217" s="7">
        <v>0.66666666666666663</v>
      </c>
      <c r="C1217" s="5">
        <v>94.5</v>
      </c>
      <c r="D1217" s="5">
        <v>94.5</v>
      </c>
      <c r="E1217" s="5">
        <v>92</v>
      </c>
      <c r="F1217" s="5">
        <v>93.09</v>
      </c>
      <c r="G1217" s="5">
        <v>19756</v>
      </c>
      <c r="Q1217" s="6">
        <v>40031</v>
      </c>
      <c r="R1217" s="7">
        <v>0.66666666666666663</v>
      </c>
      <c r="S1217" s="5">
        <v>155.88</v>
      </c>
      <c r="T1217" s="5">
        <v>157.24</v>
      </c>
      <c r="U1217" s="5">
        <v>153.01</v>
      </c>
      <c r="V1217" s="5">
        <v>153.71</v>
      </c>
      <c r="W1217" s="5">
        <v>1456357</v>
      </c>
    </row>
    <row r="1218" spans="1:23" x14ac:dyDescent="0.3">
      <c r="A1218" s="6">
        <v>40084</v>
      </c>
      <c r="B1218" s="7">
        <v>0.66666666666666663</v>
      </c>
      <c r="C1218" s="5">
        <v>93</v>
      </c>
      <c r="D1218" s="5">
        <v>94.49</v>
      </c>
      <c r="E1218" s="5">
        <v>92.3</v>
      </c>
      <c r="F1218" s="5">
        <v>93.05</v>
      </c>
      <c r="G1218" s="5">
        <v>14744</v>
      </c>
      <c r="Q1218" s="6">
        <v>40035</v>
      </c>
      <c r="R1218" s="7">
        <v>0.66666666666666663</v>
      </c>
      <c r="S1218" s="5">
        <v>156.30000000000001</v>
      </c>
      <c r="T1218" s="5">
        <v>160.4</v>
      </c>
      <c r="U1218" s="5">
        <v>156.30000000000001</v>
      </c>
      <c r="V1218" s="5">
        <v>159.66999999999999</v>
      </c>
      <c r="W1218" s="5">
        <v>3232797</v>
      </c>
    </row>
    <row r="1219" spans="1:23" x14ac:dyDescent="0.3">
      <c r="A1219" s="6">
        <v>40085</v>
      </c>
      <c r="B1219" s="7">
        <v>0.66666666666666663</v>
      </c>
      <c r="C1219" s="5">
        <v>94.5</v>
      </c>
      <c r="D1219" s="5">
        <v>96</v>
      </c>
      <c r="E1219" s="5">
        <v>94</v>
      </c>
      <c r="F1219" s="5">
        <v>95.02</v>
      </c>
      <c r="G1219" s="5">
        <v>17569</v>
      </c>
      <c r="Q1219" s="6">
        <v>40036</v>
      </c>
      <c r="R1219" s="7">
        <v>0.66666666666666663</v>
      </c>
      <c r="S1219" s="5">
        <v>159.66999999999999</v>
      </c>
      <c r="T1219" s="5">
        <v>161.35</v>
      </c>
      <c r="U1219" s="5">
        <v>155</v>
      </c>
      <c r="V1219" s="5">
        <v>155.97999999999999</v>
      </c>
      <c r="W1219" s="5">
        <v>2696997</v>
      </c>
    </row>
    <row r="1220" spans="1:23" x14ac:dyDescent="0.3">
      <c r="A1220" s="6">
        <v>40086</v>
      </c>
      <c r="B1220" s="7">
        <v>0.66666666666666663</v>
      </c>
      <c r="C1220" s="5">
        <v>95.51</v>
      </c>
      <c r="D1220" s="5">
        <v>96.25</v>
      </c>
      <c r="E1220" s="5">
        <v>93</v>
      </c>
      <c r="F1220" s="5">
        <v>93</v>
      </c>
      <c r="G1220" s="5">
        <v>22467</v>
      </c>
      <c r="Q1220" s="6">
        <v>40037</v>
      </c>
      <c r="R1220" s="7">
        <v>0.66666666666666663</v>
      </c>
      <c r="S1220" s="5">
        <v>155.97999999999999</v>
      </c>
      <c r="T1220" s="5">
        <v>158.35</v>
      </c>
      <c r="U1220" s="5">
        <v>153.9</v>
      </c>
      <c r="V1220" s="5">
        <v>154.41999999999999</v>
      </c>
      <c r="W1220" s="5">
        <v>1482038</v>
      </c>
    </row>
    <row r="1221" spans="1:23" x14ac:dyDescent="0.3">
      <c r="A1221" s="6">
        <v>40087</v>
      </c>
      <c r="B1221" s="7">
        <v>0.66666666666666663</v>
      </c>
      <c r="C1221" s="5">
        <v>94.7</v>
      </c>
      <c r="D1221" s="5">
        <v>94.8</v>
      </c>
      <c r="E1221" s="5">
        <v>94</v>
      </c>
      <c r="F1221" s="5">
        <v>94.71</v>
      </c>
      <c r="G1221" s="5">
        <v>8856</v>
      </c>
      <c r="Q1221" s="6">
        <v>40038</v>
      </c>
      <c r="R1221" s="7">
        <v>0.66666666666666663</v>
      </c>
      <c r="S1221" s="5">
        <v>154.41999999999999</v>
      </c>
      <c r="T1221" s="5">
        <v>155.19999999999999</v>
      </c>
      <c r="U1221" s="5">
        <v>151.5</v>
      </c>
      <c r="V1221" s="5">
        <v>152.4</v>
      </c>
      <c r="W1221" s="5">
        <v>789934</v>
      </c>
    </row>
    <row r="1222" spans="1:23" x14ac:dyDescent="0.3">
      <c r="A1222" s="6">
        <v>40088</v>
      </c>
      <c r="B1222" s="7">
        <v>0.66666666666666663</v>
      </c>
      <c r="C1222" s="5">
        <v>94.5</v>
      </c>
      <c r="D1222" s="5">
        <v>97</v>
      </c>
      <c r="E1222" s="5">
        <v>94.5</v>
      </c>
      <c r="F1222" s="5">
        <v>95.76</v>
      </c>
      <c r="G1222" s="5">
        <v>11485</v>
      </c>
      <c r="Q1222" s="6">
        <v>40042</v>
      </c>
      <c r="R1222" s="7">
        <v>0.66666666666666663</v>
      </c>
      <c r="S1222" s="5">
        <v>152.1</v>
      </c>
      <c r="T1222" s="5">
        <v>152.1</v>
      </c>
      <c r="U1222" s="5">
        <v>144.78</v>
      </c>
      <c r="V1222" s="5">
        <v>144.78</v>
      </c>
      <c r="W1222" s="5">
        <v>1505173</v>
      </c>
    </row>
    <row r="1223" spans="1:23" x14ac:dyDescent="0.3">
      <c r="A1223" s="6">
        <v>40091</v>
      </c>
      <c r="B1223" s="7">
        <v>0.66666666666666663</v>
      </c>
      <c r="C1223" s="5">
        <v>96.74</v>
      </c>
      <c r="D1223" s="5">
        <v>98</v>
      </c>
      <c r="E1223" s="5">
        <v>96.1</v>
      </c>
      <c r="F1223" s="5">
        <v>97.33</v>
      </c>
      <c r="G1223" s="5">
        <v>7655</v>
      </c>
      <c r="Q1223" s="6">
        <v>40043</v>
      </c>
      <c r="R1223" s="7">
        <v>0.66666666666666663</v>
      </c>
      <c r="S1223" s="5">
        <v>144.78</v>
      </c>
      <c r="T1223" s="5">
        <v>146.30000000000001</v>
      </c>
      <c r="U1223" s="5">
        <v>142</v>
      </c>
      <c r="V1223" s="5">
        <v>142.91999999999999</v>
      </c>
      <c r="W1223" s="5">
        <v>1083346</v>
      </c>
    </row>
    <row r="1224" spans="1:23" x14ac:dyDescent="0.3">
      <c r="A1224" s="6">
        <v>40092</v>
      </c>
      <c r="B1224" s="7">
        <v>0.66666666666666663</v>
      </c>
      <c r="C1224" s="5">
        <v>98</v>
      </c>
      <c r="D1224" s="5">
        <v>102.19</v>
      </c>
      <c r="E1224" s="5">
        <v>97</v>
      </c>
      <c r="F1224" s="5">
        <v>102.19</v>
      </c>
      <c r="G1224" s="5">
        <v>25246</v>
      </c>
      <c r="Q1224" s="6">
        <v>40044</v>
      </c>
      <c r="R1224" s="7">
        <v>0.66666666666666663</v>
      </c>
      <c r="S1224" s="5">
        <v>142.91999999999999</v>
      </c>
      <c r="T1224" s="5">
        <v>145.99</v>
      </c>
      <c r="U1224" s="5">
        <v>141.79</v>
      </c>
      <c r="V1224" s="5">
        <v>142.36000000000001</v>
      </c>
      <c r="W1224" s="5">
        <v>1032111</v>
      </c>
    </row>
    <row r="1225" spans="1:23" x14ac:dyDescent="0.3">
      <c r="A1225" s="6">
        <v>40093</v>
      </c>
      <c r="B1225" s="7">
        <v>0.66666666666666663</v>
      </c>
      <c r="C1225" s="5">
        <v>107.29</v>
      </c>
      <c r="D1225" s="5">
        <v>107.29</v>
      </c>
      <c r="E1225" s="5">
        <v>105.5</v>
      </c>
      <c r="F1225" s="5">
        <v>107.29</v>
      </c>
      <c r="G1225" s="5">
        <v>11726</v>
      </c>
      <c r="Q1225" s="6">
        <v>40045</v>
      </c>
      <c r="R1225" s="7">
        <v>0.66666666666666663</v>
      </c>
      <c r="S1225" s="5">
        <v>142.36000000000001</v>
      </c>
      <c r="T1225" s="5">
        <v>143.69999999999999</v>
      </c>
      <c r="U1225" s="5">
        <v>139.80000000000001</v>
      </c>
      <c r="V1225" s="5">
        <v>140.88999999999999</v>
      </c>
      <c r="W1225" s="5">
        <v>966617</v>
      </c>
    </row>
    <row r="1226" spans="1:23" x14ac:dyDescent="0.3">
      <c r="A1226" s="6">
        <v>40094</v>
      </c>
      <c r="B1226" s="7">
        <v>0.66666666666666663</v>
      </c>
      <c r="C1226" s="5">
        <v>112.65</v>
      </c>
      <c r="D1226" s="5">
        <v>112.65</v>
      </c>
      <c r="E1226" s="5">
        <v>108</v>
      </c>
      <c r="F1226" s="5">
        <v>108.46</v>
      </c>
      <c r="G1226" s="5">
        <v>75089</v>
      </c>
      <c r="Q1226" s="6">
        <v>40046</v>
      </c>
      <c r="R1226" s="7">
        <v>0.66666666666666663</v>
      </c>
      <c r="S1226" s="5">
        <v>140.88999999999999</v>
      </c>
      <c r="T1226" s="5">
        <v>143.25</v>
      </c>
      <c r="U1226" s="5">
        <v>140.75</v>
      </c>
      <c r="V1226" s="5">
        <v>141.41</v>
      </c>
      <c r="W1226" s="5">
        <v>1022879</v>
      </c>
    </row>
    <row r="1227" spans="1:23" x14ac:dyDescent="0.3">
      <c r="A1227" s="6">
        <v>40095</v>
      </c>
      <c r="B1227" s="7">
        <v>0.66666666666666663</v>
      </c>
      <c r="C1227" s="5">
        <v>108.9</v>
      </c>
      <c r="D1227" s="5">
        <v>109.9</v>
      </c>
      <c r="E1227" s="5">
        <v>103.1</v>
      </c>
      <c r="F1227" s="5">
        <v>103.64</v>
      </c>
      <c r="G1227" s="5">
        <v>22562</v>
      </c>
      <c r="Q1227" s="6">
        <v>40049</v>
      </c>
      <c r="R1227" s="7">
        <v>0.66666666666666663</v>
      </c>
      <c r="S1227" s="5">
        <v>142</v>
      </c>
      <c r="T1227" s="5">
        <v>148.47999999999999</v>
      </c>
      <c r="U1227" s="5">
        <v>142</v>
      </c>
      <c r="V1227" s="5">
        <v>148.46</v>
      </c>
      <c r="W1227" s="5">
        <v>1962202</v>
      </c>
    </row>
    <row r="1228" spans="1:23" x14ac:dyDescent="0.3">
      <c r="A1228" s="6">
        <v>40098</v>
      </c>
      <c r="B1228" s="7">
        <v>0.66666666666666663</v>
      </c>
      <c r="C1228" s="5">
        <v>103.4</v>
      </c>
      <c r="D1228" s="5">
        <v>103.4</v>
      </c>
      <c r="E1228" s="5">
        <v>100.51</v>
      </c>
      <c r="F1228" s="5">
        <v>100.65</v>
      </c>
      <c r="G1228" s="5">
        <v>14622</v>
      </c>
      <c r="Q1228" s="6">
        <v>40050</v>
      </c>
      <c r="R1228" s="7">
        <v>0.66666666666666663</v>
      </c>
      <c r="S1228" s="5">
        <v>148.55000000000001</v>
      </c>
      <c r="T1228" s="5">
        <v>152.35</v>
      </c>
      <c r="U1228" s="5">
        <v>148.55000000000001</v>
      </c>
      <c r="V1228" s="5">
        <v>150.65</v>
      </c>
      <c r="W1228" s="5">
        <v>2212276</v>
      </c>
    </row>
    <row r="1229" spans="1:23" x14ac:dyDescent="0.3">
      <c r="A1229" s="6">
        <v>40099</v>
      </c>
      <c r="B1229" s="7">
        <v>0.66666666666666663</v>
      </c>
      <c r="C1229" s="5">
        <v>100.65</v>
      </c>
      <c r="D1229" s="5">
        <v>102</v>
      </c>
      <c r="E1229" s="5">
        <v>100.51</v>
      </c>
      <c r="F1229" s="5">
        <v>101.42</v>
      </c>
      <c r="G1229" s="5">
        <v>9567</v>
      </c>
      <c r="Q1229" s="6">
        <v>40051</v>
      </c>
      <c r="R1229" s="7">
        <v>0.66666666666666663</v>
      </c>
      <c r="S1229" s="5">
        <v>150.65</v>
      </c>
      <c r="T1229" s="5">
        <v>156.32</v>
      </c>
      <c r="U1229" s="5">
        <v>150.5</v>
      </c>
      <c r="V1229" s="5">
        <v>154.91999999999999</v>
      </c>
      <c r="W1229" s="5">
        <v>3430086</v>
      </c>
    </row>
    <row r="1230" spans="1:23" x14ac:dyDescent="0.3">
      <c r="A1230" s="6">
        <v>40100</v>
      </c>
      <c r="B1230" s="7">
        <v>0.66666666666666663</v>
      </c>
      <c r="C1230" s="5">
        <v>101</v>
      </c>
      <c r="D1230" s="5">
        <v>104</v>
      </c>
      <c r="E1230" s="5">
        <v>101</v>
      </c>
      <c r="F1230" s="5">
        <v>102.18</v>
      </c>
      <c r="G1230" s="5">
        <v>16982</v>
      </c>
      <c r="Q1230" s="6">
        <v>40052</v>
      </c>
      <c r="R1230" s="7">
        <v>0.66666666666666663</v>
      </c>
      <c r="S1230" s="5">
        <v>154.91999999999999</v>
      </c>
      <c r="T1230" s="5">
        <v>156.79</v>
      </c>
      <c r="U1230" s="5">
        <v>151.05000000000001</v>
      </c>
      <c r="V1230" s="5">
        <v>151.72999999999999</v>
      </c>
      <c r="W1230" s="5">
        <v>1773700</v>
      </c>
    </row>
    <row r="1231" spans="1:23" x14ac:dyDescent="0.3">
      <c r="A1231" s="6">
        <v>40101</v>
      </c>
      <c r="B1231" s="7">
        <v>0.66666666666666663</v>
      </c>
      <c r="C1231" s="5">
        <v>102.01</v>
      </c>
      <c r="D1231" s="5">
        <v>105</v>
      </c>
      <c r="E1231" s="5">
        <v>102</v>
      </c>
      <c r="F1231" s="5">
        <v>103.7</v>
      </c>
      <c r="G1231" s="5">
        <v>21016</v>
      </c>
      <c r="Q1231" s="6">
        <v>40053</v>
      </c>
      <c r="R1231" s="7">
        <v>0.66666666666666663</v>
      </c>
      <c r="S1231" s="5">
        <v>151.72999999999999</v>
      </c>
      <c r="T1231" s="5">
        <v>153.9</v>
      </c>
      <c r="U1231" s="5">
        <v>150.5</v>
      </c>
      <c r="V1231" s="5">
        <v>152.83000000000001</v>
      </c>
      <c r="W1231" s="5">
        <v>1522983</v>
      </c>
    </row>
    <row r="1232" spans="1:23" x14ac:dyDescent="0.3">
      <c r="A1232" s="6">
        <v>40102</v>
      </c>
      <c r="B1232" s="7">
        <v>0.66666666666666663</v>
      </c>
      <c r="C1232" s="5">
        <v>103.5</v>
      </c>
      <c r="D1232" s="5">
        <v>103.5</v>
      </c>
      <c r="E1232" s="5">
        <v>102.11</v>
      </c>
      <c r="F1232" s="5">
        <v>102.11</v>
      </c>
      <c r="G1232" s="5">
        <v>6782</v>
      </c>
      <c r="Q1232" s="6">
        <v>40056</v>
      </c>
      <c r="R1232" s="7">
        <v>0.66666666666666663</v>
      </c>
      <c r="S1232" s="5">
        <v>152.83000000000001</v>
      </c>
      <c r="T1232" s="5">
        <v>153.9</v>
      </c>
      <c r="U1232" s="5">
        <v>151</v>
      </c>
      <c r="V1232" s="5">
        <v>151.66999999999999</v>
      </c>
      <c r="W1232" s="5">
        <v>1176100</v>
      </c>
    </row>
    <row r="1233" spans="1:23" x14ac:dyDescent="0.3">
      <c r="A1233" s="6">
        <v>40105</v>
      </c>
      <c r="B1233" s="7">
        <v>0.66666666666666663</v>
      </c>
      <c r="C1233" s="5">
        <v>103</v>
      </c>
      <c r="D1233" s="5">
        <v>103</v>
      </c>
      <c r="E1233" s="5">
        <v>98</v>
      </c>
      <c r="F1233" s="5">
        <v>98.96</v>
      </c>
      <c r="G1233" s="5">
        <v>18743</v>
      </c>
      <c r="Q1233" s="6">
        <v>40057</v>
      </c>
      <c r="R1233" s="7">
        <v>0.66666666666666663</v>
      </c>
      <c r="S1233" s="5">
        <v>151.66999999999999</v>
      </c>
      <c r="T1233" s="5">
        <v>155.75</v>
      </c>
      <c r="U1233" s="5">
        <v>148.5</v>
      </c>
      <c r="V1233" s="5">
        <v>150.19</v>
      </c>
      <c r="W1233" s="5">
        <v>2582627</v>
      </c>
    </row>
    <row r="1234" spans="1:23" x14ac:dyDescent="0.3">
      <c r="A1234" s="6">
        <v>40106</v>
      </c>
      <c r="B1234" s="7">
        <v>0.66666666666666663</v>
      </c>
      <c r="C1234" s="5">
        <v>100</v>
      </c>
      <c r="D1234" s="5">
        <v>101.01</v>
      </c>
      <c r="E1234" s="5">
        <v>99</v>
      </c>
      <c r="F1234" s="5">
        <v>100.99</v>
      </c>
      <c r="G1234" s="5">
        <v>12217</v>
      </c>
      <c r="Q1234" s="6">
        <v>40058</v>
      </c>
      <c r="R1234" s="7">
        <v>0.66666666666666663</v>
      </c>
      <c r="S1234" s="5">
        <v>150.19</v>
      </c>
      <c r="T1234" s="5">
        <v>153</v>
      </c>
      <c r="U1234" s="5">
        <v>148.25</v>
      </c>
      <c r="V1234" s="5">
        <v>150.01</v>
      </c>
      <c r="W1234" s="5">
        <v>1688053</v>
      </c>
    </row>
    <row r="1235" spans="1:23" x14ac:dyDescent="0.3">
      <c r="A1235" s="6">
        <v>40107</v>
      </c>
      <c r="B1235" s="7">
        <v>0.66666666666666663</v>
      </c>
      <c r="C1235" s="5">
        <v>101</v>
      </c>
      <c r="D1235" s="5">
        <v>101</v>
      </c>
      <c r="E1235" s="5">
        <v>96.5</v>
      </c>
      <c r="F1235" s="5">
        <v>97.58</v>
      </c>
      <c r="G1235" s="5">
        <v>19756</v>
      </c>
      <c r="Q1235" s="6">
        <v>40059</v>
      </c>
      <c r="R1235" s="7">
        <v>0.66666666666666663</v>
      </c>
      <c r="S1235" s="5">
        <v>150.01</v>
      </c>
      <c r="T1235" s="5">
        <v>151.5</v>
      </c>
      <c r="U1235" s="5">
        <v>147.05000000000001</v>
      </c>
      <c r="V1235" s="5">
        <v>147.76</v>
      </c>
      <c r="W1235" s="5">
        <v>934537</v>
      </c>
    </row>
    <row r="1236" spans="1:23" x14ac:dyDescent="0.3">
      <c r="A1236" s="6">
        <v>40108</v>
      </c>
      <c r="B1236" s="7">
        <v>0.66666666666666663</v>
      </c>
      <c r="C1236" s="5">
        <v>98.1</v>
      </c>
      <c r="D1236" s="5">
        <v>98.5</v>
      </c>
      <c r="E1236" s="5">
        <v>97</v>
      </c>
      <c r="F1236" s="5">
        <v>98.5</v>
      </c>
      <c r="G1236" s="5">
        <v>8848</v>
      </c>
      <c r="Q1236" s="6">
        <v>40060</v>
      </c>
      <c r="R1236" s="7">
        <v>0.66666666666666663</v>
      </c>
      <c r="S1236" s="5">
        <v>148</v>
      </c>
      <c r="T1236" s="5">
        <v>150.30000000000001</v>
      </c>
      <c r="U1236" s="5">
        <v>148</v>
      </c>
      <c r="V1236" s="5">
        <v>148.49</v>
      </c>
      <c r="W1236" s="5">
        <v>557712</v>
      </c>
    </row>
    <row r="1237" spans="1:23" x14ac:dyDescent="0.3">
      <c r="A1237" s="6">
        <v>40109</v>
      </c>
      <c r="B1237" s="7">
        <v>0.66666666666666663</v>
      </c>
      <c r="C1237" s="5">
        <v>99</v>
      </c>
      <c r="D1237" s="5">
        <v>99.9</v>
      </c>
      <c r="E1237" s="5">
        <v>97.1</v>
      </c>
      <c r="F1237" s="5">
        <v>97.24</v>
      </c>
      <c r="G1237" s="5">
        <v>4995</v>
      </c>
      <c r="Q1237" s="6">
        <v>40063</v>
      </c>
      <c r="R1237" s="7">
        <v>0.66666666666666663</v>
      </c>
      <c r="S1237" s="5">
        <v>148.49</v>
      </c>
      <c r="T1237" s="5">
        <v>153.05000000000001</v>
      </c>
      <c r="U1237" s="5">
        <v>147.55000000000001</v>
      </c>
      <c r="V1237" s="5">
        <v>149.01</v>
      </c>
      <c r="W1237" s="5">
        <v>1711634</v>
      </c>
    </row>
    <row r="1238" spans="1:23" x14ac:dyDescent="0.3">
      <c r="A1238" s="6">
        <v>40112</v>
      </c>
      <c r="B1238" s="7">
        <v>0.66666666666666663</v>
      </c>
      <c r="C1238" s="5">
        <v>98.75</v>
      </c>
      <c r="D1238" s="5">
        <v>99.99</v>
      </c>
      <c r="E1238" s="5">
        <v>98.06</v>
      </c>
      <c r="F1238" s="5">
        <v>98.96</v>
      </c>
      <c r="G1238" s="5">
        <v>4169</v>
      </c>
      <c r="Q1238" s="6">
        <v>40064</v>
      </c>
      <c r="R1238" s="7">
        <v>0.66666666666666663</v>
      </c>
      <c r="S1238" s="5">
        <v>149</v>
      </c>
      <c r="T1238" s="5">
        <v>149</v>
      </c>
      <c r="U1238" s="5">
        <v>145</v>
      </c>
      <c r="V1238" s="5">
        <v>145.44</v>
      </c>
      <c r="W1238" s="5">
        <v>606811</v>
      </c>
    </row>
    <row r="1239" spans="1:23" x14ac:dyDescent="0.3">
      <c r="A1239" s="6">
        <v>40113</v>
      </c>
      <c r="B1239" s="7">
        <v>0.66666666666666663</v>
      </c>
      <c r="C1239" s="5">
        <v>100</v>
      </c>
      <c r="D1239" s="5">
        <v>101</v>
      </c>
      <c r="E1239" s="5">
        <v>99</v>
      </c>
      <c r="F1239" s="5">
        <v>99.06</v>
      </c>
      <c r="G1239" s="5">
        <v>9232</v>
      </c>
      <c r="Q1239" s="6">
        <v>40065</v>
      </c>
      <c r="R1239" s="7">
        <v>0.66666666666666663</v>
      </c>
      <c r="S1239" s="5">
        <v>145.94999999999999</v>
      </c>
      <c r="T1239" s="5">
        <v>152.71</v>
      </c>
      <c r="U1239" s="5">
        <v>145.94999999999999</v>
      </c>
      <c r="V1239" s="5">
        <v>152.63999999999999</v>
      </c>
      <c r="W1239" s="5">
        <v>1604929</v>
      </c>
    </row>
    <row r="1240" spans="1:23" x14ac:dyDescent="0.3">
      <c r="A1240" s="6">
        <v>40114</v>
      </c>
      <c r="B1240" s="7">
        <v>0.66666666666666663</v>
      </c>
      <c r="C1240" s="5">
        <v>100</v>
      </c>
      <c r="D1240" s="5">
        <v>100.6</v>
      </c>
      <c r="E1240" s="5">
        <v>98.01</v>
      </c>
      <c r="F1240" s="5">
        <v>98.75</v>
      </c>
      <c r="G1240" s="5">
        <v>9097</v>
      </c>
      <c r="Q1240" s="6">
        <v>40066</v>
      </c>
      <c r="R1240" s="7">
        <v>0.66666666666666663</v>
      </c>
      <c r="S1240" s="5">
        <v>152.63999999999999</v>
      </c>
      <c r="T1240" s="5">
        <v>159.5</v>
      </c>
      <c r="U1240" s="5">
        <v>149.85</v>
      </c>
      <c r="V1240" s="5">
        <v>154.74</v>
      </c>
      <c r="W1240" s="5">
        <v>3936190</v>
      </c>
    </row>
    <row r="1241" spans="1:23" x14ac:dyDescent="0.3">
      <c r="A1241" s="6">
        <v>40115</v>
      </c>
      <c r="B1241" s="7">
        <v>0.66666666666666663</v>
      </c>
      <c r="C1241" s="5">
        <v>98.75</v>
      </c>
      <c r="D1241" s="5">
        <v>99</v>
      </c>
      <c r="E1241" s="5">
        <v>97.95</v>
      </c>
      <c r="F1241" s="5">
        <v>98.79</v>
      </c>
      <c r="G1241" s="5">
        <v>1142</v>
      </c>
      <c r="Q1241" s="6">
        <v>40067</v>
      </c>
      <c r="R1241" s="7">
        <v>0.66666666666666663</v>
      </c>
      <c r="S1241" s="5">
        <v>154.74</v>
      </c>
      <c r="T1241" s="5">
        <v>159</v>
      </c>
      <c r="U1241" s="5">
        <v>153.81</v>
      </c>
      <c r="V1241" s="5">
        <v>154.80000000000001</v>
      </c>
      <c r="W1241" s="5">
        <v>1552566</v>
      </c>
    </row>
    <row r="1242" spans="1:23" x14ac:dyDescent="0.3">
      <c r="A1242" s="6">
        <v>40116</v>
      </c>
      <c r="B1242" s="7">
        <v>0.66666666666666663</v>
      </c>
      <c r="C1242" s="5">
        <v>99</v>
      </c>
      <c r="D1242" s="5">
        <v>99</v>
      </c>
      <c r="E1242" s="5">
        <v>97.05</v>
      </c>
      <c r="F1242" s="5">
        <v>97.21</v>
      </c>
      <c r="G1242" s="5">
        <v>3526</v>
      </c>
      <c r="Q1242" s="6">
        <v>40070</v>
      </c>
      <c r="R1242" s="7">
        <v>0.66666666666666663</v>
      </c>
      <c r="S1242" s="5">
        <v>154.80000000000001</v>
      </c>
      <c r="T1242" s="5">
        <v>156</v>
      </c>
      <c r="U1242" s="5">
        <v>150.15</v>
      </c>
      <c r="V1242" s="5">
        <v>150.97</v>
      </c>
      <c r="W1242" s="5">
        <v>1377490</v>
      </c>
    </row>
    <row r="1243" spans="1:23" x14ac:dyDescent="0.3">
      <c r="A1243" s="6">
        <v>40119</v>
      </c>
      <c r="B1243" s="7">
        <v>0.66666666666666663</v>
      </c>
      <c r="C1243" s="5">
        <v>97.5</v>
      </c>
      <c r="D1243" s="5">
        <v>98</v>
      </c>
      <c r="E1243" s="5">
        <v>95</v>
      </c>
      <c r="F1243" s="5">
        <v>95.11</v>
      </c>
      <c r="G1243" s="5">
        <v>7372</v>
      </c>
      <c r="Q1243" s="6">
        <v>40071</v>
      </c>
      <c r="R1243" s="7">
        <v>0.66666666666666663</v>
      </c>
      <c r="S1243" s="5">
        <v>150.97</v>
      </c>
      <c r="T1243" s="5">
        <v>152.25</v>
      </c>
      <c r="U1243" s="5">
        <v>149.4</v>
      </c>
      <c r="V1243" s="5">
        <v>150.44999999999999</v>
      </c>
      <c r="W1243" s="5">
        <v>560893</v>
      </c>
    </row>
    <row r="1244" spans="1:23" x14ac:dyDescent="0.3">
      <c r="A1244" s="6">
        <v>40120</v>
      </c>
      <c r="B1244" s="7">
        <v>0.66666666666666663</v>
      </c>
      <c r="C1244" s="5">
        <v>96</v>
      </c>
      <c r="D1244" s="5">
        <v>96</v>
      </c>
      <c r="E1244" s="5">
        <v>94.2</v>
      </c>
      <c r="F1244" s="5">
        <v>94.76</v>
      </c>
      <c r="G1244" s="5">
        <v>5128</v>
      </c>
      <c r="Q1244" s="6">
        <v>40072</v>
      </c>
      <c r="R1244" s="7">
        <v>0.66666666666666663</v>
      </c>
      <c r="S1244" s="5">
        <v>151.19999999999999</v>
      </c>
      <c r="T1244" s="5">
        <v>153.75</v>
      </c>
      <c r="U1244" s="5">
        <v>151.19999999999999</v>
      </c>
      <c r="V1244" s="5">
        <v>152.18</v>
      </c>
      <c r="W1244" s="5">
        <v>1101109</v>
      </c>
    </row>
    <row r="1245" spans="1:23" x14ac:dyDescent="0.3">
      <c r="A1245" s="6">
        <v>40121</v>
      </c>
      <c r="B1245" s="7">
        <v>0.66666666666666663</v>
      </c>
      <c r="C1245" s="5">
        <v>95.9</v>
      </c>
      <c r="D1245" s="5">
        <v>96.4</v>
      </c>
      <c r="E1245" s="5">
        <v>94.5</v>
      </c>
      <c r="F1245" s="5">
        <v>95.99</v>
      </c>
      <c r="G1245" s="5">
        <v>3600</v>
      </c>
      <c r="Q1245" s="6">
        <v>40073</v>
      </c>
      <c r="R1245" s="7">
        <v>0.66666666666666663</v>
      </c>
      <c r="S1245" s="5">
        <v>153</v>
      </c>
      <c r="T1245" s="5">
        <v>157</v>
      </c>
      <c r="U1245" s="5">
        <v>153</v>
      </c>
      <c r="V1245" s="5">
        <v>154.86000000000001</v>
      </c>
      <c r="W1245" s="5">
        <v>3461128</v>
      </c>
    </row>
    <row r="1246" spans="1:23" x14ac:dyDescent="0.3">
      <c r="A1246" s="6">
        <v>40122</v>
      </c>
      <c r="B1246" s="7">
        <v>0.66666666666666663</v>
      </c>
      <c r="C1246" s="5">
        <v>96</v>
      </c>
      <c r="D1246" s="5">
        <v>96.9</v>
      </c>
      <c r="E1246" s="5">
        <v>94.02</v>
      </c>
      <c r="F1246" s="5">
        <v>95.11</v>
      </c>
      <c r="G1246" s="5">
        <v>4904</v>
      </c>
      <c r="Q1246" s="6">
        <v>40074</v>
      </c>
      <c r="R1246" s="7">
        <v>0.66666666666666663</v>
      </c>
      <c r="S1246" s="5">
        <v>154.86000000000001</v>
      </c>
      <c r="T1246" s="5">
        <v>157.99</v>
      </c>
      <c r="U1246" s="5">
        <v>153.5</v>
      </c>
      <c r="V1246" s="5">
        <v>156.12</v>
      </c>
      <c r="W1246" s="5">
        <v>2525792</v>
      </c>
    </row>
    <row r="1247" spans="1:23" x14ac:dyDescent="0.3">
      <c r="A1247" s="6">
        <v>40123</v>
      </c>
      <c r="B1247" s="7">
        <v>0.66666666666666663</v>
      </c>
      <c r="C1247" s="5">
        <v>96</v>
      </c>
      <c r="D1247" s="5">
        <v>96</v>
      </c>
      <c r="E1247" s="5">
        <v>94</v>
      </c>
      <c r="F1247" s="5">
        <v>95.74</v>
      </c>
      <c r="G1247" s="5">
        <v>4720</v>
      </c>
      <c r="Q1247" s="6">
        <v>40080</v>
      </c>
      <c r="R1247" s="7">
        <v>0.66666666666666663</v>
      </c>
      <c r="S1247" s="5">
        <v>158</v>
      </c>
      <c r="T1247" s="5">
        <v>163.92</v>
      </c>
      <c r="U1247" s="5">
        <v>158</v>
      </c>
      <c r="V1247" s="5">
        <v>163.92</v>
      </c>
      <c r="W1247" s="5">
        <v>4207162</v>
      </c>
    </row>
    <row r="1248" spans="1:23" x14ac:dyDescent="0.3">
      <c r="A1248" s="6">
        <v>40127</v>
      </c>
      <c r="B1248" s="7">
        <v>0.66666666666666663</v>
      </c>
      <c r="C1248" s="5">
        <v>95.99</v>
      </c>
      <c r="D1248" s="5">
        <v>96</v>
      </c>
      <c r="E1248" s="5">
        <v>94.5</v>
      </c>
      <c r="F1248" s="5">
        <v>95</v>
      </c>
      <c r="G1248" s="5">
        <v>3902</v>
      </c>
      <c r="Q1248" s="6">
        <v>40081</v>
      </c>
      <c r="R1248" s="7">
        <v>0.66666666666666663</v>
      </c>
      <c r="S1248" s="5">
        <v>164.01</v>
      </c>
      <c r="T1248" s="5">
        <v>171.35</v>
      </c>
      <c r="U1248" s="5">
        <v>164.01</v>
      </c>
      <c r="V1248" s="5">
        <v>169.62</v>
      </c>
      <c r="W1248" s="5">
        <v>5597205</v>
      </c>
    </row>
    <row r="1249" spans="1:23" x14ac:dyDescent="0.3">
      <c r="A1249" s="6">
        <v>40128</v>
      </c>
      <c r="B1249" s="7">
        <v>0.66666666666666663</v>
      </c>
      <c r="C1249" s="5">
        <v>95.01</v>
      </c>
      <c r="D1249" s="5">
        <v>95.5</v>
      </c>
      <c r="E1249" s="5">
        <v>93.5</v>
      </c>
      <c r="F1249" s="5">
        <v>95.49</v>
      </c>
      <c r="G1249" s="5">
        <v>6827</v>
      </c>
      <c r="Q1249" s="6">
        <v>40084</v>
      </c>
      <c r="R1249" s="7">
        <v>0.66666666666666663</v>
      </c>
      <c r="S1249" s="5">
        <v>169.62</v>
      </c>
      <c r="T1249" s="5">
        <v>170.75</v>
      </c>
      <c r="U1249" s="5">
        <v>161.13999999999999</v>
      </c>
      <c r="V1249" s="5">
        <v>162.41999999999999</v>
      </c>
      <c r="W1249" s="5">
        <v>3385909</v>
      </c>
    </row>
    <row r="1250" spans="1:23" x14ac:dyDescent="0.3">
      <c r="A1250" s="6">
        <v>40129</v>
      </c>
      <c r="B1250" s="7">
        <v>0.66666666666666663</v>
      </c>
      <c r="C1250" s="5">
        <v>95.49</v>
      </c>
      <c r="D1250" s="5">
        <v>98</v>
      </c>
      <c r="E1250" s="5">
        <v>94</v>
      </c>
      <c r="F1250" s="5">
        <v>95.02</v>
      </c>
      <c r="G1250" s="5">
        <v>6729</v>
      </c>
      <c r="Q1250" s="6">
        <v>40085</v>
      </c>
      <c r="R1250" s="7">
        <v>0.66666666666666663</v>
      </c>
      <c r="S1250" s="5">
        <v>162.41999999999999</v>
      </c>
      <c r="T1250" s="5">
        <v>170.54</v>
      </c>
      <c r="U1250" s="5">
        <v>161</v>
      </c>
      <c r="V1250" s="5">
        <v>166.82</v>
      </c>
      <c r="W1250" s="5">
        <v>4996564</v>
      </c>
    </row>
    <row r="1251" spans="1:23" x14ac:dyDescent="0.3">
      <c r="A1251" s="6">
        <v>40130</v>
      </c>
      <c r="B1251" s="7">
        <v>0.66666666666666663</v>
      </c>
      <c r="C1251" s="5">
        <v>95.02</v>
      </c>
      <c r="D1251" s="5">
        <v>95.75</v>
      </c>
      <c r="E1251" s="5">
        <v>93.32</v>
      </c>
      <c r="F1251" s="5">
        <v>94.9</v>
      </c>
      <c r="G1251" s="5">
        <v>7339</v>
      </c>
      <c r="Q1251" s="6">
        <v>40086</v>
      </c>
      <c r="R1251" s="7">
        <v>0.66666666666666663</v>
      </c>
      <c r="S1251" s="5">
        <v>166.82</v>
      </c>
      <c r="T1251" s="5">
        <v>168.5</v>
      </c>
      <c r="U1251" s="5">
        <v>160</v>
      </c>
      <c r="V1251" s="5">
        <v>160.88999999999999</v>
      </c>
      <c r="W1251" s="5">
        <v>4725017</v>
      </c>
    </row>
    <row r="1252" spans="1:23" x14ac:dyDescent="0.3">
      <c r="A1252" s="6">
        <v>40133</v>
      </c>
      <c r="B1252" s="7">
        <v>0.66666666666666663</v>
      </c>
      <c r="C1252" s="5">
        <v>95.5</v>
      </c>
      <c r="D1252" s="5">
        <v>97.94</v>
      </c>
      <c r="E1252" s="5">
        <v>95.5</v>
      </c>
      <c r="F1252" s="5">
        <v>96.03</v>
      </c>
      <c r="G1252" s="5">
        <v>12828</v>
      </c>
      <c r="Q1252" s="6">
        <v>40087</v>
      </c>
      <c r="R1252" s="7">
        <v>0.66666666666666663</v>
      </c>
      <c r="S1252" s="5">
        <v>160.88999999999999</v>
      </c>
      <c r="T1252" s="5">
        <v>163.9</v>
      </c>
      <c r="U1252" s="5">
        <v>155.01</v>
      </c>
      <c r="V1252" s="5">
        <v>156.61000000000001</v>
      </c>
      <c r="W1252" s="5">
        <v>2440517</v>
      </c>
    </row>
    <row r="1253" spans="1:23" x14ac:dyDescent="0.3">
      <c r="A1253" s="6">
        <v>40134</v>
      </c>
      <c r="B1253" s="7">
        <v>0.66666666666666663</v>
      </c>
      <c r="C1253" s="5">
        <v>96.98</v>
      </c>
      <c r="D1253" s="5">
        <v>96.98</v>
      </c>
      <c r="E1253" s="5">
        <v>94.55</v>
      </c>
      <c r="F1253" s="5">
        <v>95.15</v>
      </c>
      <c r="G1253" s="5">
        <v>5540</v>
      </c>
      <c r="Q1253" s="6">
        <v>40088</v>
      </c>
      <c r="R1253" s="7">
        <v>0.66666666666666663</v>
      </c>
      <c r="S1253" s="5">
        <v>148.78</v>
      </c>
      <c r="T1253" s="5">
        <v>148.78</v>
      </c>
      <c r="U1253" s="5">
        <v>148.78</v>
      </c>
      <c r="V1253" s="5">
        <v>148.78</v>
      </c>
      <c r="W1253" s="5">
        <v>81228</v>
      </c>
    </row>
    <row r="1254" spans="1:23" x14ac:dyDescent="0.3">
      <c r="A1254" s="6">
        <v>40135</v>
      </c>
      <c r="B1254" s="7">
        <v>0.66666666666666663</v>
      </c>
      <c r="C1254" s="5">
        <v>95</v>
      </c>
      <c r="D1254" s="5">
        <v>95.8</v>
      </c>
      <c r="E1254" s="5">
        <v>94.1</v>
      </c>
      <c r="F1254" s="5">
        <v>94.49</v>
      </c>
      <c r="G1254" s="5">
        <v>5486</v>
      </c>
      <c r="Q1254" s="6">
        <v>40091</v>
      </c>
      <c r="R1254" s="7">
        <v>0.66666666666666663</v>
      </c>
      <c r="S1254" s="5">
        <v>146.69999999999999</v>
      </c>
      <c r="T1254" s="5">
        <v>146.69999999999999</v>
      </c>
      <c r="U1254" s="5">
        <v>141.35</v>
      </c>
      <c r="V1254" s="5">
        <v>142.72</v>
      </c>
      <c r="W1254" s="5">
        <v>5695929</v>
      </c>
    </row>
    <row r="1255" spans="1:23" x14ac:dyDescent="0.3">
      <c r="A1255" s="6">
        <v>40136</v>
      </c>
      <c r="B1255" s="7">
        <v>0.66666666666666663</v>
      </c>
      <c r="C1255" s="5">
        <v>94.49</v>
      </c>
      <c r="D1255" s="5">
        <v>95.57</v>
      </c>
      <c r="E1255" s="5">
        <v>94</v>
      </c>
      <c r="F1255" s="5">
        <v>94.85</v>
      </c>
      <c r="G1255" s="5">
        <v>1624</v>
      </c>
      <c r="Q1255" s="6">
        <v>40092</v>
      </c>
      <c r="R1255" s="7">
        <v>0.66666666666666663</v>
      </c>
      <c r="S1255" s="5">
        <v>142.72</v>
      </c>
      <c r="T1255" s="5">
        <v>144.72</v>
      </c>
      <c r="U1255" s="5">
        <v>141.5</v>
      </c>
      <c r="V1255" s="5">
        <v>142.38999999999999</v>
      </c>
      <c r="W1255" s="5">
        <v>2379787</v>
      </c>
    </row>
    <row r="1256" spans="1:23" x14ac:dyDescent="0.3">
      <c r="A1256" s="6">
        <v>40137</v>
      </c>
      <c r="B1256" s="7">
        <v>0.66666666666666663</v>
      </c>
      <c r="C1256" s="5">
        <v>95.5</v>
      </c>
      <c r="D1256" s="5">
        <v>95.9</v>
      </c>
      <c r="E1256" s="5">
        <v>94</v>
      </c>
      <c r="F1256" s="5">
        <v>94.95</v>
      </c>
      <c r="G1256" s="5">
        <v>3611</v>
      </c>
      <c r="Q1256" s="6">
        <v>40093</v>
      </c>
      <c r="R1256" s="7">
        <v>0.66666666666666663</v>
      </c>
      <c r="S1256" s="5">
        <v>143.15</v>
      </c>
      <c r="T1256" s="5">
        <v>147.88</v>
      </c>
      <c r="U1256" s="5">
        <v>143.15</v>
      </c>
      <c r="V1256" s="5">
        <v>145.56</v>
      </c>
      <c r="W1256" s="5">
        <v>4008289</v>
      </c>
    </row>
    <row r="1257" spans="1:23" x14ac:dyDescent="0.3">
      <c r="A1257" s="6">
        <v>40140</v>
      </c>
      <c r="B1257" s="7">
        <v>0.66666666666666663</v>
      </c>
      <c r="C1257" s="5">
        <v>94.49</v>
      </c>
      <c r="D1257" s="5">
        <v>94.9</v>
      </c>
      <c r="E1257" s="5">
        <v>94</v>
      </c>
      <c r="F1257" s="5">
        <v>94.5</v>
      </c>
      <c r="G1257" s="5">
        <v>3319</v>
      </c>
      <c r="Q1257" s="6">
        <v>40094</v>
      </c>
      <c r="R1257" s="7">
        <v>0.66666666666666663</v>
      </c>
      <c r="S1257" s="5">
        <v>145.56</v>
      </c>
      <c r="T1257" s="5">
        <v>146.25</v>
      </c>
      <c r="U1257" s="5">
        <v>138.29</v>
      </c>
      <c r="V1257" s="5">
        <v>139.58000000000001</v>
      </c>
      <c r="W1257" s="5">
        <v>2096369</v>
      </c>
    </row>
    <row r="1258" spans="1:23" x14ac:dyDescent="0.3">
      <c r="A1258" s="6">
        <v>40141</v>
      </c>
      <c r="B1258" s="7">
        <v>0.66666666666666663</v>
      </c>
      <c r="C1258" s="5">
        <v>94.88</v>
      </c>
      <c r="D1258" s="5">
        <v>95.3</v>
      </c>
      <c r="E1258" s="5">
        <v>94</v>
      </c>
      <c r="F1258" s="5">
        <v>94.23</v>
      </c>
      <c r="G1258" s="5">
        <v>3303</v>
      </c>
      <c r="Q1258" s="6">
        <v>40095</v>
      </c>
      <c r="R1258" s="7">
        <v>0.66666666666666663</v>
      </c>
      <c r="S1258" s="5">
        <v>139.58000000000001</v>
      </c>
      <c r="T1258" s="5">
        <v>142</v>
      </c>
      <c r="U1258" s="5">
        <v>138.5</v>
      </c>
      <c r="V1258" s="5">
        <v>138.97</v>
      </c>
      <c r="W1258" s="5">
        <v>982455</v>
      </c>
    </row>
    <row r="1259" spans="1:23" x14ac:dyDescent="0.3">
      <c r="A1259" s="6">
        <v>40142</v>
      </c>
      <c r="B1259" s="7">
        <v>0.66666666666666663</v>
      </c>
      <c r="C1259" s="5">
        <v>94.95</v>
      </c>
      <c r="D1259" s="5">
        <v>95.3</v>
      </c>
      <c r="E1259" s="5">
        <v>94.2</v>
      </c>
      <c r="F1259" s="5">
        <v>95</v>
      </c>
      <c r="G1259" s="5">
        <v>3859</v>
      </c>
      <c r="Q1259" s="6">
        <v>40098</v>
      </c>
      <c r="R1259" s="7">
        <v>0.66666666666666663</v>
      </c>
      <c r="S1259" s="5">
        <v>138.97</v>
      </c>
      <c r="T1259" s="5">
        <v>141.25</v>
      </c>
      <c r="U1259" s="5">
        <v>137.80000000000001</v>
      </c>
      <c r="V1259" s="5">
        <v>138.32</v>
      </c>
      <c r="W1259" s="5">
        <v>748324</v>
      </c>
    </row>
    <row r="1260" spans="1:23" x14ac:dyDescent="0.3">
      <c r="A1260" s="6">
        <v>40143</v>
      </c>
      <c r="B1260" s="7">
        <v>0.66666666666666663</v>
      </c>
      <c r="C1260" s="5">
        <v>96.8</v>
      </c>
      <c r="D1260" s="5">
        <v>96.9</v>
      </c>
      <c r="E1260" s="5">
        <v>94.55</v>
      </c>
      <c r="F1260" s="5">
        <v>96.49</v>
      </c>
      <c r="G1260" s="5">
        <v>1117</v>
      </c>
      <c r="Q1260" s="6">
        <v>40099</v>
      </c>
      <c r="R1260" s="7">
        <v>0.66666666666666663</v>
      </c>
      <c r="S1260" s="5">
        <v>138.32</v>
      </c>
      <c r="T1260" s="5">
        <v>140.97999999999999</v>
      </c>
      <c r="U1260" s="5">
        <v>138.30000000000001</v>
      </c>
      <c r="V1260" s="5">
        <v>138.61000000000001</v>
      </c>
      <c r="W1260" s="5">
        <v>555109</v>
      </c>
    </row>
    <row r="1261" spans="1:23" x14ac:dyDescent="0.3">
      <c r="A1261" s="6">
        <v>40148</v>
      </c>
      <c r="B1261" s="7">
        <v>0.66666666666666663</v>
      </c>
      <c r="C1261" s="5">
        <v>96.4</v>
      </c>
      <c r="D1261" s="5">
        <v>96.4</v>
      </c>
      <c r="E1261" s="5">
        <v>94</v>
      </c>
      <c r="F1261" s="5">
        <v>94.9</v>
      </c>
      <c r="G1261" s="5">
        <v>6985</v>
      </c>
      <c r="Q1261" s="6">
        <v>40100</v>
      </c>
      <c r="R1261" s="7">
        <v>0.66666666666666663</v>
      </c>
      <c r="S1261" s="5">
        <v>139.01</v>
      </c>
      <c r="T1261" s="5">
        <v>143.21</v>
      </c>
      <c r="U1261" s="5">
        <v>139.01</v>
      </c>
      <c r="V1261" s="5">
        <v>140.65</v>
      </c>
      <c r="W1261" s="5">
        <v>2135776</v>
      </c>
    </row>
    <row r="1262" spans="1:23" x14ac:dyDescent="0.3">
      <c r="A1262" s="6">
        <v>40149</v>
      </c>
      <c r="B1262" s="7">
        <v>0.66666666666666663</v>
      </c>
      <c r="C1262" s="5">
        <v>95</v>
      </c>
      <c r="D1262" s="5">
        <v>95.9</v>
      </c>
      <c r="E1262" s="5">
        <v>94.5</v>
      </c>
      <c r="F1262" s="5">
        <v>94.8</v>
      </c>
      <c r="G1262" s="5">
        <v>2904</v>
      </c>
      <c r="Q1262" s="6">
        <v>40101</v>
      </c>
      <c r="R1262" s="7">
        <v>0.66666666666666663</v>
      </c>
      <c r="S1262" s="5">
        <v>140.65</v>
      </c>
      <c r="T1262" s="5">
        <v>142.5</v>
      </c>
      <c r="U1262" s="5">
        <v>139.80000000000001</v>
      </c>
      <c r="V1262" s="5">
        <v>140.63999999999999</v>
      </c>
      <c r="W1262" s="5">
        <v>937427</v>
      </c>
    </row>
    <row r="1263" spans="1:23" x14ac:dyDescent="0.3">
      <c r="A1263" s="6">
        <v>40150</v>
      </c>
      <c r="B1263" s="7">
        <v>0.66666666666666663</v>
      </c>
      <c r="C1263" s="5">
        <v>95</v>
      </c>
      <c r="D1263" s="5">
        <v>96</v>
      </c>
      <c r="E1263" s="5">
        <v>95</v>
      </c>
      <c r="F1263" s="5">
        <v>95.36</v>
      </c>
      <c r="G1263" s="5">
        <v>1950</v>
      </c>
      <c r="Q1263" s="6">
        <v>40102</v>
      </c>
      <c r="R1263" s="7">
        <v>0.66666666666666663</v>
      </c>
      <c r="S1263" s="5">
        <v>140.63999999999999</v>
      </c>
      <c r="T1263" s="5">
        <v>144.25</v>
      </c>
      <c r="U1263" s="5">
        <v>140.05000000000001</v>
      </c>
      <c r="V1263" s="5">
        <v>140.69999999999999</v>
      </c>
      <c r="W1263" s="5">
        <v>2460314</v>
      </c>
    </row>
    <row r="1264" spans="1:23" x14ac:dyDescent="0.3">
      <c r="A1264" s="6">
        <v>40151</v>
      </c>
      <c r="B1264" s="7">
        <v>0.66666666666666663</v>
      </c>
      <c r="C1264" s="5">
        <v>94.1</v>
      </c>
      <c r="D1264" s="5">
        <v>96.01</v>
      </c>
      <c r="E1264" s="5">
        <v>94.1</v>
      </c>
      <c r="F1264" s="5">
        <v>95.13</v>
      </c>
      <c r="G1264" s="5">
        <v>1415</v>
      </c>
      <c r="Q1264" s="6">
        <v>40105</v>
      </c>
      <c r="R1264" s="7">
        <v>0.66666666666666663</v>
      </c>
      <c r="S1264" s="5">
        <v>140.69999999999999</v>
      </c>
      <c r="T1264" s="5">
        <v>141.4</v>
      </c>
      <c r="U1264" s="5">
        <v>133.66999999999999</v>
      </c>
      <c r="V1264" s="5">
        <v>134.41</v>
      </c>
      <c r="W1264" s="5">
        <v>1432812</v>
      </c>
    </row>
    <row r="1265" spans="1:23" x14ac:dyDescent="0.3">
      <c r="A1265" s="6">
        <v>40154</v>
      </c>
      <c r="B1265" s="7">
        <v>0.66666666666666663</v>
      </c>
      <c r="C1265" s="5">
        <v>95.13</v>
      </c>
      <c r="D1265" s="5">
        <v>96.99</v>
      </c>
      <c r="E1265" s="5">
        <v>95.06</v>
      </c>
      <c r="F1265" s="5">
        <v>95.13</v>
      </c>
      <c r="G1265" s="5">
        <v>3536</v>
      </c>
      <c r="Q1265" s="6">
        <v>40106</v>
      </c>
      <c r="R1265" s="7">
        <v>0.66666666666666663</v>
      </c>
      <c r="S1265" s="5">
        <v>135.51</v>
      </c>
      <c r="T1265" s="5">
        <v>138.38999999999999</v>
      </c>
      <c r="U1265" s="5">
        <v>135.51</v>
      </c>
      <c r="V1265" s="5">
        <v>136.56</v>
      </c>
      <c r="W1265" s="5">
        <v>1273683</v>
      </c>
    </row>
    <row r="1266" spans="1:23" x14ac:dyDescent="0.3">
      <c r="A1266" s="6">
        <v>40155</v>
      </c>
      <c r="B1266" s="7">
        <v>0.66666666666666663</v>
      </c>
      <c r="C1266" s="5">
        <v>93.99</v>
      </c>
      <c r="D1266" s="5">
        <v>95.85</v>
      </c>
      <c r="E1266" s="5">
        <v>93.05</v>
      </c>
      <c r="F1266" s="5">
        <v>93.29</v>
      </c>
      <c r="G1266" s="5">
        <v>7552</v>
      </c>
      <c r="Q1266" s="6">
        <v>40107</v>
      </c>
      <c r="R1266" s="7">
        <v>0.66666666666666663</v>
      </c>
      <c r="S1266" s="5">
        <v>136</v>
      </c>
      <c r="T1266" s="5">
        <v>136</v>
      </c>
      <c r="U1266" s="5">
        <v>129.74</v>
      </c>
      <c r="V1266" s="5">
        <v>129.97999999999999</v>
      </c>
      <c r="W1266" s="5">
        <v>767782</v>
      </c>
    </row>
    <row r="1267" spans="1:23" x14ac:dyDescent="0.3">
      <c r="A1267" s="6">
        <v>40156</v>
      </c>
      <c r="B1267" s="7">
        <v>0.66666666666666663</v>
      </c>
      <c r="C1267" s="5">
        <v>95.2</v>
      </c>
      <c r="D1267" s="5">
        <v>95.2</v>
      </c>
      <c r="E1267" s="5">
        <v>93</v>
      </c>
      <c r="F1267" s="5">
        <v>95</v>
      </c>
      <c r="G1267" s="5">
        <v>2870</v>
      </c>
      <c r="Q1267" s="6">
        <v>40108</v>
      </c>
      <c r="R1267" s="7">
        <v>0.66666666666666663</v>
      </c>
      <c r="S1267" s="5">
        <v>129.97999999999999</v>
      </c>
      <c r="T1267" s="5">
        <v>132.30000000000001</v>
      </c>
      <c r="U1267" s="5">
        <v>123.49</v>
      </c>
      <c r="V1267" s="5">
        <v>123.49</v>
      </c>
      <c r="W1267" s="5">
        <v>1120864</v>
      </c>
    </row>
    <row r="1268" spans="1:23" x14ac:dyDescent="0.3">
      <c r="A1268" s="6">
        <v>40157</v>
      </c>
      <c r="B1268" s="7">
        <v>0.66666666666666663</v>
      </c>
      <c r="C1268" s="5">
        <v>92.15</v>
      </c>
      <c r="D1268" s="5">
        <v>94.55</v>
      </c>
      <c r="E1268" s="5">
        <v>92.06</v>
      </c>
      <c r="F1268" s="5">
        <v>94.53</v>
      </c>
      <c r="G1268" s="5">
        <v>3550</v>
      </c>
      <c r="Q1268" s="6">
        <v>40109</v>
      </c>
      <c r="R1268" s="7">
        <v>0.66666666666666663</v>
      </c>
      <c r="S1268" s="5">
        <v>122</v>
      </c>
      <c r="T1268" s="5">
        <v>122</v>
      </c>
      <c r="U1268" s="5">
        <v>117.32</v>
      </c>
      <c r="V1268" s="5">
        <v>117.32</v>
      </c>
      <c r="W1268" s="5">
        <v>1006147</v>
      </c>
    </row>
    <row r="1269" spans="1:23" x14ac:dyDescent="0.3">
      <c r="A1269" s="6">
        <v>40158</v>
      </c>
      <c r="B1269" s="7">
        <v>0.66666666666666663</v>
      </c>
      <c r="C1269" s="5">
        <v>95.49</v>
      </c>
      <c r="D1269" s="5">
        <v>97</v>
      </c>
      <c r="E1269" s="5">
        <v>94.08</v>
      </c>
      <c r="F1269" s="5">
        <v>95.95</v>
      </c>
      <c r="G1269" s="5">
        <v>3524</v>
      </c>
      <c r="Q1269" s="6">
        <v>40112</v>
      </c>
      <c r="R1269" s="7">
        <v>0.66666666666666663</v>
      </c>
      <c r="S1269" s="5">
        <v>117.32</v>
      </c>
      <c r="T1269" s="5">
        <v>121.2</v>
      </c>
      <c r="U1269" s="5">
        <v>115.1</v>
      </c>
      <c r="V1269" s="5">
        <v>118.8</v>
      </c>
      <c r="W1269" s="5">
        <v>917787</v>
      </c>
    </row>
    <row r="1270" spans="1:23" x14ac:dyDescent="0.3">
      <c r="A1270" s="6">
        <v>40161</v>
      </c>
      <c r="B1270" s="7">
        <v>0.66666666666666663</v>
      </c>
      <c r="C1270" s="5">
        <v>97.5</v>
      </c>
      <c r="D1270" s="5">
        <v>100.74</v>
      </c>
      <c r="E1270" s="5">
        <v>96.5</v>
      </c>
      <c r="F1270" s="5">
        <v>100.74</v>
      </c>
      <c r="G1270" s="5">
        <v>17798</v>
      </c>
      <c r="Q1270" s="6">
        <v>40113</v>
      </c>
      <c r="R1270" s="7">
        <v>0.66666666666666663</v>
      </c>
      <c r="S1270" s="5">
        <v>118.8</v>
      </c>
      <c r="T1270" s="5">
        <v>119.99</v>
      </c>
      <c r="U1270" s="5">
        <v>116.01</v>
      </c>
      <c r="V1270" s="5">
        <v>116.33</v>
      </c>
      <c r="W1270" s="5">
        <v>644993</v>
      </c>
    </row>
    <row r="1271" spans="1:23" x14ac:dyDescent="0.3">
      <c r="A1271" s="6">
        <v>40162</v>
      </c>
      <c r="B1271" s="7">
        <v>0.66666666666666663</v>
      </c>
      <c r="C1271" s="5">
        <v>105.77</v>
      </c>
      <c r="D1271" s="5">
        <v>105.77</v>
      </c>
      <c r="E1271" s="5">
        <v>102.5</v>
      </c>
      <c r="F1271" s="5">
        <v>102.93</v>
      </c>
      <c r="G1271" s="5">
        <v>30336</v>
      </c>
      <c r="Q1271" s="6">
        <v>40114</v>
      </c>
      <c r="R1271" s="7">
        <v>0.66666666666666663</v>
      </c>
      <c r="S1271" s="5">
        <v>116.33</v>
      </c>
      <c r="T1271" s="5">
        <v>117.39</v>
      </c>
      <c r="U1271" s="5">
        <v>112.7</v>
      </c>
      <c r="V1271" s="5">
        <v>113.08</v>
      </c>
      <c r="W1271" s="5">
        <v>639130</v>
      </c>
    </row>
    <row r="1272" spans="1:23" x14ac:dyDescent="0.3">
      <c r="A1272" s="6">
        <v>40163</v>
      </c>
      <c r="B1272" s="7">
        <v>0.66666666666666663</v>
      </c>
      <c r="C1272" s="5">
        <v>102.3</v>
      </c>
      <c r="D1272" s="5">
        <v>102.3</v>
      </c>
      <c r="E1272" s="5">
        <v>99.9</v>
      </c>
      <c r="F1272" s="5">
        <v>100.42</v>
      </c>
      <c r="G1272" s="5">
        <v>10567</v>
      </c>
      <c r="Q1272" s="6">
        <v>40115</v>
      </c>
      <c r="R1272" s="7">
        <v>0.66666666666666663</v>
      </c>
      <c r="S1272" s="5">
        <v>113.08</v>
      </c>
      <c r="T1272" s="5">
        <v>118.73</v>
      </c>
      <c r="U1272" s="5">
        <v>112</v>
      </c>
      <c r="V1272" s="5">
        <v>118.73</v>
      </c>
      <c r="W1272" s="5">
        <v>1235239</v>
      </c>
    </row>
    <row r="1273" spans="1:23" x14ac:dyDescent="0.3">
      <c r="A1273" s="6">
        <v>40164</v>
      </c>
      <c r="B1273" s="7">
        <v>0.66666666666666663</v>
      </c>
      <c r="C1273" s="5">
        <v>101</v>
      </c>
      <c r="D1273" s="5">
        <v>101.94</v>
      </c>
      <c r="E1273" s="5">
        <v>100.51</v>
      </c>
      <c r="F1273" s="5">
        <v>100.6</v>
      </c>
      <c r="G1273" s="5">
        <v>7340</v>
      </c>
      <c r="Q1273" s="6">
        <v>40116</v>
      </c>
      <c r="R1273" s="7">
        <v>0.66666666666666663</v>
      </c>
      <c r="S1273" s="5">
        <v>120.54</v>
      </c>
      <c r="T1273" s="5">
        <v>124.66</v>
      </c>
      <c r="U1273" s="5">
        <v>120.54</v>
      </c>
      <c r="V1273" s="5">
        <v>124.66</v>
      </c>
      <c r="W1273" s="5">
        <v>1512086</v>
      </c>
    </row>
    <row r="1274" spans="1:23" x14ac:dyDescent="0.3">
      <c r="A1274" s="6">
        <v>40165</v>
      </c>
      <c r="B1274" s="7">
        <v>0.66666666666666663</v>
      </c>
      <c r="C1274" s="5">
        <v>98.65</v>
      </c>
      <c r="D1274" s="5">
        <v>100.99</v>
      </c>
      <c r="E1274" s="5">
        <v>98.65</v>
      </c>
      <c r="F1274" s="5">
        <v>99.14</v>
      </c>
      <c r="G1274" s="5">
        <v>3410</v>
      </c>
      <c r="Q1274" s="6">
        <v>40119</v>
      </c>
      <c r="R1274" s="7">
        <v>0.66666666666666663</v>
      </c>
      <c r="S1274" s="5">
        <v>124.66</v>
      </c>
      <c r="T1274" s="5">
        <v>128.91</v>
      </c>
      <c r="U1274" s="5">
        <v>118.43</v>
      </c>
      <c r="V1274" s="5">
        <v>119.43</v>
      </c>
      <c r="W1274" s="5">
        <v>2672324</v>
      </c>
    </row>
    <row r="1275" spans="1:23" x14ac:dyDescent="0.3">
      <c r="A1275" s="6">
        <v>40168</v>
      </c>
      <c r="B1275" s="7">
        <v>0.66666666666666663</v>
      </c>
      <c r="C1275" s="5">
        <v>100.99</v>
      </c>
      <c r="D1275" s="5">
        <v>104.09</v>
      </c>
      <c r="E1275" s="5">
        <v>98.75</v>
      </c>
      <c r="F1275" s="5">
        <v>104.09</v>
      </c>
      <c r="G1275" s="5">
        <v>69690</v>
      </c>
      <c r="Q1275" s="6">
        <v>40120</v>
      </c>
      <c r="R1275" s="7">
        <v>0.66666666666666663</v>
      </c>
      <c r="S1275" s="5">
        <v>119.43</v>
      </c>
      <c r="T1275" s="5">
        <v>121.99</v>
      </c>
      <c r="U1275" s="5">
        <v>116.5</v>
      </c>
      <c r="V1275" s="5">
        <v>118.11</v>
      </c>
      <c r="W1275" s="5">
        <v>1427229</v>
      </c>
    </row>
    <row r="1276" spans="1:23" x14ac:dyDescent="0.3">
      <c r="A1276" s="6">
        <v>40169</v>
      </c>
      <c r="B1276" s="7">
        <v>0.66666666666666663</v>
      </c>
      <c r="C1276" s="5">
        <v>107.94</v>
      </c>
      <c r="D1276" s="5">
        <v>109.29</v>
      </c>
      <c r="E1276" s="5">
        <v>105</v>
      </c>
      <c r="F1276" s="5">
        <v>108.62</v>
      </c>
      <c r="G1276" s="5">
        <v>297210</v>
      </c>
      <c r="Q1276" s="6">
        <v>40121</v>
      </c>
      <c r="R1276" s="7">
        <v>0.66666666666666663</v>
      </c>
      <c r="S1276" s="5">
        <v>119</v>
      </c>
      <c r="T1276" s="5">
        <v>124.01</v>
      </c>
      <c r="U1276" s="5">
        <v>119</v>
      </c>
      <c r="V1276" s="5">
        <v>123.46</v>
      </c>
      <c r="W1276" s="5">
        <v>1527488</v>
      </c>
    </row>
    <row r="1277" spans="1:23" x14ac:dyDescent="0.3">
      <c r="A1277" s="6">
        <v>40170</v>
      </c>
      <c r="B1277" s="7">
        <v>0.66666666666666663</v>
      </c>
      <c r="C1277" s="5">
        <v>106.52</v>
      </c>
      <c r="D1277" s="5">
        <v>114.05</v>
      </c>
      <c r="E1277" s="5">
        <v>106.5</v>
      </c>
      <c r="F1277" s="5">
        <v>113.92</v>
      </c>
      <c r="G1277" s="5">
        <v>144989</v>
      </c>
      <c r="Q1277" s="6">
        <v>40122</v>
      </c>
      <c r="R1277" s="7">
        <v>0.66666666666666663</v>
      </c>
      <c r="S1277" s="5">
        <v>123.75</v>
      </c>
      <c r="T1277" s="5">
        <v>129.63</v>
      </c>
      <c r="U1277" s="5">
        <v>123.75</v>
      </c>
      <c r="V1277" s="5">
        <v>129.63</v>
      </c>
      <c r="W1277" s="5">
        <v>2453378</v>
      </c>
    </row>
    <row r="1278" spans="1:23" x14ac:dyDescent="0.3">
      <c r="A1278" s="6">
        <v>40171</v>
      </c>
      <c r="B1278" s="7">
        <v>0.66666666666666663</v>
      </c>
      <c r="C1278" s="5">
        <v>116.05</v>
      </c>
      <c r="D1278" s="5">
        <v>119.61</v>
      </c>
      <c r="E1278" s="5">
        <v>114.75</v>
      </c>
      <c r="F1278" s="5">
        <v>119.38</v>
      </c>
      <c r="G1278" s="5">
        <v>184470</v>
      </c>
      <c r="Q1278" s="6">
        <v>40123</v>
      </c>
      <c r="R1278" s="7">
        <v>0.66666666666666663</v>
      </c>
      <c r="S1278" s="5">
        <v>129.63</v>
      </c>
      <c r="T1278" s="5">
        <v>136.11000000000001</v>
      </c>
      <c r="U1278" s="5">
        <v>128.51</v>
      </c>
      <c r="V1278" s="5">
        <v>135.15</v>
      </c>
      <c r="W1278" s="5">
        <v>3420428</v>
      </c>
    </row>
    <row r="1279" spans="1:23" x14ac:dyDescent="0.3">
      <c r="A1279" s="6">
        <v>40176</v>
      </c>
      <c r="B1279" s="7">
        <v>0.66666666666666663</v>
      </c>
      <c r="C1279" s="5">
        <v>118.4</v>
      </c>
      <c r="D1279" s="5">
        <v>124</v>
      </c>
      <c r="E1279" s="5">
        <v>116</v>
      </c>
      <c r="F1279" s="5">
        <v>122.03</v>
      </c>
      <c r="G1279" s="5">
        <v>43387</v>
      </c>
      <c r="Q1279" s="6">
        <v>40127</v>
      </c>
      <c r="R1279" s="7">
        <v>0.66666666666666663</v>
      </c>
      <c r="S1279" s="5">
        <v>135.15</v>
      </c>
      <c r="T1279" s="5">
        <v>137</v>
      </c>
      <c r="U1279" s="5">
        <v>128.4</v>
      </c>
      <c r="V1279" s="5">
        <v>128.4</v>
      </c>
      <c r="W1279" s="5">
        <v>1136917</v>
      </c>
    </row>
    <row r="1280" spans="1:23" x14ac:dyDescent="0.3">
      <c r="A1280" s="6">
        <v>40177</v>
      </c>
      <c r="B1280" s="7">
        <v>0.66666666666666663</v>
      </c>
      <c r="C1280" s="5">
        <v>121.15</v>
      </c>
      <c r="D1280" s="5">
        <v>126.5</v>
      </c>
      <c r="E1280" s="5">
        <v>116.55</v>
      </c>
      <c r="F1280" s="5">
        <v>117.44</v>
      </c>
      <c r="G1280" s="5">
        <v>121657</v>
      </c>
      <c r="Q1280" s="6">
        <v>40128</v>
      </c>
      <c r="R1280" s="7">
        <v>0.66666666666666663</v>
      </c>
      <c r="S1280" s="5">
        <v>128.4</v>
      </c>
      <c r="T1280" s="5">
        <v>134.82</v>
      </c>
      <c r="U1280" s="5">
        <v>122.51</v>
      </c>
      <c r="V1280" s="5">
        <v>133.93</v>
      </c>
      <c r="W1280" s="5">
        <v>4192477</v>
      </c>
    </row>
    <row r="1281" spans="1:23" x14ac:dyDescent="0.3">
      <c r="A1281" s="6">
        <v>40178</v>
      </c>
      <c r="B1281" s="7">
        <v>0.66666666666666663</v>
      </c>
      <c r="C1281" s="5">
        <v>114</v>
      </c>
      <c r="D1281" s="5">
        <v>122.1</v>
      </c>
      <c r="E1281" s="5">
        <v>114</v>
      </c>
      <c r="F1281" s="5">
        <v>121.22</v>
      </c>
      <c r="G1281" s="5">
        <v>104578</v>
      </c>
      <c r="Q1281" s="6">
        <v>40129</v>
      </c>
      <c r="R1281" s="7">
        <v>0.66666666666666663</v>
      </c>
      <c r="S1281" s="5">
        <v>133.93</v>
      </c>
      <c r="T1281" s="5">
        <v>140.6</v>
      </c>
      <c r="U1281" s="5">
        <v>132.26</v>
      </c>
      <c r="V1281" s="5">
        <v>139.01</v>
      </c>
      <c r="W1281" s="5">
        <v>4228330</v>
      </c>
    </row>
    <row r="1282" spans="1:23" x14ac:dyDescent="0.3">
      <c r="A1282" s="6">
        <v>40182</v>
      </c>
      <c r="B1282" s="7">
        <v>0.66666666666666663</v>
      </c>
      <c r="C1282" s="5">
        <v>117.6</v>
      </c>
      <c r="D1282" s="5">
        <v>119</v>
      </c>
      <c r="E1282" s="5">
        <v>117.6</v>
      </c>
      <c r="F1282" s="5">
        <v>118.08</v>
      </c>
      <c r="G1282" s="5">
        <v>8153</v>
      </c>
      <c r="Q1282" s="6">
        <v>40130</v>
      </c>
      <c r="R1282" s="7">
        <v>0.66666666666666663</v>
      </c>
      <c r="S1282" s="5">
        <v>139.01</v>
      </c>
      <c r="T1282" s="5">
        <v>145.96</v>
      </c>
      <c r="U1282" s="5">
        <v>137.5</v>
      </c>
      <c r="V1282" s="5">
        <v>145.96</v>
      </c>
      <c r="W1282" s="5">
        <v>3088479</v>
      </c>
    </row>
    <row r="1283" spans="1:23" x14ac:dyDescent="0.3">
      <c r="A1283" s="6">
        <v>40183</v>
      </c>
      <c r="B1283" s="7">
        <v>0.66666666666666663</v>
      </c>
      <c r="C1283" s="5">
        <v>120</v>
      </c>
      <c r="D1283" s="5">
        <v>120</v>
      </c>
      <c r="E1283" s="5">
        <v>117</v>
      </c>
      <c r="F1283" s="5">
        <v>118</v>
      </c>
      <c r="G1283" s="5">
        <v>15836</v>
      </c>
      <c r="Q1283" s="6">
        <v>40133</v>
      </c>
      <c r="R1283" s="7">
        <v>0.66666666666666663</v>
      </c>
      <c r="S1283" s="5">
        <v>146.01</v>
      </c>
      <c r="T1283" s="5">
        <v>153.25</v>
      </c>
      <c r="U1283" s="5">
        <v>146.01</v>
      </c>
      <c r="V1283" s="5">
        <v>153.25</v>
      </c>
      <c r="W1283" s="5">
        <v>3361375</v>
      </c>
    </row>
    <row r="1284" spans="1:23" x14ac:dyDescent="0.3">
      <c r="A1284" s="6">
        <v>40184</v>
      </c>
      <c r="B1284" s="7">
        <v>0.66666666666666663</v>
      </c>
      <c r="C1284" s="5">
        <v>119.4</v>
      </c>
      <c r="D1284" s="5">
        <v>119.4</v>
      </c>
      <c r="E1284" s="5">
        <v>112.4</v>
      </c>
      <c r="F1284" s="5">
        <v>112.6</v>
      </c>
      <c r="G1284" s="5">
        <v>85035</v>
      </c>
      <c r="Q1284" s="6">
        <v>40134</v>
      </c>
      <c r="R1284" s="7">
        <v>0.66666666666666663</v>
      </c>
      <c r="S1284" s="5">
        <v>153.75</v>
      </c>
      <c r="T1284" s="5">
        <v>160.25</v>
      </c>
      <c r="U1284" s="5">
        <v>153.75</v>
      </c>
      <c r="V1284" s="5">
        <v>156.28</v>
      </c>
      <c r="W1284" s="5">
        <v>3214907</v>
      </c>
    </row>
    <row r="1285" spans="1:23" x14ac:dyDescent="0.3">
      <c r="A1285" s="6">
        <v>40185</v>
      </c>
      <c r="B1285" s="7">
        <v>0.66666666666666663</v>
      </c>
      <c r="C1285" s="5">
        <v>112</v>
      </c>
      <c r="D1285" s="5">
        <v>112.75</v>
      </c>
      <c r="E1285" s="5">
        <v>109.25</v>
      </c>
      <c r="F1285" s="5">
        <v>109.54</v>
      </c>
      <c r="G1285" s="5">
        <v>24929</v>
      </c>
      <c r="Q1285" s="6">
        <v>40135</v>
      </c>
      <c r="R1285" s="7">
        <v>0.66666666666666663</v>
      </c>
      <c r="S1285" s="5">
        <v>156.28</v>
      </c>
      <c r="T1285" s="5">
        <v>159.9</v>
      </c>
      <c r="U1285" s="5">
        <v>149.5</v>
      </c>
      <c r="V1285" s="5">
        <v>151.97</v>
      </c>
      <c r="W1285" s="5">
        <v>2885115</v>
      </c>
    </row>
    <row r="1286" spans="1:23" x14ac:dyDescent="0.3">
      <c r="A1286" s="6">
        <v>40186</v>
      </c>
      <c r="B1286" s="7">
        <v>0.66666666666666663</v>
      </c>
      <c r="C1286" s="5">
        <v>109.5</v>
      </c>
      <c r="D1286" s="5">
        <v>111</v>
      </c>
      <c r="E1286" s="5">
        <v>109</v>
      </c>
      <c r="F1286" s="5">
        <v>109.11</v>
      </c>
      <c r="G1286" s="5">
        <v>107803</v>
      </c>
      <c r="Q1286" s="6">
        <v>40136</v>
      </c>
      <c r="R1286" s="7">
        <v>0.66666666666666663</v>
      </c>
      <c r="S1286" s="5">
        <v>153.1</v>
      </c>
      <c r="T1286" s="5">
        <v>156.54</v>
      </c>
      <c r="U1286" s="5">
        <v>153.1</v>
      </c>
      <c r="V1286" s="5">
        <v>155.47</v>
      </c>
      <c r="W1286" s="5">
        <v>1828932</v>
      </c>
    </row>
    <row r="1287" spans="1:23" x14ac:dyDescent="0.3">
      <c r="A1287" s="6">
        <v>40189</v>
      </c>
      <c r="B1287" s="7">
        <v>0.66666666666666663</v>
      </c>
      <c r="C1287" s="5">
        <v>110</v>
      </c>
      <c r="D1287" s="5">
        <v>110</v>
      </c>
      <c r="E1287" s="5">
        <v>106.1</v>
      </c>
      <c r="F1287" s="5">
        <v>107.33</v>
      </c>
      <c r="G1287" s="5">
        <v>11787</v>
      </c>
      <c r="Q1287" s="6">
        <v>40137</v>
      </c>
      <c r="R1287" s="7">
        <v>0.66666666666666663</v>
      </c>
      <c r="S1287" s="5">
        <v>155.47</v>
      </c>
      <c r="T1287" s="5">
        <v>157.80000000000001</v>
      </c>
      <c r="U1287" s="5">
        <v>152.63999999999999</v>
      </c>
      <c r="V1287" s="5">
        <v>156.4</v>
      </c>
      <c r="W1287" s="5">
        <v>1655667</v>
      </c>
    </row>
    <row r="1288" spans="1:23" x14ac:dyDescent="0.3">
      <c r="A1288" s="6">
        <v>40190</v>
      </c>
      <c r="B1288" s="7">
        <v>0.66666666666666663</v>
      </c>
      <c r="C1288" s="5">
        <v>107</v>
      </c>
      <c r="D1288" s="5">
        <v>108</v>
      </c>
      <c r="E1288" s="5">
        <v>106.8</v>
      </c>
      <c r="F1288" s="5">
        <v>107.02</v>
      </c>
      <c r="G1288" s="5">
        <v>5697</v>
      </c>
      <c r="Q1288" s="6">
        <v>40140</v>
      </c>
      <c r="R1288" s="7">
        <v>0.66666666666666663</v>
      </c>
      <c r="S1288" s="5">
        <v>156.4</v>
      </c>
      <c r="T1288" s="5">
        <v>159</v>
      </c>
      <c r="U1288" s="5">
        <v>152.30000000000001</v>
      </c>
      <c r="V1288" s="5">
        <v>153.71</v>
      </c>
      <c r="W1288" s="5">
        <v>1152126</v>
      </c>
    </row>
    <row r="1289" spans="1:23" x14ac:dyDescent="0.3">
      <c r="A1289" s="6">
        <v>40191</v>
      </c>
      <c r="B1289" s="7">
        <v>0.66666666666666663</v>
      </c>
      <c r="C1289" s="5">
        <v>107</v>
      </c>
      <c r="D1289" s="5">
        <v>107.6</v>
      </c>
      <c r="E1289" s="5">
        <v>106</v>
      </c>
      <c r="F1289" s="5">
        <v>106.5</v>
      </c>
      <c r="G1289" s="5">
        <v>6802</v>
      </c>
      <c r="Q1289" s="6">
        <v>40141</v>
      </c>
      <c r="R1289" s="7">
        <v>0.66666666666666663</v>
      </c>
      <c r="S1289" s="5">
        <v>153.71</v>
      </c>
      <c r="T1289" s="5">
        <v>155.69</v>
      </c>
      <c r="U1289" s="5">
        <v>152.25</v>
      </c>
      <c r="V1289" s="5">
        <v>153.05000000000001</v>
      </c>
      <c r="W1289" s="5">
        <v>439745</v>
      </c>
    </row>
    <row r="1290" spans="1:23" x14ac:dyDescent="0.3">
      <c r="A1290" s="6">
        <v>40192</v>
      </c>
      <c r="B1290" s="7">
        <v>0.66666666666666663</v>
      </c>
      <c r="C1290" s="5">
        <v>106.5</v>
      </c>
      <c r="D1290" s="5">
        <v>109.65</v>
      </c>
      <c r="E1290" s="5">
        <v>106.5</v>
      </c>
      <c r="F1290" s="5">
        <v>108.92</v>
      </c>
      <c r="G1290" s="5">
        <v>19775</v>
      </c>
      <c r="Q1290" s="6">
        <v>40142</v>
      </c>
      <c r="R1290" s="7">
        <v>0.66666666666666663</v>
      </c>
      <c r="S1290" s="5">
        <v>153.05000000000001</v>
      </c>
      <c r="T1290" s="5">
        <v>154.6</v>
      </c>
      <c r="U1290" s="5">
        <v>152</v>
      </c>
      <c r="V1290" s="5">
        <v>152.47999999999999</v>
      </c>
      <c r="W1290" s="5">
        <v>388938</v>
      </c>
    </row>
    <row r="1291" spans="1:23" x14ac:dyDescent="0.3">
      <c r="A1291" s="6">
        <v>40193</v>
      </c>
      <c r="B1291" s="7">
        <v>0.66666666666666663</v>
      </c>
      <c r="C1291" s="5">
        <v>108.01</v>
      </c>
      <c r="D1291" s="5">
        <v>109.9</v>
      </c>
      <c r="E1291" s="5">
        <v>108.01</v>
      </c>
      <c r="F1291" s="5">
        <v>108.53</v>
      </c>
      <c r="G1291" s="5">
        <v>15067</v>
      </c>
      <c r="Q1291" s="6">
        <v>40143</v>
      </c>
      <c r="R1291" s="7">
        <v>0.66666666666666663</v>
      </c>
      <c r="S1291" s="5">
        <v>152.47999999999999</v>
      </c>
      <c r="T1291" s="5">
        <v>153.47999999999999</v>
      </c>
      <c r="U1291" s="5">
        <v>147.9</v>
      </c>
      <c r="V1291" s="5">
        <v>151.97999999999999</v>
      </c>
      <c r="W1291" s="5">
        <v>775278</v>
      </c>
    </row>
    <row r="1292" spans="1:23" x14ac:dyDescent="0.3">
      <c r="A1292" s="6">
        <v>40196</v>
      </c>
      <c r="B1292" s="7">
        <v>0.66666666666666663</v>
      </c>
      <c r="C1292" s="5">
        <v>108.5</v>
      </c>
      <c r="D1292" s="5">
        <v>108.5</v>
      </c>
      <c r="E1292" s="5">
        <v>107.21</v>
      </c>
      <c r="F1292" s="5">
        <v>107.3</v>
      </c>
      <c r="G1292" s="5">
        <v>16945</v>
      </c>
      <c r="Q1292" s="6">
        <v>40148</v>
      </c>
      <c r="R1292" s="7">
        <v>0.66666666666666663</v>
      </c>
      <c r="S1292" s="5">
        <v>150.01</v>
      </c>
      <c r="T1292" s="5">
        <v>150.01</v>
      </c>
      <c r="U1292" s="5">
        <v>146.80000000000001</v>
      </c>
      <c r="V1292" s="5">
        <v>147.26</v>
      </c>
      <c r="W1292" s="5">
        <v>330835</v>
      </c>
    </row>
    <row r="1293" spans="1:23" x14ac:dyDescent="0.3">
      <c r="A1293" s="6">
        <v>40197</v>
      </c>
      <c r="B1293" s="7">
        <v>0.66666666666666663</v>
      </c>
      <c r="C1293" s="5">
        <v>107.5</v>
      </c>
      <c r="D1293" s="5">
        <v>107.99</v>
      </c>
      <c r="E1293" s="5">
        <v>106</v>
      </c>
      <c r="F1293" s="5">
        <v>107.8</v>
      </c>
      <c r="G1293" s="5">
        <v>7352</v>
      </c>
      <c r="Q1293" s="6">
        <v>40149</v>
      </c>
      <c r="R1293" s="7">
        <v>0.66666666666666663</v>
      </c>
      <c r="S1293" s="5">
        <v>147.5</v>
      </c>
      <c r="T1293" s="5">
        <v>154.62</v>
      </c>
      <c r="U1293" s="5">
        <v>147.5</v>
      </c>
      <c r="V1293" s="5">
        <v>153.18</v>
      </c>
      <c r="W1293" s="5">
        <v>1437603</v>
      </c>
    </row>
    <row r="1294" spans="1:23" x14ac:dyDescent="0.3">
      <c r="A1294" s="6">
        <v>40198</v>
      </c>
      <c r="B1294" s="7">
        <v>0.66666666666666663</v>
      </c>
      <c r="C1294" s="5">
        <v>107</v>
      </c>
      <c r="D1294" s="5">
        <v>107.8</v>
      </c>
      <c r="E1294" s="5">
        <v>105.71</v>
      </c>
      <c r="F1294" s="5">
        <v>106.09</v>
      </c>
      <c r="G1294" s="5">
        <v>7571</v>
      </c>
      <c r="Q1294" s="6">
        <v>40150</v>
      </c>
      <c r="R1294" s="7">
        <v>0.66666666666666663</v>
      </c>
      <c r="S1294" s="5">
        <v>153.18</v>
      </c>
      <c r="T1294" s="5">
        <v>155.9</v>
      </c>
      <c r="U1294" s="5">
        <v>150</v>
      </c>
      <c r="V1294" s="5">
        <v>153.24</v>
      </c>
      <c r="W1294" s="5">
        <v>2298125</v>
      </c>
    </row>
    <row r="1295" spans="1:23" x14ac:dyDescent="0.3">
      <c r="A1295" s="6">
        <v>40199</v>
      </c>
      <c r="B1295" s="7">
        <v>0.66666666666666663</v>
      </c>
      <c r="C1295" s="5">
        <v>107.55</v>
      </c>
      <c r="D1295" s="5">
        <v>111.39</v>
      </c>
      <c r="E1295" s="5">
        <v>104.25</v>
      </c>
      <c r="F1295" s="5">
        <v>110.12</v>
      </c>
      <c r="G1295" s="5">
        <v>88042</v>
      </c>
      <c r="Q1295" s="6">
        <v>40151</v>
      </c>
      <c r="R1295" s="7">
        <v>0.66666666666666663</v>
      </c>
      <c r="S1295" s="5">
        <v>153.24</v>
      </c>
      <c r="T1295" s="5">
        <v>153.80000000000001</v>
      </c>
      <c r="U1295" s="5">
        <v>145.58000000000001</v>
      </c>
      <c r="V1295" s="5">
        <v>146.12</v>
      </c>
      <c r="W1295" s="5">
        <v>1365868</v>
      </c>
    </row>
    <row r="1296" spans="1:23" x14ac:dyDescent="0.3">
      <c r="A1296" s="6">
        <v>40200</v>
      </c>
      <c r="B1296" s="7">
        <v>0.66666666666666663</v>
      </c>
      <c r="C1296" s="5">
        <v>111.4</v>
      </c>
      <c r="D1296" s="5">
        <v>111.4</v>
      </c>
      <c r="E1296" s="5">
        <v>107</v>
      </c>
      <c r="F1296" s="5">
        <v>108</v>
      </c>
      <c r="G1296" s="5">
        <v>15595</v>
      </c>
      <c r="Q1296" s="6">
        <v>40154</v>
      </c>
      <c r="R1296" s="7">
        <v>0.66666666666666663</v>
      </c>
      <c r="S1296" s="5">
        <v>146.12</v>
      </c>
      <c r="T1296" s="5">
        <v>147.75</v>
      </c>
      <c r="U1296" s="5">
        <v>138.82</v>
      </c>
      <c r="V1296" s="5">
        <v>138.84</v>
      </c>
      <c r="W1296" s="5">
        <v>1496244</v>
      </c>
    </row>
    <row r="1297" spans="1:23" x14ac:dyDescent="0.3">
      <c r="A1297" s="6">
        <v>40203</v>
      </c>
      <c r="B1297" s="7">
        <v>0.66666666666666663</v>
      </c>
      <c r="C1297" s="5">
        <v>111.98</v>
      </c>
      <c r="D1297" s="5">
        <v>111.98</v>
      </c>
      <c r="E1297" s="5">
        <v>107.5</v>
      </c>
      <c r="F1297" s="5">
        <v>108.38</v>
      </c>
      <c r="G1297" s="5">
        <v>17116</v>
      </c>
      <c r="Q1297" s="6">
        <v>40155</v>
      </c>
      <c r="R1297" s="7">
        <v>0.66666666666666663</v>
      </c>
      <c r="S1297" s="5">
        <v>138.84</v>
      </c>
      <c r="T1297" s="5">
        <v>138.99</v>
      </c>
      <c r="U1297" s="5">
        <v>131.9</v>
      </c>
      <c r="V1297" s="5">
        <v>131.9</v>
      </c>
      <c r="W1297" s="5">
        <v>1011112</v>
      </c>
    </row>
    <row r="1298" spans="1:23" x14ac:dyDescent="0.3">
      <c r="A1298" s="6">
        <v>40204</v>
      </c>
      <c r="B1298" s="7">
        <v>0.66666666666666663</v>
      </c>
      <c r="C1298" s="5">
        <v>108.38</v>
      </c>
      <c r="D1298" s="5">
        <v>108.95</v>
      </c>
      <c r="E1298" s="5">
        <v>107</v>
      </c>
      <c r="F1298" s="5">
        <v>107.76</v>
      </c>
      <c r="G1298" s="5">
        <v>4151</v>
      </c>
      <c r="Q1298" s="6">
        <v>40156</v>
      </c>
      <c r="R1298" s="7">
        <v>0.66666666666666663</v>
      </c>
      <c r="S1298" s="5">
        <v>131.9</v>
      </c>
      <c r="T1298" s="5">
        <v>137.4</v>
      </c>
      <c r="U1298" s="5">
        <v>130</v>
      </c>
      <c r="V1298" s="5">
        <v>136.62</v>
      </c>
      <c r="W1298" s="5">
        <v>2279890</v>
      </c>
    </row>
    <row r="1299" spans="1:23" x14ac:dyDescent="0.3">
      <c r="A1299" s="6">
        <v>40205</v>
      </c>
      <c r="B1299" s="7">
        <v>0.66666666666666663</v>
      </c>
      <c r="C1299" s="5">
        <v>107.26</v>
      </c>
      <c r="D1299" s="5">
        <v>107.31</v>
      </c>
      <c r="E1299" s="5">
        <v>104</v>
      </c>
      <c r="F1299" s="5">
        <v>105.09</v>
      </c>
      <c r="G1299" s="5">
        <v>11966</v>
      </c>
      <c r="Q1299" s="6">
        <v>40157</v>
      </c>
      <c r="R1299" s="7">
        <v>0.66666666666666663</v>
      </c>
      <c r="S1299" s="5">
        <v>136.62</v>
      </c>
      <c r="T1299" s="5">
        <v>138.69999999999999</v>
      </c>
      <c r="U1299" s="5">
        <v>135.05000000000001</v>
      </c>
      <c r="V1299" s="5">
        <v>135.68</v>
      </c>
      <c r="W1299" s="5">
        <v>1664689</v>
      </c>
    </row>
    <row r="1300" spans="1:23" x14ac:dyDescent="0.3">
      <c r="A1300" s="6">
        <v>40206</v>
      </c>
      <c r="B1300" s="7">
        <v>0.66666666666666663</v>
      </c>
      <c r="C1300" s="5">
        <v>106.5</v>
      </c>
      <c r="D1300" s="5">
        <v>107</v>
      </c>
      <c r="E1300" s="5">
        <v>99.84</v>
      </c>
      <c r="F1300" s="5">
        <v>100.17</v>
      </c>
      <c r="G1300" s="5">
        <v>37867</v>
      </c>
      <c r="Q1300" s="6">
        <v>40158</v>
      </c>
      <c r="R1300" s="7">
        <v>0.66666666666666663</v>
      </c>
      <c r="S1300" s="5">
        <v>135.68</v>
      </c>
      <c r="T1300" s="5">
        <v>137.01</v>
      </c>
      <c r="U1300" s="5">
        <v>134</v>
      </c>
      <c r="V1300" s="5">
        <v>134.34</v>
      </c>
      <c r="W1300" s="5">
        <v>821156</v>
      </c>
    </row>
    <row r="1301" spans="1:23" x14ac:dyDescent="0.3">
      <c r="A1301" s="6">
        <v>40210</v>
      </c>
      <c r="B1301" s="7">
        <v>0.66666666666666663</v>
      </c>
      <c r="C1301" s="5">
        <v>99</v>
      </c>
      <c r="D1301" s="5">
        <v>100.9</v>
      </c>
      <c r="E1301" s="5">
        <v>97</v>
      </c>
      <c r="F1301" s="5">
        <v>98.21</v>
      </c>
      <c r="G1301" s="5">
        <v>12338</v>
      </c>
      <c r="Q1301" s="6">
        <v>40161</v>
      </c>
      <c r="R1301" s="7">
        <v>0.66666666666666663</v>
      </c>
      <c r="S1301" s="5">
        <v>135</v>
      </c>
      <c r="T1301" s="5">
        <v>139.19999999999999</v>
      </c>
      <c r="U1301" s="5">
        <v>135</v>
      </c>
      <c r="V1301" s="5">
        <v>137.69999999999999</v>
      </c>
      <c r="W1301" s="5">
        <v>1402013</v>
      </c>
    </row>
    <row r="1302" spans="1:23" x14ac:dyDescent="0.3">
      <c r="A1302" s="6">
        <v>40211</v>
      </c>
      <c r="B1302" s="7">
        <v>0.66666666666666663</v>
      </c>
      <c r="C1302" s="5">
        <v>98</v>
      </c>
      <c r="D1302" s="5">
        <v>99</v>
      </c>
      <c r="E1302" s="5">
        <v>97.5</v>
      </c>
      <c r="F1302" s="5">
        <v>98.45</v>
      </c>
      <c r="G1302" s="5">
        <v>6154</v>
      </c>
      <c r="Q1302" s="6">
        <v>40162</v>
      </c>
      <c r="R1302" s="7">
        <v>0.66666666666666663</v>
      </c>
      <c r="S1302" s="5">
        <v>137.69999999999999</v>
      </c>
      <c r="T1302" s="5">
        <v>141</v>
      </c>
      <c r="U1302" s="5">
        <v>136</v>
      </c>
      <c r="V1302" s="5">
        <v>136.77000000000001</v>
      </c>
      <c r="W1302" s="5">
        <v>1499409</v>
      </c>
    </row>
    <row r="1303" spans="1:23" x14ac:dyDescent="0.3">
      <c r="A1303" s="6">
        <v>40212</v>
      </c>
      <c r="B1303" s="7">
        <v>0.66666666666666663</v>
      </c>
      <c r="C1303" s="5">
        <v>99.5</v>
      </c>
      <c r="D1303" s="5">
        <v>99.5</v>
      </c>
      <c r="E1303" s="5">
        <v>97.9</v>
      </c>
      <c r="F1303" s="5">
        <v>97.92</v>
      </c>
      <c r="G1303" s="5">
        <v>7150</v>
      </c>
      <c r="Q1303" s="6">
        <v>40163</v>
      </c>
      <c r="R1303" s="7">
        <v>0.66666666666666663</v>
      </c>
      <c r="S1303" s="5">
        <v>136.77000000000001</v>
      </c>
      <c r="T1303" s="5">
        <v>138.99</v>
      </c>
      <c r="U1303" s="5">
        <v>135.25</v>
      </c>
      <c r="V1303" s="5">
        <v>136.06</v>
      </c>
      <c r="W1303" s="5">
        <v>1098797</v>
      </c>
    </row>
    <row r="1304" spans="1:23" x14ac:dyDescent="0.3">
      <c r="A1304" s="6">
        <v>40213</v>
      </c>
      <c r="B1304" s="7">
        <v>0.66666666666666663</v>
      </c>
      <c r="C1304" s="5">
        <v>99</v>
      </c>
      <c r="D1304" s="5">
        <v>99</v>
      </c>
      <c r="E1304" s="5">
        <v>97.5</v>
      </c>
      <c r="F1304" s="5">
        <v>97.67</v>
      </c>
      <c r="G1304" s="5">
        <v>17555</v>
      </c>
      <c r="Q1304" s="6">
        <v>40164</v>
      </c>
      <c r="R1304" s="7">
        <v>0.66666666666666663</v>
      </c>
      <c r="S1304" s="5">
        <v>136.06</v>
      </c>
      <c r="T1304" s="5">
        <v>139.5</v>
      </c>
      <c r="U1304" s="5">
        <v>135.26</v>
      </c>
      <c r="V1304" s="5">
        <v>135.69</v>
      </c>
      <c r="W1304" s="5">
        <v>1349752</v>
      </c>
    </row>
    <row r="1305" spans="1:23" x14ac:dyDescent="0.3">
      <c r="A1305" s="6">
        <v>40217</v>
      </c>
      <c r="B1305" s="7">
        <v>0.66666666666666663</v>
      </c>
      <c r="C1305" s="5">
        <v>101.99</v>
      </c>
      <c r="D1305" s="5">
        <v>101.99</v>
      </c>
      <c r="E1305" s="5">
        <v>96.51</v>
      </c>
      <c r="F1305" s="5">
        <v>99.66</v>
      </c>
      <c r="G1305" s="5">
        <v>6683</v>
      </c>
      <c r="Q1305" s="6">
        <v>40165</v>
      </c>
      <c r="R1305" s="7">
        <v>0.66666666666666663</v>
      </c>
      <c r="S1305" s="5">
        <v>135.69</v>
      </c>
      <c r="T1305" s="5">
        <v>136.88</v>
      </c>
      <c r="U1305" s="5">
        <v>133.1</v>
      </c>
      <c r="V1305" s="5">
        <v>134.13999999999999</v>
      </c>
      <c r="W1305" s="5">
        <v>525830</v>
      </c>
    </row>
    <row r="1306" spans="1:23" x14ac:dyDescent="0.3">
      <c r="A1306" s="6">
        <v>40218</v>
      </c>
      <c r="B1306" s="7">
        <v>0.66666666666666663</v>
      </c>
      <c r="C1306" s="5">
        <v>97.67</v>
      </c>
      <c r="D1306" s="5">
        <v>98.65</v>
      </c>
      <c r="E1306" s="5">
        <v>97.5</v>
      </c>
      <c r="F1306" s="5">
        <v>97.58</v>
      </c>
      <c r="G1306" s="5">
        <v>13170</v>
      </c>
      <c r="Q1306" s="6">
        <v>40168</v>
      </c>
      <c r="R1306" s="7">
        <v>0.66666666666666663</v>
      </c>
      <c r="S1306" s="5">
        <v>134.13999999999999</v>
      </c>
      <c r="T1306" s="5">
        <v>135.49</v>
      </c>
      <c r="U1306" s="5">
        <v>133.80000000000001</v>
      </c>
      <c r="V1306" s="5">
        <v>134.18</v>
      </c>
      <c r="W1306" s="5">
        <v>290007</v>
      </c>
    </row>
    <row r="1307" spans="1:23" x14ac:dyDescent="0.3">
      <c r="A1307" s="6">
        <v>40219</v>
      </c>
      <c r="B1307" s="7">
        <v>0.66666666666666663</v>
      </c>
      <c r="C1307" s="5">
        <v>98.79</v>
      </c>
      <c r="D1307" s="5">
        <v>98.99</v>
      </c>
      <c r="E1307" s="5">
        <v>98</v>
      </c>
      <c r="F1307" s="5">
        <v>98.09</v>
      </c>
      <c r="G1307" s="5">
        <v>6020</v>
      </c>
      <c r="Q1307" s="6">
        <v>40169</v>
      </c>
      <c r="R1307" s="7">
        <v>0.66666666666666663</v>
      </c>
      <c r="S1307" s="5">
        <v>134.65</v>
      </c>
      <c r="T1307" s="5">
        <v>136.4</v>
      </c>
      <c r="U1307" s="5">
        <v>134.65</v>
      </c>
      <c r="V1307" s="5">
        <v>135.26</v>
      </c>
      <c r="W1307" s="5">
        <v>411196</v>
      </c>
    </row>
    <row r="1308" spans="1:23" x14ac:dyDescent="0.3">
      <c r="A1308" s="6">
        <v>40220</v>
      </c>
      <c r="B1308" s="7">
        <v>0.66666666666666663</v>
      </c>
      <c r="C1308" s="5">
        <v>97.26</v>
      </c>
      <c r="D1308" s="5">
        <v>98.35</v>
      </c>
      <c r="E1308" s="5">
        <v>97.25</v>
      </c>
      <c r="F1308" s="5">
        <v>98</v>
      </c>
      <c r="G1308" s="5">
        <v>2164</v>
      </c>
      <c r="Q1308" s="6">
        <v>40170</v>
      </c>
      <c r="R1308" s="7">
        <v>0.66666666666666663</v>
      </c>
      <c r="S1308" s="5">
        <v>135.55000000000001</v>
      </c>
      <c r="T1308" s="5">
        <v>139.9</v>
      </c>
      <c r="U1308" s="5">
        <v>135.55000000000001</v>
      </c>
      <c r="V1308" s="5">
        <v>137.68</v>
      </c>
      <c r="W1308" s="5">
        <v>1746716</v>
      </c>
    </row>
    <row r="1309" spans="1:23" x14ac:dyDescent="0.3">
      <c r="A1309" s="6">
        <v>40221</v>
      </c>
      <c r="B1309" s="7">
        <v>0.66666666666666663</v>
      </c>
      <c r="C1309" s="5">
        <v>98.4</v>
      </c>
      <c r="D1309" s="5">
        <v>98.7</v>
      </c>
      <c r="E1309" s="5">
        <v>98</v>
      </c>
      <c r="F1309" s="5">
        <v>98.53</v>
      </c>
      <c r="G1309" s="5">
        <v>3042</v>
      </c>
      <c r="Q1309" s="6">
        <v>40171</v>
      </c>
      <c r="R1309" s="7">
        <v>0.66666666666666663</v>
      </c>
      <c r="S1309" s="5">
        <v>137.68</v>
      </c>
      <c r="T1309" s="5">
        <v>138.72999999999999</v>
      </c>
      <c r="U1309" s="5">
        <v>135.4</v>
      </c>
      <c r="V1309" s="5">
        <v>135.83000000000001</v>
      </c>
      <c r="W1309" s="5">
        <v>809934</v>
      </c>
    </row>
    <row r="1310" spans="1:23" x14ac:dyDescent="0.3">
      <c r="A1310" s="6">
        <v>40224</v>
      </c>
      <c r="B1310" s="7">
        <v>0.66666666666666663</v>
      </c>
      <c r="C1310" s="5">
        <v>97.5</v>
      </c>
      <c r="D1310" s="5">
        <v>97.5</v>
      </c>
      <c r="E1310" s="5">
        <v>96.38</v>
      </c>
      <c r="F1310" s="5">
        <v>97.44</v>
      </c>
      <c r="G1310" s="5">
        <v>6596</v>
      </c>
      <c r="Q1310" s="6">
        <v>40176</v>
      </c>
      <c r="R1310" s="7">
        <v>0.66666666666666663</v>
      </c>
      <c r="S1310" s="5">
        <v>134.29</v>
      </c>
      <c r="T1310" s="5">
        <v>134.29</v>
      </c>
      <c r="U1310" s="5">
        <v>130</v>
      </c>
      <c r="V1310" s="5">
        <v>133.84</v>
      </c>
      <c r="W1310" s="5">
        <v>342691</v>
      </c>
    </row>
    <row r="1311" spans="1:23" x14ac:dyDescent="0.3">
      <c r="A1311" s="6">
        <v>40225</v>
      </c>
      <c r="B1311" s="7">
        <v>0.66666666666666663</v>
      </c>
      <c r="C1311" s="5">
        <v>97.44</v>
      </c>
      <c r="D1311" s="5">
        <v>98.48</v>
      </c>
      <c r="E1311" s="5">
        <v>97</v>
      </c>
      <c r="F1311" s="5">
        <v>97.05</v>
      </c>
      <c r="G1311" s="5">
        <v>12388</v>
      </c>
      <c r="Q1311" s="6">
        <v>40177</v>
      </c>
      <c r="R1311" s="7">
        <v>0.66666666666666663</v>
      </c>
      <c r="S1311" s="5">
        <v>134.55000000000001</v>
      </c>
      <c r="T1311" s="5">
        <v>136.69999999999999</v>
      </c>
      <c r="U1311" s="5">
        <v>134.55000000000001</v>
      </c>
      <c r="V1311" s="5">
        <v>135.32</v>
      </c>
      <c r="W1311" s="5">
        <v>644882</v>
      </c>
    </row>
    <row r="1312" spans="1:23" x14ac:dyDescent="0.3">
      <c r="A1312" s="6">
        <v>40226</v>
      </c>
      <c r="B1312" s="7">
        <v>0.66666666666666663</v>
      </c>
      <c r="C1312" s="5">
        <v>98</v>
      </c>
      <c r="D1312" s="5">
        <v>98</v>
      </c>
      <c r="E1312" s="5">
        <v>96.8</v>
      </c>
      <c r="F1312" s="5">
        <v>96.82</v>
      </c>
      <c r="G1312" s="5">
        <v>13627</v>
      </c>
      <c r="Q1312" s="6">
        <v>40178</v>
      </c>
      <c r="R1312" s="7">
        <v>0.66666666666666663</v>
      </c>
      <c r="S1312" s="5">
        <v>135.32</v>
      </c>
      <c r="T1312" s="5">
        <v>138.9</v>
      </c>
      <c r="U1312" s="5">
        <v>135.12</v>
      </c>
      <c r="V1312" s="5">
        <v>137.93</v>
      </c>
      <c r="W1312" s="5">
        <v>1975369</v>
      </c>
    </row>
    <row r="1313" spans="1:23" x14ac:dyDescent="0.3">
      <c r="A1313" s="6">
        <v>40227</v>
      </c>
      <c r="B1313" s="7">
        <v>0.66666666666666663</v>
      </c>
      <c r="C1313" s="5">
        <v>97.99</v>
      </c>
      <c r="D1313" s="5">
        <v>97.99</v>
      </c>
      <c r="E1313" s="5">
        <v>94.8</v>
      </c>
      <c r="F1313" s="5">
        <v>97.4</v>
      </c>
      <c r="G1313" s="5">
        <v>3013</v>
      </c>
      <c r="Q1313" s="6">
        <v>40182</v>
      </c>
      <c r="R1313" s="7">
        <v>0.66666666666666663</v>
      </c>
      <c r="S1313" s="5">
        <v>138.35</v>
      </c>
      <c r="T1313" s="5">
        <v>141</v>
      </c>
      <c r="U1313" s="5">
        <v>138.35</v>
      </c>
      <c r="V1313" s="5">
        <v>138.79</v>
      </c>
      <c r="W1313" s="5">
        <v>1088857</v>
      </c>
    </row>
    <row r="1314" spans="1:23" x14ac:dyDescent="0.3">
      <c r="A1314" s="6">
        <v>40228</v>
      </c>
      <c r="B1314" s="7">
        <v>0.66666666666666663</v>
      </c>
      <c r="C1314" s="5">
        <v>97.02</v>
      </c>
      <c r="D1314" s="5">
        <v>102.27</v>
      </c>
      <c r="E1314" s="5">
        <v>97.02</v>
      </c>
      <c r="F1314" s="5">
        <v>102.27</v>
      </c>
      <c r="G1314" s="5">
        <v>32303</v>
      </c>
      <c r="Q1314" s="6">
        <v>40183</v>
      </c>
      <c r="R1314" s="7">
        <v>0.66666666666666663</v>
      </c>
      <c r="S1314" s="5">
        <v>138.79</v>
      </c>
      <c r="T1314" s="5">
        <v>139.72999999999999</v>
      </c>
      <c r="U1314" s="5">
        <v>138</v>
      </c>
      <c r="V1314" s="5">
        <v>138.9</v>
      </c>
      <c r="W1314" s="5">
        <v>604720</v>
      </c>
    </row>
    <row r="1315" spans="1:23" x14ac:dyDescent="0.3">
      <c r="A1315" s="6">
        <v>40231</v>
      </c>
      <c r="B1315" s="7">
        <v>0.66666666666666663</v>
      </c>
      <c r="C1315" s="5">
        <v>105.99</v>
      </c>
      <c r="D1315" s="5">
        <v>105.99</v>
      </c>
      <c r="E1315" s="5">
        <v>99.4</v>
      </c>
      <c r="F1315" s="5">
        <v>99.83</v>
      </c>
      <c r="G1315" s="5">
        <v>54024</v>
      </c>
      <c r="Q1315" s="6">
        <v>40184</v>
      </c>
      <c r="R1315" s="7">
        <v>0.66666666666666663</v>
      </c>
      <c r="S1315" s="5">
        <v>139.25</v>
      </c>
      <c r="T1315" s="5">
        <v>142.4</v>
      </c>
      <c r="U1315" s="5">
        <v>139.25</v>
      </c>
      <c r="V1315" s="5">
        <v>140.54</v>
      </c>
      <c r="W1315" s="5">
        <v>2412293</v>
      </c>
    </row>
    <row r="1316" spans="1:23" x14ac:dyDescent="0.3">
      <c r="A1316" s="6">
        <v>40232</v>
      </c>
      <c r="B1316" s="7">
        <v>0.66666666666666663</v>
      </c>
      <c r="C1316" s="5">
        <v>99</v>
      </c>
      <c r="D1316" s="5">
        <v>99.92</v>
      </c>
      <c r="E1316" s="5">
        <v>97.5</v>
      </c>
      <c r="F1316" s="5">
        <v>98.69</v>
      </c>
      <c r="G1316" s="5">
        <v>14186</v>
      </c>
      <c r="Q1316" s="6">
        <v>40185</v>
      </c>
      <c r="R1316" s="7">
        <v>0.66666666666666663</v>
      </c>
      <c r="S1316" s="5">
        <v>140.54</v>
      </c>
      <c r="T1316" s="5">
        <v>141.97999999999999</v>
      </c>
      <c r="U1316" s="5">
        <v>138.36000000000001</v>
      </c>
      <c r="V1316" s="5">
        <v>138.94</v>
      </c>
      <c r="W1316" s="5">
        <v>757379</v>
      </c>
    </row>
    <row r="1317" spans="1:23" x14ac:dyDescent="0.3">
      <c r="A1317" s="6">
        <v>40233</v>
      </c>
      <c r="B1317" s="7">
        <v>0.66666666666666663</v>
      </c>
      <c r="C1317" s="5">
        <v>98.5</v>
      </c>
      <c r="D1317" s="5">
        <v>99.7</v>
      </c>
      <c r="E1317" s="5">
        <v>97.75</v>
      </c>
      <c r="F1317" s="5">
        <v>97.8</v>
      </c>
      <c r="G1317" s="5">
        <v>8856</v>
      </c>
      <c r="Q1317" s="6">
        <v>40186</v>
      </c>
      <c r="R1317" s="7">
        <v>0.66666666666666663</v>
      </c>
      <c r="S1317" s="5">
        <v>138.94</v>
      </c>
      <c r="T1317" s="5">
        <v>140.05000000000001</v>
      </c>
      <c r="U1317" s="5">
        <v>138.1</v>
      </c>
      <c r="V1317" s="5">
        <v>138.58000000000001</v>
      </c>
      <c r="W1317" s="5">
        <v>318409</v>
      </c>
    </row>
    <row r="1318" spans="1:23" x14ac:dyDescent="0.3">
      <c r="A1318" s="6">
        <v>40234</v>
      </c>
      <c r="B1318" s="7">
        <v>0.66666666666666663</v>
      </c>
      <c r="C1318" s="5">
        <v>98.2</v>
      </c>
      <c r="D1318" s="5">
        <v>98.5</v>
      </c>
      <c r="E1318" s="5">
        <v>97.25</v>
      </c>
      <c r="F1318" s="5">
        <v>97.99</v>
      </c>
      <c r="G1318" s="5">
        <v>9669</v>
      </c>
      <c r="Q1318" s="6">
        <v>40189</v>
      </c>
      <c r="R1318" s="7">
        <v>0.66666666666666663</v>
      </c>
      <c r="S1318" s="5">
        <v>138.58000000000001</v>
      </c>
      <c r="T1318" s="5">
        <v>144.9</v>
      </c>
      <c r="U1318" s="5">
        <v>138.19999999999999</v>
      </c>
      <c r="V1318" s="5">
        <v>143.15</v>
      </c>
      <c r="W1318" s="5">
        <v>4447450</v>
      </c>
    </row>
    <row r="1319" spans="1:23" x14ac:dyDescent="0.3">
      <c r="A1319" s="6">
        <v>40235</v>
      </c>
      <c r="B1319" s="7">
        <v>0.66666666666666663</v>
      </c>
      <c r="C1319" s="5">
        <v>102.88</v>
      </c>
      <c r="D1319" s="5">
        <v>102.88</v>
      </c>
      <c r="E1319" s="5">
        <v>96.05</v>
      </c>
      <c r="F1319" s="5">
        <v>98</v>
      </c>
      <c r="G1319" s="5">
        <v>2698</v>
      </c>
      <c r="Q1319" s="6">
        <v>40190</v>
      </c>
      <c r="R1319" s="7">
        <v>0.66666666666666663</v>
      </c>
      <c r="S1319" s="5">
        <v>143.15</v>
      </c>
      <c r="T1319" s="5">
        <v>143.9</v>
      </c>
      <c r="U1319" s="5">
        <v>140</v>
      </c>
      <c r="V1319" s="5">
        <v>140.38</v>
      </c>
      <c r="W1319" s="5">
        <v>1240273</v>
      </c>
    </row>
    <row r="1320" spans="1:23" x14ac:dyDescent="0.3">
      <c r="A1320" s="6">
        <v>40238</v>
      </c>
      <c r="B1320" s="7">
        <v>0.66666666666666663</v>
      </c>
      <c r="C1320" s="5">
        <v>98</v>
      </c>
      <c r="D1320" s="5">
        <v>98.5</v>
      </c>
      <c r="E1320" s="5">
        <v>97.01</v>
      </c>
      <c r="F1320" s="5">
        <v>97.77</v>
      </c>
      <c r="G1320" s="5">
        <v>2212</v>
      </c>
      <c r="Q1320" s="6">
        <v>40191</v>
      </c>
      <c r="R1320" s="7">
        <v>0.66666666666666663</v>
      </c>
      <c r="S1320" s="5">
        <v>140.38</v>
      </c>
      <c r="T1320" s="5">
        <v>143.29</v>
      </c>
      <c r="U1320" s="5">
        <v>138.5</v>
      </c>
      <c r="V1320" s="5">
        <v>139.12</v>
      </c>
      <c r="W1320" s="5">
        <v>2768465</v>
      </c>
    </row>
    <row r="1321" spans="1:23" x14ac:dyDescent="0.3">
      <c r="A1321" s="6">
        <v>40239</v>
      </c>
      <c r="B1321" s="7">
        <v>0.66666666666666663</v>
      </c>
      <c r="C1321" s="5">
        <v>97.95</v>
      </c>
      <c r="D1321" s="5">
        <v>98</v>
      </c>
      <c r="E1321" s="5">
        <v>96.5</v>
      </c>
      <c r="F1321" s="5">
        <v>97.24</v>
      </c>
      <c r="G1321" s="5">
        <v>5796</v>
      </c>
      <c r="Q1321" s="6">
        <v>40192</v>
      </c>
      <c r="R1321" s="7">
        <v>0.66666666666666663</v>
      </c>
      <c r="S1321" s="5">
        <v>139.12</v>
      </c>
      <c r="T1321" s="5">
        <v>140.80000000000001</v>
      </c>
      <c r="U1321" s="5">
        <v>137.49</v>
      </c>
      <c r="V1321" s="5">
        <v>138.29</v>
      </c>
      <c r="W1321" s="5">
        <v>701307</v>
      </c>
    </row>
    <row r="1322" spans="1:23" x14ac:dyDescent="0.3">
      <c r="A1322" s="6">
        <v>40240</v>
      </c>
      <c r="B1322" s="7">
        <v>0.66666666666666663</v>
      </c>
      <c r="C1322" s="5">
        <v>93.3</v>
      </c>
      <c r="D1322" s="5">
        <v>97.84</v>
      </c>
      <c r="E1322" s="5">
        <v>93.3</v>
      </c>
      <c r="F1322" s="5">
        <v>94.15</v>
      </c>
      <c r="G1322" s="5">
        <v>19401</v>
      </c>
      <c r="Q1322" s="6">
        <v>40193</v>
      </c>
      <c r="R1322" s="7">
        <v>0.66666666666666663</v>
      </c>
      <c r="S1322" s="5">
        <v>138.29</v>
      </c>
      <c r="T1322" s="5">
        <v>140.4</v>
      </c>
      <c r="U1322" s="5">
        <v>136.80000000000001</v>
      </c>
      <c r="V1322" s="5">
        <v>137.78</v>
      </c>
      <c r="W1322" s="5">
        <v>1707958</v>
      </c>
    </row>
    <row r="1323" spans="1:23" x14ac:dyDescent="0.3">
      <c r="A1323" s="6">
        <v>40241</v>
      </c>
      <c r="B1323" s="7">
        <v>0.66666666666666663</v>
      </c>
      <c r="C1323" s="5">
        <v>90.51</v>
      </c>
      <c r="D1323" s="5">
        <v>96.84</v>
      </c>
      <c r="E1323" s="5">
        <v>90.51</v>
      </c>
      <c r="F1323" s="5">
        <v>95.56</v>
      </c>
      <c r="G1323" s="5">
        <v>8913</v>
      </c>
      <c r="Q1323" s="6">
        <v>40196</v>
      </c>
      <c r="R1323" s="7">
        <v>0.66666666666666663</v>
      </c>
      <c r="S1323" s="5">
        <v>137.78</v>
      </c>
      <c r="T1323" s="5">
        <v>139.15</v>
      </c>
      <c r="U1323" s="5">
        <v>137.1</v>
      </c>
      <c r="V1323" s="5">
        <v>137.57</v>
      </c>
      <c r="W1323" s="5">
        <v>964481</v>
      </c>
    </row>
    <row r="1324" spans="1:23" x14ac:dyDescent="0.3">
      <c r="A1324" s="6">
        <v>40242</v>
      </c>
      <c r="B1324" s="7">
        <v>0.66666666666666663</v>
      </c>
      <c r="C1324" s="5">
        <v>92.25</v>
      </c>
      <c r="D1324" s="5">
        <v>92.5</v>
      </c>
      <c r="E1324" s="5">
        <v>91</v>
      </c>
      <c r="F1324" s="5">
        <v>91.92</v>
      </c>
      <c r="G1324" s="5">
        <v>22403</v>
      </c>
      <c r="Q1324" s="6">
        <v>40197</v>
      </c>
      <c r="R1324" s="7">
        <v>0.66666666666666663</v>
      </c>
      <c r="S1324" s="5">
        <v>137.57</v>
      </c>
      <c r="T1324" s="5">
        <v>138.69999999999999</v>
      </c>
      <c r="U1324" s="5">
        <v>137.31</v>
      </c>
      <c r="V1324" s="5">
        <v>137.53</v>
      </c>
      <c r="W1324" s="5">
        <v>492670</v>
      </c>
    </row>
    <row r="1325" spans="1:23" x14ac:dyDescent="0.3">
      <c r="A1325" s="6">
        <v>40245</v>
      </c>
      <c r="B1325" s="7">
        <v>0.66666666666666663</v>
      </c>
      <c r="C1325" s="5">
        <v>93</v>
      </c>
      <c r="D1325" s="5">
        <v>94.4</v>
      </c>
      <c r="E1325" s="5">
        <v>92.3</v>
      </c>
      <c r="F1325" s="5">
        <v>93.46</v>
      </c>
      <c r="G1325" s="5">
        <v>11963</v>
      </c>
      <c r="Q1325" s="6">
        <v>40198</v>
      </c>
      <c r="R1325" s="7">
        <v>0.66666666666666663</v>
      </c>
      <c r="S1325" s="5">
        <v>137.5</v>
      </c>
      <c r="T1325" s="5">
        <v>137.5</v>
      </c>
      <c r="U1325" s="5">
        <v>130.66</v>
      </c>
      <c r="V1325" s="5">
        <v>130.81</v>
      </c>
      <c r="W1325" s="5">
        <v>2687838</v>
      </c>
    </row>
    <row r="1326" spans="1:23" x14ac:dyDescent="0.3">
      <c r="A1326" s="6">
        <v>40246</v>
      </c>
      <c r="B1326" s="7">
        <v>0.66666666666666663</v>
      </c>
      <c r="C1326" s="5">
        <v>94</v>
      </c>
      <c r="D1326" s="5">
        <v>96.6</v>
      </c>
      <c r="E1326" s="5">
        <v>94</v>
      </c>
      <c r="F1326" s="5">
        <v>94.04</v>
      </c>
      <c r="G1326" s="5">
        <v>18396</v>
      </c>
      <c r="Q1326" s="6">
        <v>40199</v>
      </c>
      <c r="R1326" s="7">
        <v>0.66666666666666663</v>
      </c>
      <c r="S1326" s="5">
        <v>130.25</v>
      </c>
      <c r="T1326" s="5">
        <v>130.25</v>
      </c>
      <c r="U1326" s="5">
        <v>124.27</v>
      </c>
      <c r="V1326" s="5">
        <v>124.32</v>
      </c>
      <c r="W1326" s="5">
        <v>2077778</v>
      </c>
    </row>
    <row r="1327" spans="1:23" x14ac:dyDescent="0.3">
      <c r="A1327" s="6">
        <v>40247</v>
      </c>
      <c r="B1327" s="7">
        <v>0.66666666666666663</v>
      </c>
      <c r="C1327" s="5">
        <v>95.49</v>
      </c>
      <c r="D1327" s="5">
        <v>96.53</v>
      </c>
      <c r="E1327" s="5">
        <v>93.5</v>
      </c>
      <c r="F1327" s="5">
        <v>93.96</v>
      </c>
      <c r="G1327" s="5">
        <v>14280</v>
      </c>
      <c r="Q1327" s="6">
        <v>40200</v>
      </c>
      <c r="R1327" s="7">
        <v>0.66666666666666663</v>
      </c>
      <c r="S1327" s="5">
        <v>124.32</v>
      </c>
      <c r="T1327" s="5">
        <v>127.7</v>
      </c>
      <c r="U1327" s="5">
        <v>123.5</v>
      </c>
      <c r="V1327" s="5">
        <v>125.65</v>
      </c>
      <c r="W1327" s="5">
        <v>1329586</v>
      </c>
    </row>
    <row r="1328" spans="1:23" x14ac:dyDescent="0.3">
      <c r="A1328" s="6">
        <v>40248</v>
      </c>
      <c r="B1328" s="7">
        <v>0.66666666666666663</v>
      </c>
      <c r="C1328" s="5">
        <v>92.75</v>
      </c>
      <c r="D1328" s="5">
        <v>95</v>
      </c>
      <c r="E1328" s="5">
        <v>92.75</v>
      </c>
      <c r="F1328" s="5">
        <v>94.04</v>
      </c>
      <c r="G1328" s="5">
        <v>9040</v>
      </c>
      <c r="Q1328" s="6">
        <v>40203</v>
      </c>
      <c r="R1328" s="7">
        <v>0.66666666666666663</v>
      </c>
      <c r="S1328" s="5">
        <v>125.65</v>
      </c>
      <c r="T1328" s="5">
        <v>127.65</v>
      </c>
      <c r="U1328" s="5">
        <v>124.05</v>
      </c>
      <c r="V1328" s="5">
        <v>125.18</v>
      </c>
      <c r="W1328" s="5">
        <v>571392</v>
      </c>
    </row>
    <row r="1329" spans="1:23" x14ac:dyDescent="0.3">
      <c r="A1329" s="6">
        <v>40249</v>
      </c>
      <c r="B1329" s="7">
        <v>0.66666666666666663</v>
      </c>
      <c r="C1329" s="5">
        <v>94.04</v>
      </c>
      <c r="D1329" s="5">
        <v>94.74</v>
      </c>
      <c r="E1329" s="5">
        <v>92.6</v>
      </c>
      <c r="F1329" s="5">
        <v>93.08</v>
      </c>
      <c r="G1329" s="5">
        <v>5511</v>
      </c>
      <c r="Q1329" s="6">
        <v>40204</v>
      </c>
      <c r="R1329" s="7">
        <v>0.66666666666666663</v>
      </c>
      <c r="S1329" s="5">
        <v>125.18</v>
      </c>
      <c r="T1329" s="5">
        <v>127.89</v>
      </c>
      <c r="U1329" s="5">
        <v>121.52</v>
      </c>
      <c r="V1329" s="5">
        <v>124.07</v>
      </c>
      <c r="W1329" s="5">
        <v>1716370</v>
      </c>
    </row>
    <row r="1330" spans="1:23" x14ac:dyDescent="0.3">
      <c r="A1330" s="6">
        <v>40252</v>
      </c>
      <c r="B1330" s="7">
        <v>0.66666666666666663</v>
      </c>
      <c r="C1330" s="5">
        <v>93</v>
      </c>
      <c r="D1330" s="5">
        <v>95.61</v>
      </c>
      <c r="E1330" s="5">
        <v>92.5</v>
      </c>
      <c r="F1330" s="5">
        <v>95.02</v>
      </c>
      <c r="G1330" s="5">
        <v>32419</v>
      </c>
      <c r="Q1330" s="6">
        <v>40205</v>
      </c>
      <c r="R1330" s="7">
        <v>0.66666666666666663</v>
      </c>
      <c r="S1330" s="5">
        <v>123.79</v>
      </c>
      <c r="T1330" s="5">
        <v>123.79</v>
      </c>
      <c r="U1330" s="5">
        <v>117.87</v>
      </c>
      <c r="V1330" s="5">
        <v>117.87</v>
      </c>
      <c r="W1330" s="5">
        <v>1532832</v>
      </c>
    </row>
    <row r="1331" spans="1:23" x14ac:dyDescent="0.3">
      <c r="A1331" s="6">
        <v>40253</v>
      </c>
      <c r="B1331" s="7">
        <v>0.66666666666666663</v>
      </c>
      <c r="C1331" s="5">
        <v>94.5</v>
      </c>
      <c r="D1331" s="5">
        <v>95</v>
      </c>
      <c r="E1331" s="5">
        <v>94.1</v>
      </c>
      <c r="F1331" s="5">
        <v>94.25</v>
      </c>
      <c r="G1331" s="5">
        <v>6923</v>
      </c>
      <c r="Q1331" s="6">
        <v>40206</v>
      </c>
      <c r="R1331" s="7">
        <v>0.66666666666666663</v>
      </c>
      <c r="S1331" s="5">
        <v>117.87</v>
      </c>
      <c r="T1331" s="5">
        <v>122.21</v>
      </c>
      <c r="U1331" s="5">
        <v>111.98</v>
      </c>
      <c r="V1331" s="5">
        <v>116.95</v>
      </c>
      <c r="W1331" s="5">
        <v>4204011</v>
      </c>
    </row>
    <row r="1332" spans="1:23" x14ac:dyDescent="0.3">
      <c r="A1332" s="6">
        <v>40254</v>
      </c>
      <c r="B1332" s="7">
        <v>0.66666666666666663</v>
      </c>
      <c r="C1332" s="5">
        <v>94.26</v>
      </c>
      <c r="D1332" s="5">
        <v>94.28</v>
      </c>
      <c r="E1332" s="5">
        <v>93.5</v>
      </c>
      <c r="F1332" s="5">
        <v>94</v>
      </c>
      <c r="G1332" s="5">
        <v>10358</v>
      </c>
      <c r="Q1332" s="6">
        <v>40210</v>
      </c>
      <c r="R1332" s="7">
        <v>0.66666666666666663</v>
      </c>
      <c r="S1332" s="5">
        <v>116.95</v>
      </c>
      <c r="T1332" s="5">
        <v>119.57</v>
      </c>
      <c r="U1332" s="5">
        <v>115.35</v>
      </c>
      <c r="V1332" s="5">
        <v>117.06</v>
      </c>
      <c r="W1332" s="5">
        <v>1292675</v>
      </c>
    </row>
    <row r="1333" spans="1:23" x14ac:dyDescent="0.3">
      <c r="A1333" s="6">
        <v>40255</v>
      </c>
      <c r="B1333" s="7">
        <v>0.66666666666666663</v>
      </c>
      <c r="C1333" s="5">
        <v>94.01</v>
      </c>
      <c r="D1333" s="5">
        <v>94.2</v>
      </c>
      <c r="E1333" s="5">
        <v>93.51</v>
      </c>
      <c r="F1333" s="5">
        <v>94</v>
      </c>
      <c r="G1333" s="5">
        <v>3473</v>
      </c>
      <c r="Q1333" s="6">
        <v>40211</v>
      </c>
      <c r="R1333" s="7">
        <v>0.66666666666666663</v>
      </c>
      <c r="S1333" s="5">
        <v>117.06</v>
      </c>
      <c r="T1333" s="5">
        <v>118.38</v>
      </c>
      <c r="U1333" s="5">
        <v>113.3</v>
      </c>
      <c r="V1333" s="5">
        <v>113.89</v>
      </c>
      <c r="W1333" s="5">
        <v>1168224</v>
      </c>
    </row>
    <row r="1334" spans="1:23" x14ac:dyDescent="0.3">
      <c r="A1334" s="6">
        <v>40256</v>
      </c>
      <c r="B1334" s="7">
        <v>0.66666666666666663</v>
      </c>
      <c r="C1334" s="5">
        <v>93.25</v>
      </c>
      <c r="D1334" s="5">
        <v>94.88</v>
      </c>
      <c r="E1334" s="5">
        <v>93.25</v>
      </c>
      <c r="F1334" s="5">
        <v>93.76</v>
      </c>
      <c r="G1334" s="5">
        <v>2615</v>
      </c>
      <c r="Q1334" s="6">
        <v>40212</v>
      </c>
      <c r="R1334" s="7">
        <v>0.66666666666666663</v>
      </c>
      <c r="S1334" s="5">
        <v>113.89</v>
      </c>
      <c r="T1334" s="5">
        <v>115.23</v>
      </c>
      <c r="U1334" s="5">
        <v>113.2</v>
      </c>
      <c r="V1334" s="5">
        <v>114.34</v>
      </c>
      <c r="W1334" s="5">
        <v>699978</v>
      </c>
    </row>
    <row r="1335" spans="1:23" x14ac:dyDescent="0.3">
      <c r="A1335" s="6">
        <v>40259</v>
      </c>
      <c r="B1335" s="7">
        <v>0.66666666666666663</v>
      </c>
      <c r="C1335" s="5">
        <v>93.25</v>
      </c>
      <c r="D1335" s="5">
        <v>94</v>
      </c>
      <c r="E1335" s="5">
        <v>93.25</v>
      </c>
      <c r="F1335" s="5">
        <v>93.61</v>
      </c>
      <c r="G1335" s="5">
        <v>8526</v>
      </c>
      <c r="Q1335" s="6">
        <v>40213</v>
      </c>
      <c r="R1335" s="7">
        <v>0.66666666666666663</v>
      </c>
      <c r="S1335" s="5">
        <v>115</v>
      </c>
      <c r="T1335" s="5">
        <v>117</v>
      </c>
      <c r="U1335" s="5">
        <v>115</v>
      </c>
      <c r="V1335" s="5">
        <v>115.77</v>
      </c>
      <c r="W1335" s="5">
        <v>1282315</v>
      </c>
    </row>
    <row r="1336" spans="1:23" x14ac:dyDescent="0.3">
      <c r="A1336" s="6">
        <v>40261</v>
      </c>
      <c r="B1336" s="7">
        <v>0.66666666666666663</v>
      </c>
      <c r="C1336" s="5">
        <v>93.2</v>
      </c>
      <c r="D1336" s="5">
        <v>98</v>
      </c>
      <c r="E1336" s="5">
        <v>93.2</v>
      </c>
      <c r="F1336" s="5">
        <v>97.28</v>
      </c>
      <c r="G1336" s="5">
        <v>49462</v>
      </c>
      <c r="Q1336" s="6">
        <v>40217</v>
      </c>
      <c r="R1336" s="7">
        <v>0.66666666666666663</v>
      </c>
      <c r="S1336" s="5">
        <v>115.77</v>
      </c>
      <c r="T1336" s="5">
        <v>116.4</v>
      </c>
      <c r="U1336" s="5">
        <v>114.3</v>
      </c>
      <c r="V1336" s="5">
        <v>114.54</v>
      </c>
      <c r="W1336" s="5">
        <v>489393</v>
      </c>
    </row>
    <row r="1337" spans="1:23" x14ac:dyDescent="0.3">
      <c r="A1337" s="6">
        <v>40262</v>
      </c>
      <c r="B1337" s="7">
        <v>0.66666666666666663</v>
      </c>
      <c r="C1337" s="5">
        <v>97.99</v>
      </c>
      <c r="D1337" s="5">
        <v>101.2</v>
      </c>
      <c r="E1337" s="5">
        <v>95.5</v>
      </c>
      <c r="F1337" s="5">
        <v>97.04</v>
      </c>
      <c r="G1337" s="5">
        <v>52829</v>
      </c>
      <c r="Q1337" s="6">
        <v>40218</v>
      </c>
      <c r="R1337" s="7">
        <v>0.66666666666666663</v>
      </c>
      <c r="S1337" s="5">
        <v>115</v>
      </c>
      <c r="T1337" s="5">
        <v>117.15</v>
      </c>
      <c r="U1337" s="5">
        <v>115</v>
      </c>
      <c r="V1337" s="5">
        <v>115.28</v>
      </c>
      <c r="W1337" s="5">
        <v>843310</v>
      </c>
    </row>
    <row r="1338" spans="1:23" x14ac:dyDescent="0.3">
      <c r="A1338" s="6">
        <v>40263</v>
      </c>
      <c r="B1338" s="7">
        <v>0.66666666666666663</v>
      </c>
      <c r="C1338" s="5">
        <v>97</v>
      </c>
      <c r="D1338" s="5">
        <v>98</v>
      </c>
      <c r="E1338" s="5">
        <v>96.51</v>
      </c>
      <c r="F1338" s="5">
        <v>96.99</v>
      </c>
      <c r="G1338" s="5">
        <v>3490</v>
      </c>
      <c r="Q1338" s="6">
        <v>40219</v>
      </c>
      <c r="R1338" s="7">
        <v>0.66666666666666663</v>
      </c>
      <c r="S1338" s="5">
        <v>115.28</v>
      </c>
      <c r="T1338" s="5">
        <v>117.35</v>
      </c>
      <c r="U1338" s="5">
        <v>113.51</v>
      </c>
      <c r="V1338" s="5">
        <v>114.04</v>
      </c>
      <c r="W1338" s="5">
        <v>1233984</v>
      </c>
    </row>
    <row r="1339" spans="1:23" x14ac:dyDescent="0.3">
      <c r="A1339" s="6">
        <v>40266</v>
      </c>
      <c r="B1339" s="7">
        <v>0.66666666666666663</v>
      </c>
      <c r="C1339" s="5">
        <v>98.7</v>
      </c>
      <c r="D1339" s="5">
        <v>99.44</v>
      </c>
      <c r="E1339" s="5">
        <v>97.4</v>
      </c>
      <c r="F1339" s="5">
        <v>98</v>
      </c>
      <c r="G1339" s="5">
        <v>6527</v>
      </c>
      <c r="Q1339" s="6">
        <v>40220</v>
      </c>
      <c r="R1339" s="7">
        <v>0.66666666666666663</v>
      </c>
      <c r="S1339" s="5">
        <v>114.04</v>
      </c>
      <c r="T1339" s="5">
        <v>117</v>
      </c>
      <c r="U1339" s="5">
        <v>114</v>
      </c>
      <c r="V1339" s="5">
        <v>116.4</v>
      </c>
      <c r="W1339" s="5">
        <v>2036127</v>
      </c>
    </row>
    <row r="1340" spans="1:23" x14ac:dyDescent="0.3">
      <c r="A1340" s="6">
        <v>40267</v>
      </c>
      <c r="B1340" s="7">
        <v>0.66666666666666663</v>
      </c>
      <c r="C1340" s="5">
        <v>98.45</v>
      </c>
      <c r="D1340" s="5">
        <v>98.45</v>
      </c>
      <c r="E1340" s="5">
        <v>97.25</v>
      </c>
      <c r="F1340" s="5">
        <v>97.73</v>
      </c>
      <c r="G1340" s="5">
        <v>5548</v>
      </c>
      <c r="Q1340" s="6">
        <v>40221</v>
      </c>
      <c r="R1340" s="7">
        <v>0.66666666666666663</v>
      </c>
      <c r="S1340" s="5">
        <v>116.4</v>
      </c>
      <c r="T1340" s="5">
        <v>117.5</v>
      </c>
      <c r="U1340" s="5">
        <v>114.11</v>
      </c>
      <c r="V1340" s="5">
        <v>114.65</v>
      </c>
      <c r="W1340" s="5">
        <v>922725</v>
      </c>
    </row>
    <row r="1341" spans="1:23" x14ac:dyDescent="0.3">
      <c r="A1341" s="6">
        <v>40268</v>
      </c>
      <c r="B1341" s="7">
        <v>0.66666666666666663</v>
      </c>
      <c r="C1341" s="5">
        <v>98</v>
      </c>
      <c r="D1341" s="5">
        <v>99</v>
      </c>
      <c r="E1341" s="5">
        <v>98</v>
      </c>
      <c r="F1341" s="5">
        <v>98</v>
      </c>
      <c r="G1341" s="5">
        <v>21145</v>
      </c>
      <c r="Q1341" s="6">
        <v>40224</v>
      </c>
      <c r="R1341" s="7">
        <v>0.66666666666666663</v>
      </c>
      <c r="S1341" s="5">
        <v>112.34</v>
      </c>
      <c r="T1341" s="5">
        <v>112.34</v>
      </c>
      <c r="U1341" s="5">
        <v>110.51</v>
      </c>
      <c r="V1341" s="5">
        <v>110.87</v>
      </c>
      <c r="W1341" s="5">
        <v>667542</v>
      </c>
    </row>
    <row r="1342" spans="1:23" x14ac:dyDescent="0.3">
      <c r="A1342" s="6">
        <v>40269</v>
      </c>
      <c r="B1342" s="7">
        <v>0.66666666666666663</v>
      </c>
      <c r="C1342" s="5">
        <v>98.15</v>
      </c>
      <c r="D1342" s="5">
        <v>99</v>
      </c>
      <c r="E1342" s="5">
        <v>97</v>
      </c>
      <c r="F1342" s="5">
        <v>97.47</v>
      </c>
      <c r="G1342" s="5">
        <v>19427</v>
      </c>
      <c r="Q1342" s="6">
        <v>40225</v>
      </c>
      <c r="R1342" s="7">
        <v>0.66666666666666663</v>
      </c>
      <c r="S1342" s="5">
        <v>110.87</v>
      </c>
      <c r="T1342" s="5">
        <v>112.03</v>
      </c>
      <c r="U1342" s="5">
        <v>110.15</v>
      </c>
      <c r="V1342" s="5">
        <v>111.13</v>
      </c>
      <c r="W1342" s="5">
        <v>477765</v>
      </c>
    </row>
    <row r="1343" spans="1:23" x14ac:dyDescent="0.3">
      <c r="A1343" s="6">
        <v>40270</v>
      </c>
      <c r="B1343" s="7">
        <v>0.66666666666666663</v>
      </c>
      <c r="C1343" s="5">
        <v>97.6</v>
      </c>
      <c r="D1343" s="5">
        <v>98</v>
      </c>
      <c r="E1343" s="5">
        <v>97</v>
      </c>
      <c r="F1343" s="5">
        <v>97.5</v>
      </c>
      <c r="G1343" s="5">
        <v>5933</v>
      </c>
      <c r="Q1343" s="6">
        <v>40226</v>
      </c>
      <c r="R1343" s="7">
        <v>0.66666666666666663</v>
      </c>
      <c r="S1343" s="5">
        <v>111.9</v>
      </c>
      <c r="T1343" s="5">
        <v>114.3</v>
      </c>
      <c r="U1343" s="5">
        <v>111.9</v>
      </c>
      <c r="V1343" s="5">
        <v>112.41</v>
      </c>
      <c r="W1343" s="5">
        <v>636421</v>
      </c>
    </row>
    <row r="1344" spans="1:23" x14ac:dyDescent="0.3">
      <c r="A1344" s="6">
        <v>40273</v>
      </c>
      <c r="B1344" s="7">
        <v>0.66666666666666663</v>
      </c>
      <c r="C1344" s="5">
        <v>98.98</v>
      </c>
      <c r="D1344" s="5">
        <v>101</v>
      </c>
      <c r="E1344" s="5">
        <v>98.8</v>
      </c>
      <c r="F1344" s="5">
        <v>100</v>
      </c>
      <c r="G1344" s="5">
        <v>21619</v>
      </c>
      <c r="Q1344" s="6">
        <v>40227</v>
      </c>
      <c r="R1344" s="7">
        <v>0.66666666666666663</v>
      </c>
      <c r="S1344" s="5">
        <v>112.41</v>
      </c>
      <c r="T1344" s="5">
        <v>113.65</v>
      </c>
      <c r="U1344" s="5">
        <v>112</v>
      </c>
      <c r="V1344" s="5">
        <v>112.19</v>
      </c>
      <c r="W1344" s="5">
        <v>357691</v>
      </c>
    </row>
    <row r="1345" spans="1:23" x14ac:dyDescent="0.3">
      <c r="A1345" s="6">
        <v>40274</v>
      </c>
      <c r="B1345" s="7">
        <v>0.66666666666666663</v>
      </c>
      <c r="C1345" s="5">
        <v>100</v>
      </c>
      <c r="D1345" s="5">
        <v>105</v>
      </c>
      <c r="E1345" s="5">
        <v>100</v>
      </c>
      <c r="F1345" s="5">
        <v>105</v>
      </c>
      <c r="G1345" s="5">
        <v>73298</v>
      </c>
      <c r="Q1345" s="6">
        <v>40228</v>
      </c>
      <c r="R1345" s="7">
        <v>0.66666666666666663</v>
      </c>
      <c r="S1345" s="5">
        <v>112.3</v>
      </c>
      <c r="T1345" s="5">
        <v>114.8</v>
      </c>
      <c r="U1345" s="5">
        <v>112.3</v>
      </c>
      <c r="V1345" s="5">
        <v>112.52</v>
      </c>
      <c r="W1345" s="5">
        <v>947935</v>
      </c>
    </row>
    <row r="1346" spans="1:23" x14ac:dyDescent="0.3">
      <c r="A1346" s="6">
        <v>40275</v>
      </c>
      <c r="B1346" s="7">
        <v>0.66666666666666663</v>
      </c>
      <c r="C1346" s="5">
        <v>107</v>
      </c>
      <c r="D1346" s="5">
        <v>107.9</v>
      </c>
      <c r="E1346" s="5">
        <v>103</v>
      </c>
      <c r="F1346" s="5">
        <v>103.19</v>
      </c>
      <c r="G1346" s="5">
        <v>49740</v>
      </c>
      <c r="Q1346" s="6">
        <v>40231</v>
      </c>
      <c r="R1346" s="7">
        <v>0.66666666666666663</v>
      </c>
      <c r="S1346" s="5">
        <v>112.55</v>
      </c>
      <c r="T1346" s="5">
        <v>115</v>
      </c>
      <c r="U1346" s="5">
        <v>112.55</v>
      </c>
      <c r="V1346" s="5">
        <v>113.54</v>
      </c>
      <c r="W1346" s="5">
        <v>1113988</v>
      </c>
    </row>
    <row r="1347" spans="1:23" x14ac:dyDescent="0.3">
      <c r="A1347" s="6">
        <v>40276</v>
      </c>
      <c r="B1347" s="7">
        <v>0.66666666666666663</v>
      </c>
      <c r="C1347" s="5">
        <v>103.9</v>
      </c>
      <c r="D1347" s="5">
        <v>103.9</v>
      </c>
      <c r="E1347" s="5">
        <v>100.97</v>
      </c>
      <c r="F1347" s="5">
        <v>101.24</v>
      </c>
      <c r="G1347" s="5">
        <v>6536</v>
      </c>
      <c r="Q1347" s="6">
        <v>40232</v>
      </c>
      <c r="R1347" s="7">
        <v>0.66666666666666663</v>
      </c>
      <c r="S1347" s="5">
        <v>113.54</v>
      </c>
      <c r="T1347" s="5">
        <v>117.1</v>
      </c>
      <c r="U1347" s="5">
        <v>112.5</v>
      </c>
      <c r="V1347" s="5">
        <v>114.53</v>
      </c>
      <c r="W1347" s="5">
        <v>2525777</v>
      </c>
    </row>
    <row r="1348" spans="1:23" x14ac:dyDescent="0.3">
      <c r="A1348" s="6">
        <v>40277</v>
      </c>
      <c r="B1348" s="7">
        <v>0.66666666666666663</v>
      </c>
      <c r="C1348" s="5">
        <v>98.99</v>
      </c>
      <c r="D1348" s="5">
        <v>101.75</v>
      </c>
      <c r="E1348" s="5">
        <v>98.99</v>
      </c>
      <c r="F1348" s="5">
        <v>100.42</v>
      </c>
      <c r="G1348" s="5">
        <v>9918</v>
      </c>
      <c r="Q1348" s="6">
        <v>40233</v>
      </c>
      <c r="R1348" s="7">
        <v>0.66666666666666663</v>
      </c>
      <c r="S1348" s="5">
        <v>114.53</v>
      </c>
      <c r="T1348" s="5">
        <v>116.75</v>
      </c>
      <c r="U1348" s="5">
        <v>112.5</v>
      </c>
      <c r="V1348" s="5">
        <v>112.8</v>
      </c>
      <c r="W1348" s="5">
        <v>1076010</v>
      </c>
    </row>
    <row r="1349" spans="1:23" x14ac:dyDescent="0.3">
      <c r="A1349" s="6">
        <v>40280</v>
      </c>
      <c r="B1349" s="7">
        <v>0.66666666666666663</v>
      </c>
      <c r="C1349" s="5">
        <v>101.45</v>
      </c>
      <c r="D1349" s="5">
        <v>101.45</v>
      </c>
      <c r="E1349" s="5">
        <v>100</v>
      </c>
      <c r="F1349" s="5">
        <v>100.07</v>
      </c>
      <c r="G1349" s="5">
        <v>3609</v>
      </c>
      <c r="Q1349" s="6">
        <v>40234</v>
      </c>
      <c r="R1349" s="7">
        <v>0.66666666666666663</v>
      </c>
      <c r="S1349" s="5">
        <v>112.8</v>
      </c>
      <c r="T1349" s="5">
        <v>113.89</v>
      </c>
      <c r="U1349" s="5">
        <v>110.4</v>
      </c>
      <c r="V1349" s="5">
        <v>112.28</v>
      </c>
      <c r="W1349" s="5">
        <v>685530</v>
      </c>
    </row>
    <row r="1350" spans="1:23" x14ac:dyDescent="0.3">
      <c r="A1350" s="6">
        <v>40281</v>
      </c>
      <c r="B1350" s="7">
        <v>0.66666666666666663</v>
      </c>
      <c r="C1350" s="5">
        <v>99.1</v>
      </c>
      <c r="D1350" s="5">
        <v>100.5</v>
      </c>
      <c r="E1350" s="5">
        <v>98.7</v>
      </c>
      <c r="F1350" s="5">
        <v>99.99</v>
      </c>
      <c r="G1350" s="5">
        <v>7019</v>
      </c>
      <c r="Q1350" s="6">
        <v>40235</v>
      </c>
      <c r="R1350" s="7">
        <v>0.66666666666666663</v>
      </c>
      <c r="S1350" s="5">
        <v>112.28</v>
      </c>
      <c r="T1350" s="5">
        <v>112.8</v>
      </c>
      <c r="U1350" s="5">
        <v>110.63</v>
      </c>
      <c r="V1350" s="5">
        <v>111.08</v>
      </c>
      <c r="W1350" s="5">
        <v>290303</v>
      </c>
    </row>
    <row r="1351" spans="1:23" x14ac:dyDescent="0.3">
      <c r="A1351" s="6">
        <v>40282</v>
      </c>
      <c r="B1351" s="7">
        <v>0.66666666666666663</v>
      </c>
      <c r="C1351" s="5">
        <v>101.29</v>
      </c>
      <c r="D1351" s="5">
        <v>101.29</v>
      </c>
      <c r="E1351" s="5">
        <v>99.55</v>
      </c>
      <c r="F1351" s="5">
        <v>100.95</v>
      </c>
      <c r="G1351" s="5">
        <v>4860</v>
      </c>
      <c r="Q1351" s="6">
        <v>40238</v>
      </c>
      <c r="R1351" s="7">
        <v>0.66666666666666663</v>
      </c>
      <c r="S1351" s="5">
        <v>111.08</v>
      </c>
      <c r="T1351" s="5">
        <v>111.8</v>
      </c>
      <c r="U1351" s="5">
        <v>105.6</v>
      </c>
      <c r="V1351" s="5">
        <v>106.07</v>
      </c>
      <c r="W1351" s="5">
        <v>600003</v>
      </c>
    </row>
    <row r="1352" spans="1:23" x14ac:dyDescent="0.3">
      <c r="A1352" s="6">
        <v>40283</v>
      </c>
      <c r="B1352" s="7">
        <v>0.66666666666666663</v>
      </c>
      <c r="C1352" s="5">
        <v>101</v>
      </c>
      <c r="D1352" s="5">
        <v>101.4</v>
      </c>
      <c r="E1352" s="5">
        <v>99.9</v>
      </c>
      <c r="F1352" s="5">
        <v>101</v>
      </c>
      <c r="G1352" s="5">
        <v>9387</v>
      </c>
      <c r="Q1352" s="6">
        <v>40239</v>
      </c>
      <c r="R1352" s="7">
        <v>0.66666666666666663</v>
      </c>
      <c r="S1352" s="5">
        <v>106.07</v>
      </c>
      <c r="T1352" s="5">
        <v>106.39</v>
      </c>
      <c r="U1352" s="5">
        <v>103.51</v>
      </c>
      <c r="V1352" s="5">
        <v>104.27</v>
      </c>
      <c r="W1352" s="5">
        <v>672551</v>
      </c>
    </row>
    <row r="1353" spans="1:23" x14ac:dyDescent="0.3">
      <c r="A1353" s="6">
        <v>40284</v>
      </c>
      <c r="B1353" s="7">
        <v>0.66666666666666663</v>
      </c>
      <c r="C1353" s="5">
        <v>101.5</v>
      </c>
      <c r="D1353" s="5">
        <v>104.89</v>
      </c>
      <c r="E1353" s="5">
        <v>100.5</v>
      </c>
      <c r="F1353" s="5">
        <v>102.17</v>
      </c>
      <c r="G1353" s="5">
        <v>27481</v>
      </c>
      <c r="Q1353" s="6">
        <v>40240</v>
      </c>
      <c r="R1353" s="7">
        <v>0.66666666666666663</v>
      </c>
      <c r="S1353" s="5">
        <v>104.27</v>
      </c>
      <c r="T1353" s="5">
        <v>105.5</v>
      </c>
      <c r="U1353" s="5">
        <v>100.01</v>
      </c>
      <c r="V1353" s="5">
        <v>101.42</v>
      </c>
      <c r="W1353" s="5">
        <v>510954</v>
      </c>
    </row>
    <row r="1354" spans="1:23" x14ac:dyDescent="0.3">
      <c r="A1354" s="6">
        <v>40287</v>
      </c>
      <c r="B1354" s="7">
        <v>0.66666666666666663</v>
      </c>
      <c r="C1354" s="5">
        <v>102.5</v>
      </c>
      <c r="D1354" s="5">
        <v>103.5</v>
      </c>
      <c r="E1354" s="5">
        <v>102</v>
      </c>
      <c r="F1354" s="5">
        <v>102.29</v>
      </c>
      <c r="G1354" s="5">
        <v>24053</v>
      </c>
      <c r="Q1354" s="6">
        <v>40241</v>
      </c>
      <c r="R1354" s="7">
        <v>0.66666666666666663</v>
      </c>
      <c r="S1354" s="5">
        <v>101.42</v>
      </c>
      <c r="T1354" s="5">
        <v>103.7</v>
      </c>
      <c r="U1354" s="5">
        <v>100.31</v>
      </c>
      <c r="V1354" s="5">
        <v>103.04</v>
      </c>
      <c r="W1354" s="5">
        <v>697838</v>
      </c>
    </row>
    <row r="1355" spans="1:23" x14ac:dyDescent="0.3">
      <c r="A1355" s="6">
        <v>40288</v>
      </c>
      <c r="B1355" s="7">
        <v>0.66666666666666663</v>
      </c>
      <c r="C1355" s="5">
        <v>102.95</v>
      </c>
      <c r="D1355" s="5">
        <v>102.95</v>
      </c>
      <c r="E1355" s="5">
        <v>101.55</v>
      </c>
      <c r="F1355" s="5">
        <v>101.66</v>
      </c>
      <c r="G1355" s="5">
        <v>17424</v>
      </c>
      <c r="Q1355" s="6">
        <v>40242</v>
      </c>
      <c r="R1355" s="7">
        <v>0.66666666666666663</v>
      </c>
      <c r="S1355" s="5">
        <v>103.04</v>
      </c>
      <c r="T1355" s="5">
        <v>107.4</v>
      </c>
      <c r="U1355" s="5">
        <v>102.03</v>
      </c>
      <c r="V1355" s="5">
        <v>105.88</v>
      </c>
      <c r="W1355" s="5">
        <v>1017221</v>
      </c>
    </row>
    <row r="1356" spans="1:23" x14ac:dyDescent="0.3">
      <c r="A1356" s="6">
        <v>40289</v>
      </c>
      <c r="B1356" s="7">
        <v>0.66666666666666663</v>
      </c>
      <c r="C1356" s="5">
        <v>101</v>
      </c>
      <c r="D1356" s="5">
        <v>101.85</v>
      </c>
      <c r="E1356" s="5">
        <v>101</v>
      </c>
      <c r="F1356" s="5">
        <v>101.66</v>
      </c>
      <c r="G1356" s="5">
        <v>18355</v>
      </c>
      <c r="Q1356" s="6">
        <v>40245</v>
      </c>
      <c r="R1356" s="7">
        <v>0.66666666666666663</v>
      </c>
      <c r="S1356" s="5">
        <v>105.88</v>
      </c>
      <c r="T1356" s="5">
        <v>111.17</v>
      </c>
      <c r="U1356" s="5">
        <v>105.35</v>
      </c>
      <c r="V1356" s="5">
        <v>111.17</v>
      </c>
      <c r="W1356" s="5">
        <v>1230850</v>
      </c>
    </row>
    <row r="1357" spans="1:23" x14ac:dyDescent="0.3">
      <c r="A1357" s="6">
        <v>40290</v>
      </c>
      <c r="B1357" s="7">
        <v>0.66666666666666663</v>
      </c>
      <c r="C1357" s="5">
        <v>101.7</v>
      </c>
      <c r="D1357" s="5">
        <v>102</v>
      </c>
      <c r="E1357" s="5">
        <v>101.1</v>
      </c>
      <c r="F1357" s="5">
        <v>101.35</v>
      </c>
      <c r="G1357" s="5">
        <v>3128</v>
      </c>
      <c r="Q1357" s="6">
        <v>40246</v>
      </c>
      <c r="R1357" s="7">
        <v>0.66666666666666663</v>
      </c>
      <c r="S1357" s="5">
        <v>113.25</v>
      </c>
      <c r="T1357" s="5">
        <v>116.72</v>
      </c>
      <c r="U1357" s="5">
        <v>113.25</v>
      </c>
      <c r="V1357" s="5">
        <v>116.72</v>
      </c>
      <c r="W1357" s="5">
        <v>1560982</v>
      </c>
    </row>
    <row r="1358" spans="1:23" x14ac:dyDescent="0.3">
      <c r="A1358" s="6">
        <v>40291</v>
      </c>
      <c r="B1358" s="7">
        <v>0.66666666666666663</v>
      </c>
      <c r="C1358" s="5">
        <v>102</v>
      </c>
      <c r="D1358" s="5">
        <v>102.15</v>
      </c>
      <c r="E1358" s="5">
        <v>101.61</v>
      </c>
      <c r="F1358" s="5">
        <v>101.89</v>
      </c>
      <c r="G1358" s="5">
        <v>4986</v>
      </c>
      <c r="Q1358" s="6">
        <v>40247</v>
      </c>
      <c r="R1358" s="7">
        <v>0.66666666666666663</v>
      </c>
      <c r="S1358" s="5">
        <v>116.72</v>
      </c>
      <c r="T1358" s="5">
        <v>119.19</v>
      </c>
      <c r="U1358" s="5">
        <v>114.06</v>
      </c>
      <c r="V1358" s="5">
        <v>114.76</v>
      </c>
      <c r="W1358" s="5">
        <v>1900828</v>
      </c>
    </row>
    <row r="1359" spans="1:23" x14ac:dyDescent="0.3">
      <c r="A1359" s="6">
        <v>40294</v>
      </c>
      <c r="B1359" s="7">
        <v>0.66666666666666663</v>
      </c>
      <c r="C1359" s="5">
        <v>102.8</v>
      </c>
      <c r="D1359" s="5">
        <v>102.8</v>
      </c>
      <c r="E1359" s="5">
        <v>101</v>
      </c>
      <c r="F1359" s="5">
        <v>101.03</v>
      </c>
      <c r="G1359" s="5">
        <v>16101</v>
      </c>
      <c r="Q1359" s="6">
        <v>40248</v>
      </c>
      <c r="R1359" s="7">
        <v>0.66666666666666663</v>
      </c>
      <c r="S1359" s="5">
        <v>114.76</v>
      </c>
      <c r="T1359" s="5">
        <v>117.45</v>
      </c>
      <c r="U1359" s="5">
        <v>114</v>
      </c>
      <c r="V1359" s="5">
        <v>115.6</v>
      </c>
      <c r="W1359" s="5">
        <v>1181425</v>
      </c>
    </row>
    <row r="1360" spans="1:23" x14ac:dyDescent="0.3">
      <c r="A1360" s="6">
        <v>40295</v>
      </c>
      <c r="B1360" s="7">
        <v>0.66666666666666663</v>
      </c>
      <c r="C1360" s="5">
        <v>101.03</v>
      </c>
      <c r="D1360" s="5">
        <v>101.75</v>
      </c>
      <c r="E1360" s="5">
        <v>100.5</v>
      </c>
      <c r="F1360" s="5">
        <v>100.68</v>
      </c>
      <c r="G1360" s="5">
        <v>7300</v>
      </c>
      <c r="Q1360" s="6">
        <v>40249</v>
      </c>
      <c r="R1360" s="7">
        <v>0.66666666666666663</v>
      </c>
      <c r="S1360" s="5">
        <v>115.6</v>
      </c>
      <c r="T1360" s="5">
        <v>117.5</v>
      </c>
      <c r="U1360" s="5">
        <v>114</v>
      </c>
      <c r="V1360" s="5">
        <v>116.77</v>
      </c>
      <c r="W1360" s="5">
        <v>1079266</v>
      </c>
    </row>
    <row r="1361" spans="1:23" x14ac:dyDescent="0.3">
      <c r="A1361" s="6">
        <v>40296</v>
      </c>
      <c r="B1361" s="7">
        <v>0.66666666666666663</v>
      </c>
      <c r="C1361" s="5">
        <v>100.1</v>
      </c>
      <c r="D1361" s="5">
        <v>100.1</v>
      </c>
      <c r="E1361" s="5">
        <v>98.25</v>
      </c>
      <c r="F1361" s="5">
        <v>99.12</v>
      </c>
      <c r="G1361" s="5">
        <v>6989</v>
      </c>
      <c r="Q1361" s="6">
        <v>40252</v>
      </c>
      <c r="R1361" s="7">
        <v>0.66666666666666663</v>
      </c>
      <c r="S1361" s="5">
        <v>116.77</v>
      </c>
      <c r="T1361" s="5">
        <v>118.27</v>
      </c>
      <c r="U1361" s="5">
        <v>115.52</v>
      </c>
      <c r="V1361" s="5">
        <v>116.2</v>
      </c>
      <c r="W1361" s="5">
        <v>1091110</v>
      </c>
    </row>
    <row r="1362" spans="1:23" x14ac:dyDescent="0.3">
      <c r="A1362" s="6">
        <v>40297</v>
      </c>
      <c r="B1362" s="7">
        <v>0.66666666666666663</v>
      </c>
      <c r="C1362" s="5">
        <v>99.46</v>
      </c>
      <c r="D1362" s="5">
        <v>99.99</v>
      </c>
      <c r="E1362" s="5">
        <v>98.1</v>
      </c>
      <c r="F1362" s="5">
        <v>98.15</v>
      </c>
      <c r="G1362" s="5">
        <v>8675</v>
      </c>
      <c r="Q1362" s="6">
        <v>40253</v>
      </c>
      <c r="R1362" s="7">
        <v>0.66666666666666663</v>
      </c>
      <c r="S1362" s="5">
        <v>116.2</v>
      </c>
      <c r="T1362" s="5">
        <v>116.59</v>
      </c>
      <c r="U1362" s="5">
        <v>113.1</v>
      </c>
      <c r="V1362" s="5">
        <v>113.68</v>
      </c>
      <c r="W1362" s="5">
        <v>571202</v>
      </c>
    </row>
    <row r="1363" spans="1:23" x14ac:dyDescent="0.3">
      <c r="A1363" s="6">
        <v>40298</v>
      </c>
      <c r="B1363" s="7">
        <v>0.66666666666666663</v>
      </c>
      <c r="C1363" s="5">
        <v>98.5</v>
      </c>
      <c r="D1363" s="5">
        <v>99</v>
      </c>
      <c r="E1363" s="5">
        <v>98.11</v>
      </c>
      <c r="F1363" s="5">
        <v>98.8</v>
      </c>
      <c r="G1363" s="5">
        <v>1515</v>
      </c>
      <c r="Q1363" s="6">
        <v>40254</v>
      </c>
      <c r="R1363" s="7">
        <v>0.66666666666666663</v>
      </c>
      <c r="S1363" s="5">
        <v>113.68</v>
      </c>
      <c r="T1363" s="5">
        <v>115.25</v>
      </c>
      <c r="U1363" s="5">
        <v>113</v>
      </c>
      <c r="V1363" s="5">
        <v>113.2</v>
      </c>
      <c r="W1363" s="5">
        <v>437580</v>
      </c>
    </row>
    <row r="1364" spans="1:23" x14ac:dyDescent="0.3">
      <c r="A1364" s="6">
        <v>40301</v>
      </c>
      <c r="B1364" s="7">
        <v>0.66666666666666663</v>
      </c>
      <c r="C1364" s="5">
        <v>98.35</v>
      </c>
      <c r="D1364" s="5">
        <v>99</v>
      </c>
      <c r="E1364" s="5">
        <v>98.35</v>
      </c>
      <c r="F1364" s="5">
        <v>98.75</v>
      </c>
      <c r="G1364" s="5">
        <v>11401</v>
      </c>
      <c r="Q1364" s="6">
        <v>40255</v>
      </c>
      <c r="R1364" s="7">
        <v>0.66666666666666663</v>
      </c>
      <c r="S1364" s="5">
        <v>113.2</v>
      </c>
      <c r="T1364" s="5">
        <v>114.1</v>
      </c>
      <c r="U1364" s="5">
        <v>112.5</v>
      </c>
      <c r="V1364" s="5">
        <v>112.93</v>
      </c>
      <c r="W1364" s="5">
        <v>257321</v>
      </c>
    </row>
    <row r="1365" spans="1:23" x14ac:dyDescent="0.3">
      <c r="A1365" s="6">
        <v>40302</v>
      </c>
      <c r="B1365" s="7">
        <v>0.66666666666666663</v>
      </c>
      <c r="C1365" s="5">
        <v>98.99</v>
      </c>
      <c r="D1365" s="5">
        <v>102.5</v>
      </c>
      <c r="E1365" s="5">
        <v>98.15</v>
      </c>
      <c r="F1365" s="5">
        <v>98.88</v>
      </c>
      <c r="G1365" s="5">
        <v>16007</v>
      </c>
      <c r="Q1365" s="6">
        <v>40256</v>
      </c>
      <c r="R1365" s="7">
        <v>0.66666666666666663</v>
      </c>
      <c r="S1365" s="5">
        <v>112.93</v>
      </c>
      <c r="T1365" s="5">
        <v>114.15</v>
      </c>
      <c r="U1365" s="5">
        <v>112</v>
      </c>
      <c r="V1365" s="5">
        <v>112.2</v>
      </c>
      <c r="W1365" s="5">
        <v>321309</v>
      </c>
    </row>
    <row r="1366" spans="1:23" x14ac:dyDescent="0.3">
      <c r="A1366" s="6">
        <v>40303</v>
      </c>
      <c r="B1366" s="7">
        <v>0.66666666666666663</v>
      </c>
      <c r="C1366" s="5">
        <v>99</v>
      </c>
      <c r="D1366" s="5">
        <v>101</v>
      </c>
      <c r="E1366" s="5">
        <v>98.52</v>
      </c>
      <c r="F1366" s="5">
        <v>98.83</v>
      </c>
      <c r="G1366" s="5">
        <v>12080</v>
      </c>
      <c r="Q1366" s="6">
        <v>40259</v>
      </c>
      <c r="R1366" s="7">
        <v>0.66666666666666663</v>
      </c>
      <c r="S1366" s="5">
        <v>112.2</v>
      </c>
      <c r="T1366" s="5">
        <v>114</v>
      </c>
      <c r="U1366" s="5">
        <v>112</v>
      </c>
      <c r="V1366" s="5">
        <v>112.27</v>
      </c>
      <c r="W1366" s="5">
        <v>322076</v>
      </c>
    </row>
    <row r="1367" spans="1:23" x14ac:dyDescent="0.3">
      <c r="A1367" s="6">
        <v>40304</v>
      </c>
      <c r="B1367" s="7">
        <v>0.66666666666666663</v>
      </c>
      <c r="C1367" s="5">
        <v>99</v>
      </c>
      <c r="D1367" s="5">
        <v>99.6</v>
      </c>
      <c r="E1367" s="5">
        <v>99</v>
      </c>
      <c r="F1367" s="5">
        <v>99.47</v>
      </c>
      <c r="G1367" s="5">
        <v>2874</v>
      </c>
      <c r="Q1367" s="6">
        <v>40261</v>
      </c>
      <c r="R1367" s="7">
        <v>0.66666666666666663</v>
      </c>
      <c r="S1367" s="5">
        <v>112.69</v>
      </c>
      <c r="T1367" s="5">
        <v>117.88</v>
      </c>
      <c r="U1367" s="5">
        <v>112.69</v>
      </c>
      <c r="V1367" s="5">
        <v>117.73</v>
      </c>
      <c r="W1367" s="5">
        <v>2304612</v>
      </c>
    </row>
    <row r="1368" spans="1:23" x14ac:dyDescent="0.3">
      <c r="A1368" s="6">
        <v>40305</v>
      </c>
      <c r="B1368" s="7">
        <v>0.66666666666666663</v>
      </c>
      <c r="C1368" s="5">
        <v>98.01</v>
      </c>
      <c r="D1368" s="5">
        <v>99</v>
      </c>
      <c r="E1368" s="5">
        <v>98</v>
      </c>
      <c r="F1368" s="5">
        <v>98.61</v>
      </c>
      <c r="G1368" s="5">
        <v>6220</v>
      </c>
      <c r="Q1368" s="6">
        <v>40262</v>
      </c>
      <c r="R1368" s="7">
        <v>0.66666666666666663</v>
      </c>
      <c r="S1368" s="5">
        <v>117.73</v>
      </c>
      <c r="T1368" s="5">
        <v>119.99</v>
      </c>
      <c r="U1368" s="5">
        <v>116</v>
      </c>
      <c r="V1368" s="5">
        <v>116.37</v>
      </c>
      <c r="W1368" s="5">
        <v>2363597</v>
      </c>
    </row>
    <row r="1369" spans="1:23" x14ac:dyDescent="0.3">
      <c r="A1369" s="6">
        <v>40308</v>
      </c>
      <c r="B1369" s="7">
        <v>0.66666666666666663</v>
      </c>
      <c r="C1369" s="5">
        <v>98.61</v>
      </c>
      <c r="D1369" s="5">
        <v>99.3</v>
      </c>
      <c r="E1369" s="5">
        <v>98.16</v>
      </c>
      <c r="F1369" s="5">
        <v>99.08</v>
      </c>
      <c r="G1369" s="5">
        <v>2300</v>
      </c>
      <c r="Q1369" s="6">
        <v>40263</v>
      </c>
      <c r="R1369" s="7">
        <v>0.66666666666666663</v>
      </c>
      <c r="S1369" s="5">
        <v>116.37</v>
      </c>
      <c r="T1369" s="5">
        <v>117</v>
      </c>
      <c r="U1369" s="5">
        <v>115.1</v>
      </c>
      <c r="V1369" s="5">
        <v>115.53</v>
      </c>
      <c r="W1369" s="5">
        <v>696474</v>
      </c>
    </row>
    <row r="1370" spans="1:23" x14ac:dyDescent="0.3">
      <c r="A1370" s="6">
        <v>40309</v>
      </c>
      <c r="B1370" s="7">
        <v>0.66666666666666663</v>
      </c>
      <c r="C1370" s="5">
        <v>99.25</v>
      </c>
      <c r="D1370" s="5">
        <v>99.25</v>
      </c>
      <c r="E1370" s="5">
        <v>98</v>
      </c>
      <c r="F1370" s="5">
        <v>98.04</v>
      </c>
      <c r="G1370" s="5">
        <v>2000</v>
      </c>
      <c r="Q1370" s="6">
        <v>40266</v>
      </c>
      <c r="R1370" s="7">
        <v>0.66666666666666663</v>
      </c>
      <c r="S1370" s="5">
        <v>115.53</v>
      </c>
      <c r="T1370" s="5">
        <v>115.99</v>
      </c>
      <c r="U1370" s="5">
        <v>113.6</v>
      </c>
      <c r="V1370" s="5">
        <v>113.81</v>
      </c>
      <c r="W1370" s="5">
        <v>226240</v>
      </c>
    </row>
    <row r="1371" spans="1:23" x14ac:dyDescent="0.3">
      <c r="A1371" s="6">
        <v>40310</v>
      </c>
      <c r="B1371" s="7">
        <v>0.66666666666666663</v>
      </c>
      <c r="C1371" s="5">
        <v>98.4</v>
      </c>
      <c r="D1371" s="5">
        <v>99.4</v>
      </c>
      <c r="E1371" s="5">
        <v>98</v>
      </c>
      <c r="F1371" s="5">
        <v>99.12</v>
      </c>
      <c r="G1371" s="5">
        <v>3053</v>
      </c>
      <c r="Q1371" s="6">
        <v>40267</v>
      </c>
      <c r="R1371" s="7">
        <v>0.66666666666666663</v>
      </c>
      <c r="S1371" s="5">
        <v>113.81</v>
      </c>
      <c r="T1371" s="5">
        <v>117.8</v>
      </c>
      <c r="U1371" s="5">
        <v>113.17</v>
      </c>
      <c r="V1371" s="5">
        <v>114.76</v>
      </c>
      <c r="W1371" s="5">
        <v>1671261</v>
      </c>
    </row>
    <row r="1372" spans="1:23" x14ac:dyDescent="0.3">
      <c r="A1372" s="6">
        <v>40311</v>
      </c>
      <c r="B1372" s="7">
        <v>0.66666666666666663</v>
      </c>
      <c r="C1372" s="5">
        <v>99.2</v>
      </c>
      <c r="D1372" s="5">
        <v>99.51</v>
      </c>
      <c r="E1372" s="5">
        <v>99</v>
      </c>
      <c r="F1372" s="5">
        <v>99.15</v>
      </c>
      <c r="G1372" s="5">
        <v>5898</v>
      </c>
      <c r="Q1372" s="6">
        <v>40268</v>
      </c>
      <c r="R1372" s="7">
        <v>0.66666666666666663</v>
      </c>
      <c r="S1372" s="5">
        <v>115.05</v>
      </c>
      <c r="T1372" s="5">
        <v>116.89</v>
      </c>
      <c r="U1372" s="5">
        <v>115.05</v>
      </c>
      <c r="V1372" s="5">
        <v>115.27</v>
      </c>
      <c r="W1372" s="5">
        <v>735019</v>
      </c>
    </row>
    <row r="1373" spans="1:23" x14ac:dyDescent="0.3">
      <c r="A1373" s="6">
        <v>40312</v>
      </c>
      <c r="B1373" s="7">
        <v>0.66666666666666663</v>
      </c>
      <c r="C1373" s="5">
        <v>99.9</v>
      </c>
      <c r="D1373" s="5">
        <v>99.9</v>
      </c>
      <c r="E1373" s="5">
        <v>99</v>
      </c>
      <c r="F1373" s="5">
        <v>99</v>
      </c>
      <c r="G1373" s="5">
        <v>390</v>
      </c>
      <c r="Q1373" s="6">
        <v>40269</v>
      </c>
      <c r="R1373" s="7">
        <v>0.66666666666666663</v>
      </c>
      <c r="S1373" s="5">
        <v>115.27</v>
      </c>
      <c r="T1373" s="5">
        <v>117.25</v>
      </c>
      <c r="U1373" s="5">
        <v>115.2</v>
      </c>
      <c r="V1373" s="5">
        <v>115.46</v>
      </c>
      <c r="W1373" s="5">
        <v>731637</v>
      </c>
    </row>
    <row r="1374" spans="1:23" x14ac:dyDescent="0.3">
      <c r="A1374" s="6">
        <v>40315</v>
      </c>
      <c r="B1374" s="7">
        <v>0.66666666666666663</v>
      </c>
      <c r="C1374" s="5">
        <v>98</v>
      </c>
      <c r="D1374" s="5">
        <v>100</v>
      </c>
      <c r="E1374" s="5">
        <v>97.8</v>
      </c>
      <c r="F1374" s="5">
        <v>98.06</v>
      </c>
      <c r="G1374" s="5">
        <v>2960</v>
      </c>
      <c r="Q1374" s="6">
        <v>40270</v>
      </c>
      <c r="R1374" s="7">
        <v>0.66666666666666663</v>
      </c>
      <c r="S1374" s="5">
        <v>115.89</v>
      </c>
      <c r="T1374" s="5">
        <v>121.23</v>
      </c>
      <c r="U1374" s="5">
        <v>115.89</v>
      </c>
      <c r="V1374" s="5">
        <v>121.13</v>
      </c>
      <c r="W1374" s="5">
        <v>4043505</v>
      </c>
    </row>
    <row r="1375" spans="1:23" x14ac:dyDescent="0.3">
      <c r="A1375" s="6">
        <v>40316</v>
      </c>
      <c r="B1375" s="7">
        <v>0.66666666666666663</v>
      </c>
      <c r="C1375" s="5">
        <v>97.5</v>
      </c>
      <c r="D1375" s="5">
        <v>98.5</v>
      </c>
      <c r="E1375" s="5">
        <v>97.5</v>
      </c>
      <c r="F1375" s="5">
        <v>97.5</v>
      </c>
      <c r="G1375" s="5">
        <v>1546</v>
      </c>
      <c r="Q1375" s="6">
        <v>40273</v>
      </c>
      <c r="R1375" s="7">
        <v>0.66666666666666663</v>
      </c>
      <c r="S1375" s="5">
        <v>122.01</v>
      </c>
      <c r="T1375" s="5">
        <v>125.25</v>
      </c>
      <c r="U1375" s="5">
        <v>122.01</v>
      </c>
      <c r="V1375" s="5">
        <v>122.66</v>
      </c>
      <c r="W1375" s="5">
        <v>2323162</v>
      </c>
    </row>
    <row r="1376" spans="1:23" x14ac:dyDescent="0.3">
      <c r="A1376" s="6">
        <v>40317</v>
      </c>
      <c r="B1376" s="7">
        <v>0.66666666666666663</v>
      </c>
      <c r="C1376" s="5">
        <v>97.01</v>
      </c>
      <c r="D1376" s="5">
        <v>97.01</v>
      </c>
      <c r="E1376" s="5">
        <v>95</v>
      </c>
      <c r="F1376" s="5">
        <v>95.9</v>
      </c>
      <c r="G1376" s="5">
        <v>2928</v>
      </c>
      <c r="Q1376" s="6">
        <v>40274</v>
      </c>
      <c r="R1376" s="7">
        <v>0.66666666666666663</v>
      </c>
      <c r="S1376" s="5">
        <v>122.66</v>
      </c>
      <c r="T1376" s="5">
        <v>125.7</v>
      </c>
      <c r="U1376" s="5">
        <v>121</v>
      </c>
      <c r="V1376" s="5">
        <v>121.79</v>
      </c>
      <c r="W1376" s="5">
        <v>2124419</v>
      </c>
    </row>
    <row r="1377" spans="1:23" x14ac:dyDescent="0.3">
      <c r="A1377" s="6">
        <v>40318</v>
      </c>
      <c r="B1377" s="7">
        <v>0.66666666666666663</v>
      </c>
      <c r="C1377" s="5">
        <v>96.5</v>
      </c>
      <c r="D1377" s="5">
        <v>97.25</v>
      </c>
      <c r="E1377" s="5">
        <v>96.5</v>
      </c>
      <c r="F1377" s="5">
        <v>97.17</v>
      </c>
      <c r="G1377" s="5">
        <v>3250</v>
      </c>
      <c r="Q1377" s="6">
        <v>40275</v>
      </c>
      <c r="R1377" s="7">
        <v>0.66666666666666663</v>
      </c>
      <c r="S1377" s="5">
        <v>121.79</v>
      </c>
      <c r="T1377" s="5">
        <v>125.15</v>
      </c>
      <c r="U1377" s="5">
        <v>121.6</v>
      </c>
      <c r="V1377" s="5">
        <v>123.43</v>
      </c>
      <c r="W1377" s="5">
        <v>1509919</v>
      </c>
    </row>
    <row r="1378" spans="1:23" x14ac:dyDescent="0.3">
      <c r="A1378" s="6">
        <v>40319</v>
      </c>
      <c r="B1378" s="7">
        <v>0.66666666666666663</v>
      </c>
      <c r="C1378" s="5">
        <v>96.5</v>
      </c>
      <c r="D1378" s="5">
        <v>96.5</v>
      </c>
      <c r="E1378" s="5">
        <v>95.5</v>
      </c>
      <c r="F1378" s="5">
        <v>95.51</v>
      </c>
      <c r="G1378" s="5">
        <v>7809</v>
      </c>
      <c r="Q1378" s="6">
        <v>40276</v>
      </c>
      <c r="R1378" s="7">
        <v>0.66666666666666663</v>
      </c>
      <c r="S1378" s="5">
        <v>123.43</v>
      </c>
      <c r="T1378" s="5">
        <v>125.2</v>
      </c>
      <c r="U1378" s="5">
        <v>123.2</v>
      </c>
      <c r="V1378" s="5">
        <v>124.56</v>
      </c>
      <c r="W1378" s="5">
        <v>1691604</v>
      </c>
    </row>
    <row r="1379" spans="1:23" x14ac:dyDescent="0.3">
      <c r="A1379" s="6">
        <v>40322</v>
      </c>
      <c r="B1379" s="7">
        <v>0.66666666666666663</v>
      </c>
      <c r="C1379" s="5">
        <v>95.05</v>
      </c>
      <c r="D1379" s="5">
        <v>95.25</v>
      </c>
      <c r="E1379" s="5">
        <v>94.05</v>
      </c>
      <c r="F1379" s="5">
        <v>94.37</v>
      </c>
      <c r="G1379" s="5">
        <v>9531</v>
      </c>
      <c r="Q1379" s="6">
        <v>40277</v>
      </c>
      <c r="R1379" s="7">
        <v>0.66666666666666663</v>
      </c>
      <c r="S1379" s="5">
        <v>125.25</v>
      </c>
      <c r="T1379" s="5">
        <v>130.78</v>
      </c>
      <c r="U1379" s="5">
        <v>125.25</v>
      </c>
      <c r="V1379" s="5">
        <v>129.19999999999999</v>
      </c>
      <c r="W1379" s="5">
        <v>5943705</v>
      </c>
    </row>
    <row r="1380" spans="1:23" x14ac:dyDescent="0.3">
      <c r="A1380" s="6">
        <v>40323</v>
      </c>
      <c r="B1380" s="7">
        <v>0.66666666666666663</v>
      </c>
      <c r="C1380" s="5">
        <v>97</v>
      </c>
      <c r="D1380" s="5">
        <v>97</v>
      </c>
      <c r="E1380" s="5">
        <v>89.66</v>
      </c>
      <c r="F1380" s="5">
        <v>89.69</v>
      </c>
      <c r="G1380" s="5">
        <v>19140</v>
      </c>
      <c r="Q1380" s="6">
        <v>40280</v>
      </c>
      <c r="R1380" s="7">
        <v>0.66666666666666663</v>
      </c>
      <c r="S1380" s="5">
        <v>129.19999999999999</v>
      </c>
      <c r="T1380" s="5">
        <v>129.4</v>
      </c>
      <c r="U1380" s="5">
        <v>123.8</v>
      </c>
      <c r="V1380" s="5">
        <v>124.23</v>
      </c>
      <c r="W1380" s="5">
        <v>1907952</v>
      </c>
    </row>
    <row r="1381" spans="1:23" x14ac:dyDescent="0.3">
      <c r="A1381" s="6">
        <v>40324</v>
      </c>
      <c r="B1381" s="7">
        <v>0.66666666666666663</v>
      </c>
      <c r="C1381" s="5">
        <v>92.99</v>
      </c>
      <c r="D1381" s="5">
        <v>93</v>
      </c>
      <c r="E1381" s="5">
        <v>89.75</v>
      </c>
      <c r="F1381" s="5">
        <v>91</v>
      </c>
      <c r="G1381" s="5">
        <v>9528</v>
      </c>
      <c r="Q1381" s="6">
        <v>40281</v>
      </c>
      <c r="R1381" s="7">
        <v>0.66666666666666663</v>
      </c>
      <c r="S1381" s="5">
        <v>124.23</v>
      </c>
      <c r="T1381" s="5">
        <v>124.89</v>
      </c>
      <c r="U1381" s="5">
        <v>122</v>
      </c>
      <c r="V1381" s="5">
        <v>122.28</v>
      </c>
      <c r="W1381" s="5">
        <v>851692</v>
      </c>
    </row>
    <row r="1382" spans="1:23" x14ac:dyDescent="0.3">
      <c r="A1382" s="6">
        <v>40325</v>
      </c>
      <c r="B1382" s="7">
        <v>0.66666666666666663</v>
      </c>
      <c r="C1382" s="5">
        <v>91.01</v>
      </c>
      <c r="D1382" s="5">
        <v>91.4</v>
      </c>
      <c r="E1382" s="5">
        <v>88.3</v>
      </c>
      <c r="F1382" s="5">
        <v>90</v>
      </c>
      <c r="G1382" s="5">
        <v>6772</v>
      </c>
      <c r="Q1382" s="6">
        <v>40282</v>
      </c>
      <c r="R1382" s="7">
        <v>0.66666666666666663</v>
      </c>
      <c r="S1382" s="5">
        <v>122.28</v>
      </c>
      <c r="T1382" s="5">
        <v>124.49</v>
      </c>
      <c r="U1382" s="5">
        <v>122.21</v>
      </c>
      <c r="V1382" s="5">
        <v>123.63</v>
      </c>
      <c r="W1382" s="5">
        <v>1052496</v>
      </c>
    </row>
    <row r="1383" spans="1:23" x14ac:dyDescent="0.3">
      <c r="A1383" s="6">
        <v>40326</v>
      </c>
      <c r="B1383" s="7">
        <v>0.66666666666666663</v>
      </c>
      <c r="C1383" s="5">
        <v>92</v>
      </c>
      <c r="D1383" s="5">
        <v>92</v>
      </c>
      <c r="E1383" s="5">
        <v>87.05</v>
      </c>
      <c r="F1383" s="5">
        <v>88.65</v>
      </c>
      <c r="G1383" s="5">
        <v>4591</v>
      </c>
      <c r="Q1383" s="6">
        <v>40283</v>
      </c>
      <c r="R1383" s="7">
        <v>0.66666666666666663</v>
      </c>
      <c r="S1383" s="5">
        <v>123.92</v>
      </c>
      <c r="T1383" s="5">
        <v>125.55</v>
      </c>
      <c r="U1383" s="5">
        <v>123.92</v>
      </c>
      <c r="V1383" s="5">
        <v>124.7</v>
      </c>
      <c r="W1383" s="5">
        <v>805946</v>
      </c>
    </row>
    <row r="1384" spans="1:23" x14ac:dyDescent="0.3">
      <c r="A1384" s="6">
        <v>40329</v>
      </c>
      <c r="B1384" s="7">
        <v>0.66666666666666663</v>
      </c>
      <c r="C1384" s="5">
        <v>88</v>
      </c>
      <c r="D1384" s="5">
        <v>88</v>
      </c>
      <c r="E1384" s="5">
        <v>84.22</v>
      </c>
      <c r="F1384" s="5">
        <v>84.31</v>
      </c>
      <c r="G1384" s="5">
        <v>8411</v>
      </c>
      <c r="Q1384" s="6">
        <v>40284</v>
      </c>
      <c r="R1384" s="7">
        <v>0.66666666666666663</v>
      </c>
      <c r="S1384" s="5">
        <v>124.7</v>
      </c>
      <c r="T1384" s="5">
        <v>125.69</v>
      </c>
      <c r="U1384" s="5">
        <v>122.6</v>
      </c>
      <c r="V1384" s="5">
        <v>122.82</v>
      </c>
      <c r="W1384" s="5">
        <v>632932</v>
      </c>
    </row>
    <row r="1385" spans="1:23" x14ac:dyDescent="0.3">
      <c r="A1385" s="6">
        <v>40330</v>
      </c>
      <c r="B1385" s="7">
        <v>0.66666666666666663</v>
      </c>
      <c r="C1385" s="5">
        <v>84.25</v>
      </c>
      <c r="D1385" s="5">
        <v>84.25</v>
      </c>
      <c r="E1385" s="5">
        <v>81</v>
      </c>
      <c r="F1385" s="5">
        <v>82.24</v>
      </c>
      <c r="G1385" s="5">
        <v>3968</v>
      </c>
      <c r="Q1385" s="6">
        <v>40287</v>
      </c>
      <c r="R1385" s="7">
        <v>0.66666666666666663</v>
      </c>
      <c r="S1385" s="5">
        <v>122.82</v>
      </c>
      <c r="T1385" s="5">
        <v>123.75</v>
      </c>
      <c r="U1385" s="5">
        <v>120.4</v>
      </c>
      <c r="V1385" s="5">
        <v>120.82</v>
      </c>
      <c r="W1385" s="5">
        <v>570422</v>
      </c>
    </row>
    <row r="1386" spans="1:23" x14ac:dyDescent="0.3">
      <c r="A1386" s="6">
        <v>40331</v>
      </c>
      <c r="B1386" s="7">
        <v>0.66666666666666663</v>
      </c>
      <c r="C1386" s="5">
        <v>85</v>
      </c>
      <c r="D1386" s="5">
        <v>85</v>
      </c>
      <c r="E1386" s="5">
        <v>84</v>
      </c>
      <c r="F1386" s="5">
        <v>84.03</v>
      </c>
      <c r="G1386" s="5">
        <v>4575</v>
      </c>
      <c r="Q1386" s="6">
        <v>40288</v>
      </c>
      <c r="R1386" s="7">
        <v>0.66666666666666663</v>
      </c>
      <c r="S1386" s="5">
        <v>120.82</v>
      </c>
      <c r="T1386" s="5">
        <v>121.74</v>
      </c>
      <c r="U1386" s="5">
        <v>118.15</v>
      </c>
      <c r="V1386" s="5">
        <v>119.09</v>
      </c>
      <c r="W1386" s="5">
        <v>527226</v>
      </c>
    </row>
    <row r="1387" spans="1:23" x14ac:dyDescent="0.3">
      <c r="A1387" s="6">
        <v>40332</v>
      </c>
      <c r="B1387" s="7">
        <v>0.66666666666666663</v>
      </c>
      <c r="C1387" s="5">
        <v>85.49</v>
      </c>
      <c r="D1387" s="5">
        <v>88</v>
      </c>
      <c r="E1387" s="5">
        <v>85.01</v>
      </c>
      <c r="F1387" s="5">
        <v>86</v>
      </c>
      <c r="G1387" s="5">
        <v>3505</v>
      </c>
      <c r="Q1387" s="6">
        <v>40289</v>
      </c>
      <c r="R1387" s="7">
        <v>0.66666666666666663</v>
      </c>
      <c r="S1387" s="5">
        <v>118.7</v>
      </c>
      <c r="T1387" s="5">
        <v>118.7</v>
      </c>
      <c r="U1387" s="5">
        <v>115.7</v>
      </c>
      <c r="V1387" s="5">
        <v>116.23</v>
      </c>
      <c r="W1387" s="5">
        <v>862062</v>
      </c>
    </row>
    <row r="1388" spans="1:23" x14ac:dyDescent="0.3">
      <c r="A1388" s="6">
        <v>40333</v>
      </c>
      <c r="B1388" s="7">
        <v>0.66666666666666663</v>
      </c>
      <c r="C1388" s="5">
        <v>85.05</v>
      </c>
      <c r="D1388" s="5">
        <v>87.49</v>
      </c>
      <c r="E1388" s="5">
        <v>85.05</v>
      </c>
      <c r="F1388" s="5">
        <v>86.52</v>
      </c>
      <c r="G1388" s="5">
        <v>2622</v>
      </c>
      <c r="Q1388" s="6">
        <v>40290</v>
      </c>
      <c r="R1388" s="7">
        <v>0.66666666666666663</v>
      </c>
      <c r="S1388" s="5">
        <v>116.23</v>
      </c>
      <c r="T1388" s="5">
        <v>118.7</v>
      </c>
      <c r="U1388" s="5">
        <v>115.51</v>
      </c>
      <c r="V1388" s="5">
        <v>117.7</v>
      </c>
      <c r="W1388" s="5">
        <v>743923</v>
      </c>
    </row>
    <row r="1389" spans="1:23" x14ac:dyDescent="0.3">
      <c r="A1389" s="6">
        <v>40336</v>
      </c>
      <c r="B1389" s="7">
        <v>0.66666666666666663</v>
      </c>
      <c r="C1389" s="5">
        <v>87.99</v>
      </c>
      <c r="D1389" s="5">
        <v>90.5</v>
      </c>
      <c r="E1389" s="5">
        <v>87.5</v>
      </c>
      <c r="F1389" s="5">
        <v>90.44</v>
      </c>
      <c r="G1389" s="5">
        <v>5001</v>
      </c>
      <c r="Q1389" s="6">
        <v>40291</v>
      </c>
      <c r="R1389" s="7">
        <v>0.66666666666666663</v>
      </c>
      <c r="S1389" s="5">
        <v>117.7</v>
      </c>
      <c r="T1389" s="5">
        <v>119.85</v>
      </c>
      <c r="U1389" s="5">
        <v>117.02</v>
      </c>
      <c r="V1389" s="5">
        <v>117.6</v>
      </c>
      <c r="W1389" s="5">
        <v>816552</v>
      </c>
    </row>
    <row r="1390" spans="1:23" x14ac:dyDescent="0.3">
      <c r="A1390" s="6">
        <v>40337</v>
      </c>
      <c r="B1390" s="7">
        <v>0.66666666666666663</v>
      </c>
      <c r="C1390" s="5">
        <v>90</v>
      </c>
      <c r="D1390" s="5">
        <v>91.98</v>
      </c>
      <c r="E1390" s="5">
        <v>88.05</v>
      </c>
      <c r="F1390" s="5">
        <v>90</v>
      </c>
      <c r="G1390" s="5">
        <v>1351</v>
      </c>
      <c r="Q1390" s="6">
        <v>40294</v>
      </c>
      <c r="R1390" s="7">
        <v>0.66666666666666663</v>
      </c>
      <c r="S1390" s="5">
        <v>117.6</v>
      </c>
      <c r="T1390" s="5">
        <v>118.15</v>
      </c>
      <c r="U1390" s="5">
        <v>115.5</v>
      </c>
      <c r="V1390" s="5">
        <v>115.67</v>
      </c>
      <c r="W1390" s="5">
        <v>388507</v>
      </c>
    </row>
    <row r="1391" spans="1:23" x14ac:dyDescent="0.3">
      <c r="A1391" s="6">
        <v>40338</v>
      </c>
      <c r="B1391" s="7">
        <v>0.66666666666666663</v>
      </c>
      <c r="C1391" s="5">
        <v>89.01</v>
      </c>
      <c r="D1391" s="5">
        <v>93.75</v>
      </c>
      <c r="E1391" s="5">
        <v>89.01</v>
      </c>
      <c r="F1391" s="5">
        <v>90.8</v>
      </c>
      <c r="G1391" s="5">
        <v>12454</v>
      </c>
      <c r="Q1391" s="6">
        <v>40295</v>
      </c>
      <c r="R1391" s="7">
        <v>0.66666666666666663</v>
      </c>
      <c r="S1391" s="5">
        <v>115.67</v>
      </c>
      <c r="T1391" s="5">
        <v>116.89</v>
      </c>
      <c r="U1391" s="5">
        <v>113.82</v>
      </c>
      <c r="V1391" s="5">
        <v>114.13</v>
      </c>
      <c r="W1391" s="5">
        <v>402852</v>
      </c>
    </row>
    <row r="1392" spans="1:23" x14ac:dyDescent="0.3">
      <c r="A1392" s="6">
        <v>40339</v>
      </c>
      <c r="B1392" s="7">
        <v>0.66666666666666663</v>
      </c>
      <c r="C1392" s="5">
        <v>93.95</v>
      </c>
      <c r="D1392" s="5">
        <v>93.95</v>
      </c>
      <c r="E1392" s="5">
        <v>87.26</v>
      </c>
      <c r="F1392" s="5">
        <v>87.91</v>
      </c>
      <c r="G1392" s="5">
        <v>8501</v>
      </c>
      <c r="Q1392" s="6">
        <v>40296</v>
      </c>
      <c r="R1392" s="7">
        <v>0.66666666666666663</v>
      </c>
      <c r="S1392" s="5">
        <v>114.13</v>
      </c>
      <c r="T1392" s="5">
        <v>114.98</v>
      </c>
      <c r="U1392" s="5">
        <v>112.1</v>
      </c>
      <c r="V1392" s="5">
        <v>112.82</v>
      </c>
      <c r="W1392" s="5">
        <v>411161</v>
      </c>
    </row>
    <row r="1393" spans="1:23" x14ac:dyDescent="0.3">
      <c r="A1393" s="6">
        <v>40340</v>
      </c>
      <c r="B1393" s="7">
        <v>0.66666666666666663</v>
      </c>
      <c r="C1393" s="5">
        <v>86.12</v>
      </c>
      <c r="D1393" s="5">
        <v>91.2</v>
      </c>
      <c r="E1393" s="5">
        <v>86.03</v>
      </c>
      <c r="F1393" s="5">
        <v>89.71</v>
      </c>
      <c r="G1393" s="5">
        <v>2043</v>
      </c>
      <c r="Q1393" s="6">
        <v>40297</v>
      </c>
      <c r="R1393" s="7">
        <v>0.66666666666666663</v>
      </c>
      <c r="S1393" s="5">
        <v>112.82</v>
      </c>
      <c r="T1393" s="5">
        <v>113</v>
      </c>
      <c r="U1393" s="5">
        <v>110.5</v>
      </c>
      <c r="V1393" s="5">
        <v>111.07</v>
      </c>
      <c r="W1393" s="5">
        <v>301452</v>
      </c>
    </row>
    <row r="1394" spans="1:23" x14ac:dyDescent="0.3">
      <c r="A1394" s="6">
        <v>40343</v>
      </c>
      <c r="B1394" s="7">
        <v>0.66666666666666663</v>
      </c>
      <c r="C1394" s="5">
        <v>87.05</v>
      </c>
      <c r="D1394" s="5">
        <v>87.05</v>
      </c>
      <c r="E1394" s="5">
        <v>85.51</v>
      </c>
      <c r="F1394" s="5">
        <v>86.9</v>
      </c>
      <c r="G1394" s="5">
        <v>6435</v>
      </c>
      <c r="Q1394" s="6">
        <v>40298</v>
      </c>
      <c r="R1394" s="7">
        <v>0.66666666666666663</v>
      </c>
      <c r="S1394" s="5">
        <v>111.07</v>
      </c>
      <c r="T1394" s="5">
        <v>111.5</v>
      </c>
      <c r="U1394" s="5">
        <v>107.86</v>
      </c>
      <c r="V1394" s="5">
        <v>108.99</v>
      </c>
      <c r="W1394" s="5">
        <v>716730</v>
      </c>
    </row>
    <row r="1395" spans="1:23" x14ac:dyDescent="0.3">
      <c r="A1395" s="6">
        <v>40344</v>
      </c>
      <c r="B1395" s="7">
        <v>0.66666666666666663</v>
      </c>
      <c r="C1395" s="5">
        <v>86.51</v>
      </c>
      <c r="D1395" s="5">
        <v>91.24</v>
      </c>
      <c r="E1395" s="5">
        <v>86.5</v>
      </c>
      <c r="F1395" s="5">
        <v>90.78</v>
      </c>
      <c r="G1395" s="5">
        <v>15930</v>
      </c>
      <c r="Q1395" s="6">
        <v>40301</v>
      </c>
      <c r="R1395" s="7">
        <v>0.66666666666666663</v>
      </c>
      <c r="S1395" s="5">
        <v>108.99</v>
      </c>
      <c r="T1395" s="5">
        <v>111.49</v>
      </c>
      <c r="U1395" s="5">
        <v>108.76</v>
      </c>
      <c r="V1395" s="5">
        <v>109.7</v>
      </c>
      <c r="W1395" s="5">
        <v>306182</v>
      </c>
    </row>
    <row r="1396" spans="1:23" x14ac:dyDescent="0.3">
      <c r="A1396" s="6">
        <v>40345</v>
      </c>
      <c r="B1396" s="7">
        <v>0.66666666666666663</v>
      </c>
      <c r="C1396" s="5">
        <v>90</v>
      </c>
      <c r="D1396" s="5">
        <v>93</v>
      </c>
      <c r="E1396" s="5">
        <v>90</v>
      </c>
      <c r="F1396" s="5">
        <v>91.2</v>
      </c>
      <c r="G1396" s="5">
        <v>5295</v>
      </c>
      <c r="Q1396" s="6">
        <v>40302</v>
      </c>
      <c r="R1396" s="7">
        <v>0.66666666666666663</v>
      </c>
      <c r="S1396" s="5">
        <v>110.38</v>
      </c>
      <c r="T1396" s="5">
        <v>115.18</v>
      </c>
      <c r="U1396" s="5">
        <v>110.38</v>
      </c>
      <c r="V1396" s="5">
        <v>114.82</v>
      </c>
      <c r="W1396" s="5">
        <v>1359199</v>
      </c>
    </row>
    <row r="1397" spans="1:23" x14ac:dyDescent="0.3">
      <c r="A1397" s="6">
        <v>40346</v>
      </c>
      <c r="B1397" s="7">
        <v>0.66666666666666663</v>
      </c>
      <c r="C1397" s="5">
        <v>90.9</v>
      </c>
      <c r="D1397" s="5">
        <v>91.9</v>
      </c>
      <c r="E1397" s="5">
        <v>89.25</v>
      </c>
      <c r="F1397" s="5">
        <v>91.01</v>
      </c>
      <c r="G1397" s="5">
        <v>7186</v>
      </c>
      <c r="Q1397" s="6">
        <v>40303</v>
      </c>
      <c r="R1397" s="7">
        <v>0.66666666666666663</v>
      </c>
      <c r="S1397" s="5">
        <v>114.82</v>
      </c>
      <c r="T1397" s="5">
        <v>115.55</v>
      </c>
      <c r="U1397" s="5">
        <v>112.7</v>
      </c>
      <c r="V1397" s="5">
        <v>113.3</v>
      </c>
      <c r="W1397" s="5">
        <v>965001</v>
      </c>
    </row>
    <row r="1398" spans="1:23" x14ac:dyDescent="0.3">
      <c r="A1398" s="6">
        <v>40347</v>
      </c>
      <c r="B1398" s="7">
        <v>0.66666666666666663</v>
      </c>
      <c r="C1398" s="5">
        <v>90</v>
      </c>
      <c r="D1398" s="5">
        <v>92</v>
      </c>
      <c r="E1398" s="5">
        <v>90</v>
      </c>
      <c r="F1398" s="5">
        <v>90.16</v>
      </c>
      <c r="G1398" s="5">
        <v>1654</v>
      </c>
      <c r="Q1398" s="6">
        <v>40304</v>
      </c>
      <c r="R1398" s="7">
        <v>0.66666666666666663</v>
      </c>
      <c r="S1398" s="5">
        <v>113.3</v>
      </c>
      <c r="T1398" s="5">
        <v>114.37</v>
      </c>
      <c r="U1398" s="5">
        <v>112</v>
      </c>
      <c r="V1398" s="5">
        <v>112.44</v>
      </c>
      <c r="W1398" s="5">
        <v>400563</v>
      </c>
    </row>
    <row r="1399" spans="1:23" x14ac:dyDescent="0.3">
      <c r="A1399" s="6">
        <v>40350</v>
      </c>
      <c r="B1399" s="7">
        <v>0.66666666666666663</v>
      </c>
      <c r="C1399" s="5">
        <v>92</v>
      </c>
      <c r="D1399" s="5">
        <v>94.66</v>
      </c>
      <c r="E1399" s="5">
        <v>91.05</v>
      </c>
      <c r="F1399" s="5">
        <v>92.62</v>
      </c>
      <c r="G1399" s="5">
        <v>12330</v>
      </c>
      <c r="Q1399" s="6">
        <v>40305</v>
      </c>
      <c r="R1399" s="7">
        <v>0.66666666666666663</v>
      </c>
      <c r="S1399" s="5">
        <v>111.42</v>
      </c>
      <c r="T1399" s="5">
        <v>111.42</v>
      </c>
      <c r="U1399" s="5">
        <v>107.75</v>
      </c>
      <c r="V1399" s="5">
        <v>108.18</v>
      </c>
      <c r="W1399" s="5">
        <v>529227</v>
      </c>
    </row>
    <row r="1400" spans="1:23" x14ac:dyDescent="0.3">
      <c r="A1400" s="6">
        <v>40351</v>
      </c>
      <c r="B1400" s="7">
        <v>0.66666666666666663</v>
      </c>
      <c r="C1400" s="5">
        <v>95</v>
      </c>
      <c r="D1400" s="5">
        <v>95</v>
      </c>
      <c r="E1400" s="5">
        <v>92</v>
      </c>
      <c r="F1400" s="5">
        <v>92.1</v>
      </c>
      <c r="G1400" s="5">
        <v>10831</v>
      </c>
      <c r="Q1400" s="6">
        <v>40308</v>
      </c>
      <c r="R1400" s="7">
        <v>0.66666666666666663</v>
      </c>
      <c r="S1400" s="5">
        <v>108.18</v>
      </c>
      <c r="T1400" s="5">
        <v>109.7</v>
      </c>
      <c r="U1400" s="5">
        <v>107.51</v>
      </c>
      <c r="V1400" s="5">
        <v>108.63</v>
      </c>
      <c r="W1400" s="5">
        <v>253304</v>
      </c>
    </row>
    <row r="1401" spans="1:23" x14ac:dyDescent="0.3">
      <c r="A1401" s="6">
        <v>40352</v>
      </c>
      <c r="B1401" s="7">
        <v>0.66666666666666663</v>
      </c>
      <c r="C1401" s="5">
        <v>92.1</v>
      </c>
      <c r="D1401" s="5">
        <v>92.1</v>
      </c>
      <c r="E1401" s="5">
        <v>91.65</v>
      </c>
      <c r="F1401" s="5">
        <v>91.99</v>
      </c>
      <c r="G1401" s="5">
        <v>19586</v>
      </c>
      <c r="Q1401" s="6">
        <v>40309</v>
      </c>
      <c r="R1401" s="7">
        <v>0.66666666666666663</v>
      </c>
      <c r="S1401" s="5">
        <v>108.63</v>
      </c>
      <c r="T1401" s="5">
        <v>110.6</v>
      </c>
      <c r="U1401" s="5">
        <v>107</v>
      </c>
      <c r="V1401" s="5">
        <v>107.44</v>
      </c>
      <c r="W1401" s="5">
        <v>385049</v>
      </c>
    </row>
    <row r="1402" spans="1:23" x14ac:dyDescent="0.3">
      <c r="A1402" s="6">
        <v>40353</v>
      </c>
      <c r="B1402" s="7">
        <v>0.66666666666666663</v>
      </c>
      <c r="C1402" s="5">
        <v>90.31</v>
      </c>
      <c r="D1402" s="5">
        <v>93.39</v>
      </c>
      <c r="E1402" s="5">
        <v>90.31</v>
      </c>
      <c r="F1402" s="5">
        <v>91.04</v>
      </c>
      <c r="G1402" s="5">
        <v>4767</v>
      </c>
      <c r="Q1402" s="6">
        <v>40310</v>
      </c>
      <c r="R1402" s="7">
        <v>0.66666666666666663</v>
      </c>
      <c r="S1402" s="5">
        <v>107.44</v>
      </c>
      <c r="T1402" s="5">
        <v>108.38</v>
      </c>
      <c r="U1402" s="5">
        <v>105</v>
      </c>
      <c r="V1402" s="5">
        <v>106.94</v>
      </c>
      <c r="W1402" s="5">
        <v>379133</v>
      </c>
    </row>
    <row r="1403" spans="1:23" x14ac:dyDescent="0.3">
      <c r="A1403" s="6">
        <v>40354</v>
      </c>
      <c r="B1403" s="7">
        <v>0.66666666666666663</v>
      </c>
      <c r="C1403" s="5">
        <v>91.5</v>
      </c>
      <c r="D1403" s="5">
        <v>91.5</v>
      </c>
      <c r="E1403" s="5">
        <v>91</v>
      </c>
      <c r="F1403" s="5">
        <v>91</v>
      </c>
      <c r="G1403" s="5">
        <v>3000</v>
      </c>
      <c r="Q1403" s="6">
        <v>40311</v>
      </c>
      <c r="R1403" s="7">
        <v>0.66666666666666663</v>
      </c>
      <c r="S1403" s="5">
        <v>106.94</v>
      </c>
      <c r="T1403" s="5">
        <v>108.34</v>
      </c>
      <c r="U1403" s="5">
        <v>106.02</v>
      </c>
      <c r="V1403" s="5">
        <v>107.4</v>
      </c>
      <c r="W1403" s="5">
        <v>629632</v>
      </c>
    </row>
    <row r="1404" spans="1:23" x14ac:dyDescent="0.3">
      <c r="A1404" s="6">
        <v>40358</v>
      </c>
      <c r="B1404" s="7">
        <v>0.66666666666666663</v>
      </c>
      <c r="C1404" s="5">
        <v>88.05</v>
      </c>
      <c r="D1404" s="5">
        <v>89.45</v>
      </c>
      <c r="E1404" s="5">
        <v>88</v>
      </c>
      <c r="F1404" s="5">
        <v>89.25</v>
      </c>
      <c r="G1404" s="5">
        <v>1582</v>
      </c>
      <c r="Q1404" s="6">
        <v>40312</v>
      </c>
      <c r="R1404" s="7">
        <v>0.66666666666666663</v>
      </c>
      <c r="S1404" s="5">
        <v>107.4</v>
      </c>
      <c r="T1404" s="5">
        <v>108</v>
      </c>
      <c r="U1404" s="5">
        <v>105.62</v>
      </c>
      <c r="V1404" s="5">
        <v>106.01</v>
      </c>
      <c r="W1404" s="5">
        <v>199300</v>
      </c>
    </row>
    <row r="1405" spans="1:23" x14ac:dyDescent="0.3">
      <c r="A1405" s="6">
        <v>40359</v>
      </c>
      <c r="B1405" s="7">
        <v>0.66666666666666663</v>
      </c>
      <c r="C1405" s="5">
        <v>88.5</v>
      </c>
      <c r="D1405" s="5">
        <v>93.7</v>
      </c>
      <c r="E1405" s="5">
        <v>88.25</v>
      </c>
      <c r="F1405" s="5">
        <v>92.65</v>
      </c>
      <c r="G1405" s="5">
        <v>6376</v>
      </c>
      <c r="Q1405" s="6">
        <v>40315</v>
      </c>
      <c r="R1405" s="7">
        <v>0.66666666666666663</v>
      </c>
      <c r="S1405" s="5">
        <v>106.01</v>
      </c>
      <c r="T1405" s="5">
        <v>106.8</v>
      </c>
      <c r="U1405" s="5">
        <v>100.71</v>
      </c>
      <c r="V1405" s="5">
        <v>100.78</v>
      </c>
      <c r="W1405" s="5">
        <v>615598</v>
      </c>
    </row>
    <row r="1406" spans="1:23" x14ac:dyDescent="0.3">
      <c r="A1406" s="6">
        <v>40360</v>
      </c>
      <c r="B1406" s="7">
        <v>0.66666666666666663</v>
      </c>
      <c r="C1406" s="5">
        <v>92.5</v>
      </c>
      <c r="D1406" s="5">
        <v>92.5</v>
      </c>
      <c r="E1406" s="5">
        <v>91.5</v>
      </c>
      <c r="F1406" s="5">
        <v>91.5</v>
      </c>
      <c r="G1406" s="5">
        <v>300</v>
      </c>
      <c r="Q1406" s="6">
        <v>40316</v>
      </c>
      <c r="R1406" s="7">
        <v>0.66666666666666663</v>
      </c>
      <c r="S1406" s="5">
        <v>100.78</v>
      </c>
      <c r="T1406" s="5">
        <v>101.63</v>
      </c>
      <c r="U1406" s="5">
        <v>98</v>
      </c>
      <c r="V1406" s="5">
        <v>100.17</v>
      </c>
      <c r="W1406" s="5">
        <v>1289335</v>
      </c>
    </row>
    <row r="1407" spans="1:23" x14ac:dyDescent="0.3">
      <c r="A1407" s="6">
        <v>40361</v>
      </c>
      <c r="B1407" s="7">
        <v>0.66666666666666663</v>
      </c>
      <c r="C1407" s="5">
        <v>95.43</v>
      </c>
      <c r="D1407" s="5">
        <v>95.43</v>
      </c>
      <c r="E1407" s="5">
        <v>90.55</v>
      </c>
      <c r="F1407" s="5">
        <v>91.5</v>
      </c>
      <c r="G1407" s="5">
        <v>1116</v>
      </c>
      <c r="Q1407" s="6">
        <v>40317</v>
      </c>
      <c r="R1407" s="7">
        <v>0.66666666666666663</v>
      </c>
      <c r="S1407" s="5">
        <v>100</v>
      </c>
      <c r="T1407" s="5">
        <v>100</v>
      </c>
      <c r="U1407" s="5">
        <v>96.5</v>
      </c>
      <c r="V1407" s="5">
        <v>97.96</v>
      </c>
      <c r="W1407" s="5">
        <v>814256</v>
      </c>
    </row>
    <row r="1408" spans="1:23" x14ac:dyDescent="0.3">
      <c r="A1408" s="6">
        <v>40364</v>
      </c>
      <c r="B1408" s="7">
        <v>0.66666666666666663</v>
      </c>
      <c r="C1408" s="5">
        <v>91.5</v>
      </c>
      <c r="D1408" s="5">
        <v>91.5</v>
      </c>
      <c r="E1408" s="5">
        <v>87</v>
      </c>
      <c r="F1408" s="5">
        <v>87.47</v>
      </c>
      <c r="G1408" s="5">
        <v>10635</v>
      </c>
      <c r="Q1408" s="6">
        <v>40318</v>
      </c>
      <c r="R1408" s="7">
        <v>0.66666666666666663</v>
      </c>
      <c r="S1408" s="5">
        <v>97.96</v>
      </c>
      <c r="T1408" s="5">
        <v>99.27</v>
      </c>
      <c r="U1408" s="5">
        <v>96</v>
      </c>
      <c r="V1408" s="5">
        <v>96.66</v>
      </c>
      <c r="W1408" s="5">
        <v>631407</v>
      </c>
    </row>
    <row r="1409" spans="1:23" x14ac:dyDescent="0.3">
      <c r="A1409" s="6">
        <v>40365</v>
      </c>
      <c r="B1409" s="7">
        <v>0.66666666666666663</v>
      </c>
      <c r="C1409" s="5">
        <v>88</v>
      </c>
      <c r="D1409" s="5">
        <v>88</v>
      </c>
      <c r="E1409" s="5">
        <v>87.5</v>
      </c>
      <c r="F1409" s="5">
        <v>87.55</v>
      </c>
      <c r="G1409" s="5">
        <v>6628</v>
      </c>
      <c r="Q1409" s="6">
        <v>40319</v>
      </c>
      <c r="R1409" s="7">
        <v>0.66666666666666663</v>
      </c>
      <c r="S1409" s="5">
        <v>96.5</v>
      </c>
      <c r="T1409" s="5">
        <v>96.5</v>
      </c>
      <c r="U1409" s="5">
        <v>93.5</v>
      </c>
      <c r="V1409" s="5">
        <v>94.07</v>
      </c>
      <c r="W1409" s="5">
        <v>402160</v>
      </c>
    </row>
    <row r="1410" spans="1:23" x14ac:dyDescent="0.3">
      <c r="A1410" s="6">
        <v>40366</v>
      </c>
      <c r="B1410" s="7">
        <v>0.66666666666666663</v>
      </c>
      <c r="C1410" s="5">
        <v>89.89</v>
      </c>
      <c r="D1410" s="5">
        <v>89.9</v>
      </c>
      <c r="E1410" s="5">
        <v>87.5</v>
      </c>
      <c r="F1410" s="5">
        <v>89.79</v>
      </c>
      <c r="G1410" s="5">
        <v>2101</v>
      </c>
      <c r="Q1410" s="6">
        <v>40322</v>
      </c>
      <c r="R1410" s="7">
        <v>0.66666666666666663</v>
      </c>
      <c r="S1410" s="5">
        <v>94.07</v>
      </c>
      <c r="T1410" s="5">
        <v>94.55</v>
      </c>
      <c r="U1410" s="5">
        <v>89.37</v>
      </c>
      <c r="V1410" s="5">
        <v>90.06</v>
      </c>
      <c r="W1410" s="5">
        <v>394425</v>
      </c>
    </row>
    <row r="1411" spans="1:23" x14ac:dyDescent="0.3">
      <c r="A1411" s="6">
        <v>40367</v>
      </c>
      <c r="B1411" s="7">
        <v>0.66666666666666663</v>
      </c>
      <c r="C1411" s="5">
        <v>92</v>
      </c>
      <c r="D1411" s="5">
        <v>92</v>
      </c>
      <c r="E1411" s="5">
        <v>89.05</v>
      </c>
      <c r="F1411" s="5">
        <v>89.36</v>
      </c>
      <c r="G1411" s="5">
        <v>519</v>
      </c>
      <c r="Q1411" s="6">
        <v>40323</v>
      </c>
      <c r="R1411" s="7">
        <v>0.66666666666666663</v>
      </c>
      <c r="S1411" s="5">
        <v>90.06</v>
      </c>
      <c r="T1411" s="5">
        <v>93.6</v>
      </c>
      <c r="U1411" s="5">
        <v>85.56</v>
      </c>
      <c r="V1411" s="5">
        <v>85.66</v>
      </c>
      <c r="W1411" s="5">
        <v>1650575</v>
      </c>
    </row>
    <row r="1412" spans="1:23" x14ac:dyDescent="0.3">
      <c r="A1412" s="6">
        <v>40368</v>
      </c>
      <c r="B1412" s="7">
        <v>0.66666666666666663</v>
      </c>
      <c r="C1412" s="5">
        <v>91</v>
      </c>
      <c r="D1412" s="5">
        <v>91</v>
      </c>
      <c r="E1412" s="5">
        <v>88</v>
      </c>
      <c r="F1412" s="5">
        <v>89.84</v>
      </c>
      <c r="G1412" s="5">
        <v>12065</v>
      </c>
      <c r="Q1412" s="6">
        <v>40324</v>
      </c>
      <c r="R1412" s="7">
        <v>0.66666666666666663</v>
      </c>
      <c r="S1412" s="5">
        <v>85.66</v>
      </c>
      <c r="T1412" s="5">
        <v>89.94</v>
      </c>
      <c r="U1412" s="5">
        <v>85</v>
      </c>
      <c r="V1412" s="5">
        <v>89.94</v>
      </c>
      <c r="W1412" s="5">
        <v>1371294</v>
      </c>
    </row>
    <row r="1413" spans="1:23" x14ac:dyDescent="0.3">
      <c r="A1413" s="6">
        <v>40371</v>
      </c>
      <c r="B1413" s="7">
        <v>0.66666666666666663</v>
      </c>
      <c r="C1413" s="5">
        <v>89.99</v>
      </c>
      <c r="D1413" s="5">
        <v>90</v>
      </c>
      <c r="E1413" s="5">
        <v>89.1</v>
      </c>
      <c r="F1413" s="5">
        <v>89.52</v>
      </c>
      <c r="G1413" s="5">
        <v>4102</v>
      </c>
      <c r="Q1413" s="6">
        <v>40325</v>
      </c>
      <c r="R1413" s="7">
        <v>0.66666666666666663</v>
      </c>
      <c r="S1413" s="5">
        <v>89.94</v>
      </c>
      <c r="T1413" s="5">
        <v>92.8</v>
      </c>
      <c r="U1413" s="5">
        <v>87.25</v>
      </c>
      <c r="V1413" s="5">
        <v>90.46</v>
      </c>
      <c r="W1413" s="5">
        <v>2114433</v>
      </c>
    </row>
    <row r="1414" spans="1:23" x14ac:dyDescent="0.3">
      <c r="A1414" s="6">
        <v>40372</v>
      </c>
      <c r="B1414" s="7">
        <v>0.66666666666666663</v>
      </c>
      <c r="C1414" s="5">
        <v>90</v>
      </c>
      <c r="D1414" s="5">
        <v>90.5</v>
      </c>
      <c r="E1414" s="5">
        <v>89.75</v>
      </c>
      <c r="F1414" s="5">
        <v>90.38</v>
      </c>
      <c r="G1414" s="5">
        <v>3303</v>
      </c>
      <c r="Q1414" s="6">
        <v>40326</v>
      </c>
      <c r="R1414" s="7">
        <v>0.66666666666666663</v>
      </c>
      <c r="S1414" s="5">
        <v>90.46</v>
      </c>
      <c r="T1414" s="5">
        <v>92.29</v>
      </c>
      <c r="U1414" s="5">
        <v>89.01</v>
      </c>
      <c r="V1414" s="5">
        <v>91.2</v>
      </c>
      <c r="W1414" s="5">
        <v>1121924</v>
      </c>
    </row>
    <row r="1415" spans="1:23" x14ac:dyDescent="0.3">
      <c r="A1415" s="6">
        <v>40373</v>
      </c>
      <c r="B1415" s="7">
        <v>0.66666666666666663</v>
      </c>
      <c r="C1415" s="5">
        <v>90.8</v>
      </c>
      <c r="D1415" s="5">
        <v>93</v>
      </c>
      <c r="E1415" s="5">
        <v>90.8</v>
      </c>
      <c r="F1415" s="5">
        <v>92.9</v>
      </c>
      <c r="G1415" s="5">
        <v>8131</v>
      </c>
      <c r="Q1415" s="6">
        <v>40329</v>
      </c>
      <c r="R1415" s="7">
        <v>0.66666666666666663</v>
      </c>
      <c r="S1415" s="5">
        <v>91.2</v>
      </c>
      <c r="T1415" s="5">
        <v>91.49</v>
      </c>
      <c r="U1415" s="5">
        <v>88.5</v>
      </c>
      <c r="V1415" s="5">
        <v>89.03</v>
      </c>
      <c r="W1415" s="5">
        <v>553943</v>
      </c>
    </row>
    <row r="1416" spans="1:23" x14ac:dyDescent="0.3">
      <c r="A1416" s="6">
        <v>40374</v>
      </c>
      <c r="B1416" s="7">
        <v>0.66666666666666663</v>
      </c>
      <c r="C1416" s="5">
        <v>92.8</v>
      </c>
      <c r="D1416" s="5">
        <v>93</v>
      </c>
      <c r="E1416" s="5">
        <v>91.65</v>
      </c>
      <c r="F1416" s="5">
        <v>92.89</v>
      </c>
      <c r="G1416" s="5">
        <v>4153</v>
      </c>
      <c r="Q1416" s="6">
        <v>40330</v>
      </c>
      <c r="R1416" s="7">
        <v>0.66666666666666663</v>
      </c>
      <c r="S1416" s="5">
        <v>88.85</v>
      </c>
      <c r="T1416" s="5">
        <v>88.85</v>
      </c>
      <c r="U1416" s="5">
        <v>85.11</v>
      </c>
      <c r="V1416" s="5">
        <v>86.81</v>
      </c>
      <c r="W1416" s="5">
        <v>1249002</v>
      </c>
    </row>
    <row r="1417" spans="1:23" x14ac:dyDescent="0.3">
      <c r="A1417" s="6">
        <v>40375</v>
      </c>
      <c r="B1417" s="7">
        <v>0.66666666666666663</v>
      </c>
      <c r="C1417" s="5">
        <v>93</v>
      </c>
      <c r="D1417" s="5">
        <v>93</v>
      </c>
      <c r="E1417" s="5">
        <v>91.26</v>
      </c>
      <c r="F1417" s="5">
        <v>92.5</v>
      </c>
      <c r="G1417" s="5">
        <v>2212</v>
      </c>
      <c r="Q1417" s="6">
        <v>40331</v>
      </c>
      <c r="R1417" s="7">
        <v>0.66666666666666663</v>
      </c>
      <c r="S1417" s="5">
        <v>86.81</v>
      </c>
      <c r="T1417" s="5">
        <v>91.15</v>
      </c>
      <c r="U1417" s="5">
        <v>86.02</v>
      </c>
      <c r="V1417" s="5">
        <v>90.99</v>
      </c>
      <c r="W1417" s="5">
        <v>1292380</v>
      </c>
    </row>
    <row r="1418" spans="1:23" x14ac:dyDescent="0.3">
      <c r="A1418" s="6">
        <v>40378</v>
      </c>
      <c r="B1418" s="7">
        <v>0.66666666666666663</v>
      </c>
      <c r="C1418" s="5">
        <v>92.5</v>
      </c>
      <c r="D1418" s="5">
        <v>94.1</v>
      </c>
      <c r="E1418" s="5">
        <v>92.5</v>
      </c>
      <c r="F1418" s="5">
        <v>93.38</v>
      </c>
      <c r="G1418" s="5">
        <v>8551</v>
      </c>
      <c r="Q1418" s="6">
        <v>40332</v>
      </c>
      <c r="R1418" s="7">
        <v>0.66666666666666663</v>
      </c>
      <c r="S1418" s="5">
        <v>90.99</v>
      </c>
      <c r="T1418" s="5">
        <v>93.34</v>
      </c>
      <c r="U1418" s="5">
        <v>88.6</v>
      </c>
      <c r="V1418" s="5">
        <v>91.4</v>
      </c>
      <c r="W1418" s="5">
        <v>1878107</v>
      </c>
    </row>
    <row r="1419" spans="1:23" x14ac:dyDescent="0.3">
      <c r="A1419" s="6">
        <v>40379</v>
      </c>
      <c r="B1419" s="7">
        <v>0.66666666666666663</v>
      </c>
      <c r="C1419" s="5">
        <v>93.75</v>
      </c>
      <c r="D1419" s="5">
        <v>93.75</v>
      </c>
      <c r="E1419" s="5">
        <v>92.5</v>
      </c>
      <c r="F1419" s="5">
        <v>92.72</v>
      </c>
      <c r="G1419" s="5">
        <v>2443</v>
      </c>
      <c r="Q1419" s="6">
        <v>40333</v>
      </c>
      <c r="R1419" s="7">
        <v>0.66666666666666663</v>
      </c>
      <c r="S1419" s="5">
        <v>91.4</v>
      </c>
      <c r="T1419" s="5">
        <v>91.55</v>
      </c>
      <c r="U1419" s="5">
        <v>89.4</v>
      </c>
      <c r="V1419" s="5">
        <v>90.03</v>
      </c>
      <c r="W1419" s="5">
        <v>501997</v>
      </c>
    </row>
    <row r="1420" spans="1:23" x14ac:dyDescent="0.3">
      <c r="A1420" s="6">
        <v>40380</v>
      </c>
      <c r="B1420" s="7">
        <v>0.66666666666666663</v>
      </c>
      <c r="C1420" s="5">
        <v>93.5</v>
      </c>
      <c r="D1420" s="5">
        <v>95.5</v>
      </c>
      <c r="E1420" s="5">
        <v>93.1</v>
      </c>
      <c r="F1420" s="5">
        <v>94.75</v>
      </c>
      <c r="G1420" s="5">
        <v>7783</v>
      </c>
      <c r="Q1420" s="6">
        <v>40336</v>
      </c>
      <c r="R1420" s="7">
        <v>0.66666666666666663</v>
      </c>
      <c r="S1420" s="5">
        <v>90.03</v>
      </c>
      <c r="T1420" s="5">
        <v>92.9</v>
      </c>
      <c r="U1420" s="5">
        <v>87.21</v>
      </c>
      <c r="V1420" s="5">
        <v>92.22</v>
      </c>
      <c r="W1420" s="5">
        <v>1089741</v>
      </c>
    </row>
    <row r="1421" spans="1:23" x14ac:dyDescent="0.3">
      <c r="A1421" s="6">
        <v>40381</v>
      </c>
      <c r="B1421" s="7">
        <v>0.66666666666666663</v>
      </c>
      <c r="C1421" s="5">
        <v>94.75</v>
      </c>
      <c r="D1421" s="5">
        <v>95.5</v>
      </c>
      <c r="E1421" s="5">
        <v>90.1</v>
      </c>
      <c r="F1421" s="5">
        <v>91.53</v>
      </c>
      <c r="G1421" s="5">
        <v>15382</v>
      </c>
      <c r="Q1421" s="6">
        <v>40337</v>
      </c>
      <c r="R1421" s="7">
        <v>0.66666666666666663</v>
      </c>
      <c r="S1421" s="5">
        <v>92.22</v>
      </c>
      <c r="T1421" s="5">
        <v>93.6</v>
      </c>
      <c r="U1421" s="5">
        <v>91.5</v>
      </c>
      <c r="V1421" s="5">
        <v>91.76</v>
      </c>
      <c r="W1421" s="5">
        <v>761267</v>
      </c>
    </row>
    <row r="1422" spans="1:23" x14ac:dyDescent="0.3">
      <c r="A1422" s="6">
        <v>40382</v>
      </c>
      <c r="B1422" s="7">
        <v>0.66666666666666663</v>
      </c>
      <c r="C1422" s="5">
        <v>93</v>
      </c>
      <c r="D1422" s="5">
        <v>93</v>
      </c>
      <c r="E1422" s="5">
        <v>91</v>
      </c>
      <c r="F1422" s="5">
        <v>92.5</v>
      </c>
      <c r="G1422" s="5">
        <v>2528</v>
      </c>
      <c r="Q1422" s="6">
        <v>40338</v>
      </c>
      <c r="R1422" s="7">
        <v>0.66666666666666663</v>
      </c>
      <c r="S1422" s="5">
        <v>91.76</v>
      </c>
      <c r="T1422" s="5">
        <v>92</v>
      </c>
      <c r="U1422" s="5">
        <v>90</v>
      </c>
      <c r="V1422" s="5">
        <v>90.13</v>
      </c>
      <c r="W1422" s="5">
        <v>290923</v>
      </c>
    </row>
    <row r="1423" spans="1:23" x14ac:dyDescent="0.3">
      <c r="A1423" s="6">
        <v>40385</v>
      </c>
      <c r="B1423" s="7">
        <v>0.66666666666666663</v>
      </c>
      <c r="C1423" s="5">
        <v>92.5</v>
      </c>
      <c r="D1423" s="5">
        <v>92.5</v>
      </c>
      <c r="E1423" s="5">
        <v>91</v>
      </c>
      <c r="F1423" s="5">
        <v>91.15</v>
      </c>
      <c r="G1423" s="5">
        <v>4348</v>
      </c>
      <c r="Q1423" s="6">
        <v>40339</v>
      </c>
      <c r="R1423" s="7">
        <v>0.66666666666666663</v>
      </c>
      <c r="S1423" s="5">
        <v>90.13</v>
      </c>
      <c r="T1423" s="5">
        <v>90.45</v>
      </c>
      <c r="U1423" s="5">
        <v>85.63</v>
      </c>
      <c r="V1423" s="5">
        <v>85.63</v>
      </c>
      <c r="W1423" s="5">
        <v>522684</v>
      </c>
    </row>
    <row r="1424" spans="1:23" x14ac:dyDescent="0.3">
      <c r="A1424" s="6">
        <v>40386</v>
      </c>
      <c r="B1424" s="7">
        <v>0.66666666666666663</v>
      </c>
      <c r="C1424" s="5">
        <v>92.4</v>
      </c>
      <c r="D1424" s="5">
        <v>92.44</v>
      </c>
      <c r="E1424" s="5">
        <v>91.6</v>
      </c>
      <c r="F1424" s="5">
        <v>91.69</v>
      </c>
      <c r="G1424" s="5">
        <v>1616</v>
      </c>
      <c r="Q1424" s="6">
        <v>40340</v>
      </c>
      <c r="R1424" s="7">
        <v>0.66666666666666663</v>
      </c>
      <c r="S1424" s="5">
        <v>85.63</v>
      </c>
      <c r="T1424" s="5">
        <v>87.2</v>
      </c>
      <c r="U1424" s="5">
        <v>84</v>
      </c>
      <c r="V1424" s="5">
        <v>86.12</v>
      </c>
      <c r="W1424" s="5">
        <v>436626</v>
      </c>
    </row>
    <row r="1425" spans="1:23" x14ac:dyDescent="0.3">
      <c r="A1425" s="6">
        <v>40387</v>
      </c>
      <c r="B1425" s="7">
        <v>0.66666666666666663</v>
      </c>
      <c r="C1425" s="5">
        <v>91.6</v>
      </c>
      <c r="D1425" s="5">
        <v>92.5</v>
      </c>
      <c r="E1425" s="5">
        <v>91.25</v>
      </c>
      <c r="F1425" s="5">
        <v>92.5</v>
      </c>
      <c r="G1425" s="5">
        <v>6725</v>
      </c>
      <c r="Q1425" s="6">
        <v>40343</v>
      </c>
      <c r="R1425" s="7">
        <v>0.66666666666666663</v>
      </c>
      <c r="S1425" s="5">
        <v>84</v>
      </c>
      <c r="T1425" s="5">
        <v>84</v>
      </c>
      <c r="U1425" s="5">
        <v>81.819999999999993</v>
      </c>
      <c r="V1425" s="5">
        <v>81.84</v>
      </c>
      <c r="W1425" s="5">
        <v>368225</v>
      </c>
    </row>
    <row r="1426" spans="1:23" x14ac:dyDescent="0.3">
      <c r="A1426" s="6">
        <v>40388</v>
      </c>
      <c r="B1426" s="7">
        <v>0.66666666666666663</v>
      </c>
      <c r="C1426" s="5">
        <v>92</v>
      </c>
      <c r="D1426" s="5">
        <v>93.4</v>
      </c>
      <c r="E1426" s="5">
        <v>92</v>
      </c>
      <c r="F1426" s="5">
        <v>92.71</v>
      </c>
      <c r="G1426" s="5">
        <v>1914</v>
      </c>
      <c r="Q1426" s="6">
        <v>40344</v>
      </c>
      <c r="R1426" s="7">
        <v>0.66666666666666663</v>
      </c>
      <c r="S1426" s="5">
        <v>81.84</v>
      </c>
      <c r="T1426" s="5">
        <v>83.89</v>
      </c>
      <c r="U1426" s="5">
        <v>81.5</v>
      </c>
      <c r="V1426" s="5">
        <v>82.75</v>
      </c>
      <c r="W1426" s="5">
        <v>305040</v>
      </c>
    </row>
    <row r="1427" spans="1:23" x14ac:dyDescent="0.3">
      <c r="A1427" s="6">
        <v>40389</v>
      </c>
      <c r="B1427" s="7">
        <v>0.66666666666666663</v>
      </c>
      <c r="C1427" s="5">
        <v>93</v>
      </c>
      <c r="D1427" s="5">
        <v>94</v>
      </c>
      <c r="E1427" s="5">
        <v>92.5</v>
      </c>
      <c r="F1427" s="5">
        <v>93.63</v>
      </c>
      <c r="G1427" s="5">
        <v>3306</v>
      </c>
      <c r="Q1427" s="6">
        <v>40345</v>
      </c>
      <c r="R1427" s="7">
        <v>0.66666666666666663</v>
      </c>
      <c r="S1427" s="5">
        <v>83.35</v>
      </c>
      <c r="T1427" s="5">
        <v>86.8</v>
      </c>
      <c r="U1427" s="5">
        <v>83.35</v>
      </c>
      <c r="V1427" s="5">
        <v>85.45</v>
      </c>
      <c r="W1427" s="5">
        <v>376888</v>
      </c>
    </row>
    <row r="1428" spans="1:23" x14ac:dyDescent="0.3">
      <c r="A1428" s="6">
        <v>40392</v>
      </c>
      <c r="B1428" s="7">
        <v>0.66666666666666663</v>
      </c>
      <c r="C1428" s="5">
        <v>90.82</v>
      </c>
      <c r="D1428" s="5">
        <v>93.4</v>
      </c>
      <c r="E1428" s="5">
        <v>90.82</v>
      </c>
      <c r="F1428" s="5">
        <v>92.63</v>
      </c>
      <c r="G1428" s="5">
        <v>2849</v>
      </c>
      <c r="Q1428" s="6">
        <v>40346</v>
      </c>
      <c r="R1428" s="7">
        <v>0.66666666666666663</v>
      </c>
      <c r="S1428" s="5">
        <v>85.45</v>
      </c>
      <c r="T1428" s="5">
        <v>87.98</v>
      </c>
      <c r="U1428" s="5">
        <v>83</v>
      </c>
      <c r="V1428" s="5">
        <v>87.3</v>
      </c>
      <c r="W1428" s="5">
        <v>733711</v>
      </c>
    </row>
    <row r="1429" spans="1:23" x14ac:dyDescent="0.3">
      <c r="A1429" s="6">
        <v>40393</v>
      </c>
      <c r="B1429" s="7">
        <v>0.66666666666666663</v>
      </c>
      <c r="C1429" s="5">
        <v>92</v>
      </c>
      <c r="D1429" s="5">
        <v>93.8</v>
      </c>
      <c r="E1429" s="5">
        <v>92</v>
      </c>
      <c r="F1429" s="5">
        <v>92.33</v>
      </c>
      <c r="G1429" s="5">
        <v>2032</v>
      </c>
      <c r="Q1429" s="6">
        <v>40347</v>
      </c>
      <c r="R1429" s="7">
        <v>0.66666666666666663</v>
      </c>
      <c r="S1429" s="5">
        <v>87.3</v>
      </c>
      <c r="T1429" s="5">
        <v>89.44</v>
      </c>
      <c r="U1429" s="5">
        <v>85.5</v>
      </c>
      <c r="V1429" s="5">
        <v>86.4</v>
      </c>
      <c r="W1429" s="5">
        <v>872569</v>
      </c>
    </row>
    <row r="1430" spans="1:23" x14ac:dyDescent="0.3">
      <c r="A1430" s="6">
        <v>40394</v>
      </c>
      <c r="B1430" s="7">
        <v>0.66666666666666663</v>
      </c>
      <c r="C1430" s="5">
        <v>93.9</v>
      </c>
      <c r="D1430" s="5">
        <v>93.9</v>
      </c>
      <c r="E1430" s="5">
        <v>92.51</v>
      </c>
      <c r="F1430" s="5">
        <v>92.93</v>
      </c>
      <c r="G1430" s="5">
        <v>7493</v>
      </c>
      <c r="Q1430" s="6">
        <v>40350</v>
      </c>
      <c r="R1430" s="7">
        <v>0.66666666666666663</v>
      </c>
      <c r="S1430" s="5">
        <v>86.4</v>
      </c>
      <c r="T1430" s="5">
        <v>86.98</v>
      </c>
      <c r="U1430" s="5">
        <v>85.5</v>
      </c>
      <c r="V1430" s="5">
        <v>85.8</v>
      </c>
      <c r="W1430" s="5">
        <v>221913</v>
      </c>
    </row>
    <row r="1431" spans="1:23" x14ac:dyDescent="0.3">
      <c r="A1431" s="6">
        <v>40395</v>
      </c>
      <c r="B1431" s="7">
        <v>0.66666666666666663</v>
      </c>
      <c r="C1431" s="5">
        <v>92.8</v>
      </c>
      <c r="D1431" s="5">
        <v>92.8</v>
      </c>
      <c r="E1431" s="5">
        <v>91.55</v>
      </c>
      <c r="F1431" s="5">
        <v>92.22</v>
      </c>
      <c r="G1431" s="5">
        <v>700</v>
      </c>
      <c r="Q1431" s="6">
        <v>40351</v>
      </c>
      <c r="R1431" s="7">
        <v>0.66666666666666663</v>
      </c>
      <c r="S1431" s="5">
        <v>85.8</v>
      </c>
      <c r="T1431" s="5">
        <v>87.19</v>
      </c>
      <c r="U1431" s="5">
        <v>85.5</v>
      </c>
      <c r="V1431" s="5">
        <v>85.66</v>
      </c>
      <c r="W1431" s="5">
        <v>301267</v>
      </c>
    </row>
    <row r="1432" spans="1:23" x14ac:dyDescent="0.3">
      <c r="A1432" s="6">
        <v>40396</v>
      </c>
      <c r="B1432" s="7">
        <v>0.66666666666666663</v>
      </c>
      <c r="C1432" s="5">
        <v>93.19</v>
      </c>
      <c r="D1432" s="5">
        <v>93.19</v>
      </c>
      <c r="E1432" s="5">
        <v>90</v>
      </c>
      <c r="F1432" s="5">
        <v>91.84</v>
      </c>
      <c r="G1432" s="5">
        <v>1364</v>
      </c>
      <c r="Q1432" s="6">
        <v>40352</v>
      </c>
      <c r="R1432" s="7">
        <v>0.66666666666666663</v>
      </c>
      <c r="S1432" s="5">
        <v>85.66</v>
      </c>
      <c r="T1432" s="5">
        <v>86.6</v>
      </c>
      <c r="U1432" s="5">
        <v>84.65</v>
      </c>
      <c r="V1432" s="5">
        <v>84.81</v>
      </c>
      <c r="W1432" s="5">
        <v>217782</v>
      </c>
    </row>
    <row r="1433" spans="1:23" x14ac:dyDescent="0.3">
      <c r="A1433" s="6">
        <v>40397</v>
      </c>
      <c r="B1433" s="7">
        <v>0.66666666666666663</v>
      </c>
      <c r="C1433" s="5">
        <v>92</v>
      </c>
      <c r="D1433" s="5">
        <v>92</v>
      </c>
      <c r="E1433" s="5">
        <v>89.05</v>
      </c>
      <c r="F1433" s="5">
        <v>89.36</v>
      </c>
      <c r="G1433" s="5">
        <v>519</v>
      </c>
      <c r="Q1433" s="6">
        <v>40353</v>
      </c>
      <c r="R1433" s="7">
        <v>0.66666666666666663</v>
      </c>
      <c r="S1433" s="5">
        <v>84.81</v>
      </c>
      <c r="T1433" s="5">
        <v>85.65</v>
      </c>
      <c r="U1433" s="5">
        <v>84</v>
      </c>
      <c r="V1433" s="5">
        <v>84.25</v>
      </c>
      <c r="W1433" s="5">
        <v>361673</v>
      </c>
    </row>
    <row r="1434" spans="1:23" x14ac:dyDescent="0.3">
      <c r="A1434" s="6">
        <v>40399</v>
      </c>
      <c r="B1434" s="7">
        <v>0.66666666666666663</v>
      </c>
      <c r="C1434" s="5">
        <v>88.5</v>
      </c>
      <c r="D1434" s="5">
        <v>91.89</v>
      </c>
      <c r="E1434" s="5">
        <v>88.5</v>
      </c>
      <c r="F1434" s="5">
        <v>89.26</v>
      </c>
      <c r="G1434" s="5">
        <v>520</v>
      </c>
      <c r="Q1434" s="6">
        <v>40354</v>
      </c>
      <c r="R1434" s="7">
        <v>0.66666666666666663</v>
      </c>
      <c r="S1434" s="5">
        <v>84.25</v>
      </c>
      <c r="T1434" s="5">
        <v>84.8</v>
      </c>
      <c r="U1434" s="5">
        <v>81.599999999999994</v>
      </c>
      <c r="V1434" s="5">
        <v>82.61</v>
      </c>
      <c r="W1434" s="5">
        <v>304288</v>
      </c>
    </row>
    <row r="1435" spans="1:23" x14ac:dyDescent="0.3">
      <c r="A1435" s="6">
        <v>40400</v>
      </c>
      <c r="B1435" s="7">
        <v>0.66666666666666663</v>
      </c>
      <c r="C1435" s="5">
        <v>84.8</v>
      </c>
      <c r="D1435" s="5">
        <v>90</v>
      </c>
      <c r="E1435" s="5">
        <v>84.8</v>
      </c>
      <c r="F1435" s="5">
        <v>89</v>
      </c>
      <c r="G1435" s="5">
        <v>297</v>
      </c>
      <c r="Q1435" s="6">
        <v>40358</v>
      </c>
      <c r="R1435" s="7">
        <v>0.66666666666666663</v>
      </c>
      <c r="S1435" s="5">
        <v>82.5</v>
      </c>
      <c r="T1435" s="5">
        <v>82.5</v>
      </c>
      <c r="U1435" s="5">
        <v>79</v>
      </c>
      <c r="V1435" s="5">
        <v>80.59</v>
      </c>
      <c r="W1435" s="5">
        <v>413705</v>
      </c>
    </row>
    <row r="1436" spans="1:23" x14ac:dyDescent="0.3">
      <c r="A1436" s="6">
        <v>40401</v>
      </c>
      <c r="B1436" s="7">
        <v>0.66666666666666663</v>
      </c>
      <c r="C1436" s="5">
        <v>88</v>
      </c>
      <c r="D1436" s="5">
        <v>89</v>
      </c>
      <c r="E1436" s="5">
        <v>86</v>
      </c>
      <c r="F1436" s="5">
        <v>88.8</v>
      </c>
      <c r="G1436" s="5">
        <v>2262</v>
      </c>
      <c r="Q1436" s="6">
        <v>40359</v>
      </c>
      <c r="R1436" s="7">
        <v>0.66666666666666663</v>
      </c>
      <c r="S1436" s="5">
        <v>80.59</v>
      </c>
      <c r="T1436" s="5">
        <v>81.5</v>
      </c>
      <c r="U1436" s="5">
        <v>80.05</v>
      </c>
      <c r="V1436" s="5">
        <v>80.56</v>
      </c>
      <c r="W1436" s="5">
        <v>187705</v>
      </c>
    </row>
    <row r="1437" spans="1:23" x14ac:dyDescent="0.3">
      <c r="A1437" s="6">
        <v>40402</v>
      </c>
      <c r="B1437" s="7">
        <v>0.66666666666666663</v>
      </c>
      <c r="C1437" s="5">
        <v>87.1</v>
      </c>
      <c r="D1437" s="5">
        <v>89</v>
      </c>
      <c r="E1437" s="5">
        <v>87</v>
      </c>
      <c r="F1437" s="5">
        <v>89</v>
      </c>
      <c r="G1437" s="5">
        <v>51</v>
      </c>
      <c r="Q1437" s="6">
        <v>40360</v>
      </c>
      <c r="R1437" s="7">
        <v>0.66666666666666663</v>
      </c>
      <c r="S1437" s="5">
        <v>80.56</v>
      </c>
      <c r="T1437" s="5">
        <v>81.5</v>
      </c>
      <c r="U1437" s="5">
        <v>80.400000000000006</v>
      </c>
      <c r="V1437" s="5">
        <v>80.819999999999993</v>
      </c>
      <c r="W1437" s="5">
        <v>170904</v>
      </c>
    </row>
    <row r="1438" spans="1:23" x14ac:dyDescent="0.3">
      <c r="A1438" s="6">
        <v>40403</v>
      </c>
      <c r="B1438" s="7">
        <v>0.66666666666666663</v>
      </c>
      <c r="C1438" s="5">
        <v>88</v>
      </c>
      <c r="D1438" s="5">
        <v>88</v>
      </c>
      <c r="E1438" s="5">
        <v>88</v>
      </c>
      <c r="F1438" s="5">
        <v>88</v>
      </c>
      <c r="G1438" s="5">
        <v>85</v>
      </c>
      <c r="Q1438" s="6">
        <v>40361</v>
      </c>
      <c r="R1438" s="7">
        <v>0.66666666666666663</v>
      </c>
      <c r="S1438" s="5">
        <v>80.8</v>
      </c>
      <c r="T1438" s="5">
        <v>80.8</v>
      </c>
      <c r="U1438" s="5">
        <v>80.2</v>
      </c>
      <c r="V1438" s="5">
        <v>80.400000000000006</v>
      </c>
      <c r="W1438" s="5">
        <v>47243</v>
      </c>
    </row>
    <row r="1439" spans="1:23" x14ac:dyDescent="0.3">
      <c r="A1439" s="6">
        <v>40406</v>
      </c>
      <c r="B1439" s="7">
        <v>0.66666666666666663</v>
      </c>
      <c r="C1439" s="5">
        <v>84.26</v>
      </c>
      <c r="D1439" s="5">
        <v>86.25</v>
      </c>
      <c r="E1439" s="5">
        <v>83.6</v>
      </c>
      <c r="F1439" s="5">
        <v>85</v>
      </c>
      <c r="G1439" s="5">
        <v>5656</v>
      </c>
      <c r="Q1439" s="6">
        <v>40364</v>
      </c>
      <c r="R1439" s="7">
        <v>0.66666666666666663</v>
      </c>
      <c r="S1439" s="5">
        <v>80.400000000000006</v>
      </c>
      <c r="T1439" s="5">
        <v>81.3</v>
      </c>
      <c r="U1439" s="5">
        <v>79.099999999999994</v>
      </c>
      <c r="V1439" s="5">
        <v>79.78</v>
      </c>
      <c r="W1439" s="5">
        <v>56140</v>
      </c>
    </row>
    <row r="1440" spans="1:23" x14ac:dyDescent="0.3">
      <c r="A1440" s="6">
        <v>40407</v>
      </c>
      <c r="B1440" s="7">
        <v>0.66666666666666663</v>
      </c>
      <c r="C1440" s="5">
        <v>85</v>
      </c>
      <c r="D1440" s="5">
        <v>85</v>
      </c>
      <c r="E1440" s="5">
        <v>83.1</v>
      </c>
      <c r="F1440" s="5">
        <v>83.32</v>
      </c>
      <c r="G1440" s="5">
        <v>1239</v>
      </c>
      <c r="Q1440" s="6">
        <v>40365</v>
      </c>
      <c r="R1440" s="7">
        <v>0.66666666666666663</v>
      </c>
      <c r="S1440" s="5">
        <v>79.78</v>
      </c>
      <c r="T1440" s="5">
        <v>79.849999999999994</v>
      </c>
      <c r="U1440" s="5">
        <v>78.400000000000006</v>
      </c>
      <c r="V1440" s="5">
        <v>78.75</v>
      </c>
      <c r="W1440" s="5">
        <v>119115</v>
      </c>
    </row>
    <row r="1441" spans="1:23" x14ac:dyDescent="0.3">
      <c r="A1441" s="6">
        <v>40408</v>
      </c>
      <c r="B1441" s="7">
        <v>0.66666666666666663</v>
      </c>
      <c r="C1441" s="5">
        <v>83.25</v>
      </c>
      <c r="D1441" s="5">
        <v>84</v>
      </c>
      <c r="E1441" s="5">
        <v>83.2</v>
      </c>
      <c r="F1441" s="5">
        <v>83.8</v>
      </c>
      <c r="G1441" s="5">
        <v>5750</v>
      </c>
      <c r="Q1441" s="6">
        <v>40366</v>
      </c>
      <c r="R1441" s="7">
        <v>0.66666666666666663</v>
      </c>
      <c r="S1441" s="5">
        <v>78.75</v>
      </c>
      <c r="T1441" s="5">
        <v>81.650000000000006</v>
      </c>
      <c r="U1441" s="5">
        <v>78.5</v>
      </c>
      <c r="V1441" s="5">
        <v>81.290000000000006</v>
      </c>
      <c r="W1441" s="5">
        <v>219908</v>
      </c>
    </row>
    <row r="1442" spans="1:23" x14ac:dyDescent="0.3">
      <c r="A1442" s="6">
        <v>40409</v>
      </c>
      <c r="B1442" s="7">
        <v>0.66666666666666663</v>
      </c>
      <c r="C1442" s="5">
        <v>86.1</v>
      </c>
      <c r="D1442" s="5">
        <v>86.99</v>
      </c>
      <c r="E1442" s="5">
        <v>84.5</v>
      </c>
      <c r="F1442" s="5">
        <v>86.17</v>
      </c>
      <c r="G1442" s="5">
        <v>10980</v>
      </c>
      <c r="Q1442" s="6">
        <v>40367</v>
      </c>
      <c r="R1442" s="7">
        <v>0.66666666666666663</v>
      </c>
      <c r="S1442" s="5">
        <v>81.5</v>
      </c>
      <c r="T1442" s="5">
        <v>83.25</v>
      </c>
      <c r="U1442" s="5">
        <v>81.5</v>
      </c>
      <c r="V1442" s="5">
        <v>82.6</v>
      </c>
      <c r="W1442" s="5">
        <v>337592</v>
      </c>
    </row>
    <row r="1443" spans="1:23" x14ac:dyDescent="0.3">
      <c r="A1443" s="6">
        <v>40410</v>
      </c>
      <c r="B1443" s="7">
        <v>0.66666666666666663</v>
      </c>
      <c r="C1443" s="5">
        <v>85.1</v>
      </c>
      <c r="D1443" s="5">
        <v>86.24</v>
      </c>
      <c r="E1443" s="5">
        <v>85.1</v>
      </c>
      <c r="F1443" s="5">
        <v>86.23</v>
      </c>
      <c r="G1443" s="5">
        <v>800</v>
      </c>
      <c r="Q1443" s="6">
        <v>40368</v>
      </c>
      <c r="R1443" s="7">
        <v>0.66666666666666663</v>
      </c>
      <c r="S1443" s="5">
        <v>82.6</v>
      </c>
      <c r="T1443" s="5">
        <v>86.15</v>
      </c>
      <c r="U1443" s="5">
        <v>82.15</v>
      </c>
      <c r="V1443" s="5">
        <v>84.93</v>
      </c>
      <c r="W1443" s="5">
        <v>598064</v>
      </c>
    </row>
    <row r="1444" spans="1:23" x14ac:dyDescent="0.3">
      <c r="A1444" s="6">
        <v>40413</v>
      </c>
      <c r="B1444" s="7">
        <v>0.66666666666666663</v>
      </c>
      <c r="C1444" s="5">
        <v>84.5</v>
      </c>
      <c r="D1444" s="5">
        <v>84.5</v>
      </c>
      <c r="E1444" s="5">
        <v>84.5</v>
      </c>
      <c r="F1444" s="5">
        <v>84.5</v>
      </c>
      <c r="G1444" s="5">
        <v>500</v>
      </c>
      <c r="Q1444" s="6">
        <v>40371</v>
      </c>
      <c r="R1444" s="7">
        <v>0.66666666666666663</v>
      </c>
      <c r="S1444" s="5">
        <v>84.93</v>
      </c>
      <c r="T1444" s="5">
        <v>85.99</v>
      </c>
      <c r="U1444" s="5">
        <v>84</v>
      </c>
      <c r="V1444" s="5">
        <v>84.27</v>
      </c>
      <c r="W1444" s="5">
        <v>199683</v>
      </c>
    </row>
    <row r="1445" spans="1:23" x14ac:dyDescent="0.3">
      <c r="A1445" s="6">
        <v>40414</v>
      </c>
      <c r="B1445" s="7">
        <v>0.66666666666666663</v>
      </c>
      <c r="C1445" s="5">
        <v>82</v>
      </c>
      <c r="D1445" s="5">
        <v>85.75</v>
      </c>
      <c r="E1445" s="5">
        <v>82</v>
      </c>
      <c r="F1445" s="5">
        <v>84.5</v>
      </c>
      <c r="G1445" s="5">
        <v>1680</v>
      </c>
      <c r="Q1445" s="6">
        <v>40372</v>
      </c>
      <c r="R1445" s="7">
        <v>0.66666666666666663</v>
      </c>
      <c r="S1445" s="5">
        <v>84.27</v>
      </c>
      <c r="T1445" s="5">
        <v>87.9</v>
      </c>
      <c r="U1445" s="5">
        <v>84.11</v>
      </c>
      <c r="V1445" s="5">
        <v>86.59</v>
      </c>
      <c r="W1445" s="5">
        <v>656770</v>
      </c>
    </row>
    <row r="1446" spans="1:23" x14ac:dyDescent="0.3">
      <c r="A1446" s="6">
        <v>40415</v>
      </c>
      <c r="B1446" s="7">
        <v>0.66666666666666663</v>
      </c>
      <c r="C1446" s="5">
        <v>83</v>
      </c>
      <c r="D1446" s="5">
        <v>83</v>
      </c>
      <c r="E1446" s="5">
        <v>80.28</v>
      </c>
      <c r="F1446" s="5">
        <v>81</v>
      </c>
      <c r="G1446" s="5">
        <v>10500</v>
      </c>
      <c r="Q1446" s="6">
        <v>40373</v>
      </c>
      <c r="R1446" s="7">
        <v>0.66666666666666663</v>
      </c>
      <c r="S1446" s="5">
        <v>86.85</v>
      </c>
      <c r="T1446" s="5">
        <v>90.91</v>
      </c>
      <c r="U1446" s="5">
        <v>86.85</v>
      </c>
      <c r="V1446" s="5">
        <v>90.91</v>
      </c>
      <c r="W1446" s="5">
        <v>1143718</v>
      </c>
    </row>
    <row r="1447" spans="1:23" x14ac:dyDescent="0.3">
      <c r="A1447" s="6">
        <v>40416</v>
      </c>
      <c r="B1447" s="7">
        <v>0.66666666666666663</v>
      </c>
      <c r="C1447" s="5">
        <v>80</v>
      </c>
      <c r="D1447" s="5">
        <v>84</v>
      </c>
      <c r="E1447" s="5">
        <v>77</v>
      </c>
      <c r="F1447" s="5">
        <v>79.510000000000005</v>
      </c>
      <c r="G1447" s="5">
        <v>19263</v>
      </c>
      <c r="Q1447" s="6">
        <v>40374</v>
      </c>
      <c r="R1447" s="7">
        <v>0.66666666666666663</v>
      </c>
      <c r="S1447" s="5">
        <v>91.05</v>
      </c>
      <c r="T1447" s="5">
        <v>93.6</v>
      </c>
      <c r="U1447" s="5">
        <v>91.05</v>
      </c>
      <c r="V1447" s="5">
        <v>91.6</v>
      </c>
      <c r="W1447" s="5">
        <v>1227721</v>
      </c>
    </row>
    <row r="1448" spans="1:23" x14ac:dyDescent="0.3">
      <c r="A1448" s="6">
        <v>40417</v>
      </c>
      <c r="B1448" s="7">
        <v>0.66666666666666663</v>
      </c>
      <c r="C1448" s="5">
        <v>80</v>
      </c>
      <c r="D1448" s="5">
        <v>80.010000000000005</v>
      </c>
      <c r="E1448" s="5">
        <v>80</v>
      </c>
      <c r="F1448" s="5">
        <v>80</v>
      </c>
      <c r="G1448" s="5">
        <v>1235</v>
      </c>
      <c r="Q1448" s="6">
        <v>40375</v>
      </c>
      <c r="R1448" s="7">
        <v>0.66666666666666663</v>
      </c>
      <c r="S1448" s="5">
        <v>91.6</v>
      </c>
      <c r="T1448" s="5">
        <v>92.49</v>
      </c>
      <c r="U1448" s="5">
        <v>90.11</v>
      </c>
      <c r="V1448" s="5">
        <v>91.6</v>
      </c>
      <c r="W1448" s="5">
        <v>278586</v>
      </c>
    </row>
    <row r="1449" spans="1:23" x14ac:dyDescent="0.3">
      <c r="A1449" s="6">
        <v>40420</v>
      </c>
      <c r="B1449" s="7">
        <v>0.66666666666666663</v>
      </c>
      <c r="C1449" s="5">
        <v>80</v>
      </c>
      <c r="D1449" s="5">
        <v>80</v>
      </c>
      <c r="E1449" s="5">
        <v>78.599999999999994</v>
      </c>
      <c r="F1449" s="5">
        <v>79</v>
      </c>
      <c r="G1449" s="5">
        <v>505</v>
      </c>
      <c r="Q1449" s="6">
        <v>40378</v>
      </c>
      <c r="R1449" s="7">
        <v>0.66666666666666663</v>
      </c>
      <c r="S1449" s="5">
        <v>91.6</v>
      </c>
      <c r="T1449" s="5">
        <v>92.9</v>
      </c>
      <c r="U1449" s="5">
        <v>91.2</v>
      </c>
      <c r="V1449" s="5">
        <v>91.75</v>
      </c>
      <c r="W1449" s="5">
        <v>290912</v>
      </c>
    </row>
    <row r="1450" spans="1:23" x14ac:dyDescent="0.3">
      <c r="A1450" s="6">
        <v>40421</v>
      </c>
      <c r="B1450" s="7">
        <v>0.66666666666666663</v>
      </c>
      <c r="C1450" s="5">
        <v>78.11</v>
      </c>
      <c r="D1450" s="5">
        <v>80.900000000000006</v>
      </c>
      <c r="E1450" s="5">
        <v>78.099999999999994</v>
      </c>
      <c r="F1450" s="5">
        <v>80.900000000000006</v>
      </c>
      <c r="G1450" s="5">
        <v>3506</v>
      </c>
      <c r="Q1450" s="6">
        <v>40379</v>
      </c>
      <c r="R1450" s="7">
        <v>0.66666666666666663</v>
      </c>
      <c r="S1450" s="5">
        <v>91.75</v>
      </c>
      <c r="T1450" s="5">
        <v>92.45</v>
      </c>
      <c r="U1450" s="5">
        <v>90</v>
      </c>
      <c r="V1450" s="5">
        <v>90.45</v>
      </c>
      <c r="W1450" s="5">
        <v>433343</v>
      </c>
    </row>
    <row r="1451" spans="1:23" x14ac:dyDescent="0.3">
      <c r="A1451" s="6">
        <v>40422</v>
      </c>
      <c r="B1451" s="7">
        <v>0.66666666666666663</v>
      </c>
      <c r="C1451" s="5">
        <v>79</v>
      </c>
      <c r="D1451" s="5">
        <v>79.25</v>
      </c>
      <c r="E1451" s="5">
        <v>78</v>
      </c>
      <c r="F1451" s="5">
        <v>78.39</v>
      </c>
      <c r="G1451" s="5">
        <v>3514</v>
      </c>
      <c r="Q1451" s="6">
        <v>40380</v>
      </c>
      <c r="R1451" s="7">
        <v>0.66666666666666663</v>
      </c>
      <c r="S1451" s="5">
        <v>90.45</v>
      </c>
      <c r="T1451" s="5">
        <v>91.15</v>
      </c>
      <c r="U1451" s="5">
        <v>88.52</v>
      </c>
      <c r="V1451" s="5">
        <v>90.06</v>
      </c>
      <c r="W1451" s="5">
        <v>524843</v>
      </c>
    </row>
    <row r="1452" spans="1:23" x14ac:dyDescent="0.3">
      <c r="A1452" s="6">
        <v>40423</v>
      </c>
      <c r="B1452" s="7">
        <v>0.66666666666666663</v>
      </c>
      <c r="C1452" s="5">
        <v>78.39</v>
      </c>
      <c r="D1452" s="5">
        <v>81</v>
      </c>
      <c r="E1452" s="5">
        <v>78.39</v>
      </c>
      <c r="F1452" s="5">
        <v>78.52</v>
      </c>
      <c r="G1452" s="5">
        <v>1970</v>
      </c>
      <c r="Q1452" s="6">
        <v>40381</v>
      </c>
      <c r="R1452" s="7">
        <v>0.66666666666666663</v>
      </c>
      <c r="S1452" s="5">
        <v>90.06</v>
      </c>
      <c r="T1452" s="5">
        <v>90.65</v>
      </c>
      <c r="U1452" s="5">
        <v>88.7</v>
      </c>
      <c r="V1452" s="5">
        <v>89.03</v>
      </c>
      <c r="W1452" s="5">
        <v>451596</v>
      </c>
    </row>
    <row r="1453" spans="1:23" x14ac:dyDescent="0.3">
      <c r="A1453" s="6">
        <v>40424</v>
      </c>
      <c r="B1453" s="7">
        <v>0.66666666666666663</v>
      </c>
      <c r="C1453" s="5">
        <v>80.98</v>
      </c>
      <c r="D1453" s="5">
        <v>80.98</v>
      </c>
      <c r="E1453" s="5">
        <v>78.5</v>
      </c>
      <c r="F1453" s="5">
        <v>78.92</v>
      </c>
      <c r="G1453" s="5">
        <v>739</v>
      </c>
      <c r="Q1453" s="6">
        <v>40382</v>
      </c>
      <c r="R1453" s="7">
        <v>0.66666666666666663</v>
      </c>
      <c r="S1453" s="5">
        <v>89.03</v>
      </c>
      <c r="T1453" s="5">
        <v>90.42</v>
      </c>
      <c r="U1453" s="5">
        <v>88.61</v>
      </c>
      <c r="V1453" s="5">
        <v>88.85</v>
      </c>
      <c r="W1453" s="5">
        <v>426912</v>
      </c>
    </row>
    <row r="1454" spans="1:23" x14ac:dyDescent="0.3">
      <c r="A1454" s="6">
        <v>40427</v>
      </c>
      <c r="B1454" s="7">
        <v>0.66666666666666663</v>
      </c>
      <c r="C1454" s="5">
        <v>80</v>
      </c>
      <c r="D1454" s="5">
        <v>80</v>
      </c>
      <c r="E1454" s="5">
        <v>79.099999999999994</v>
      </c>
      <c r="F1454" s="5">
        <v>79.099999999999994</v>
      </c>
      <c r="G1454" s="5">
        <v>1200</v>
      </c>
      <c r="Q1454" s="6">
        <v>40385</v>
      </c>
      <c r="R1454" s="7">
        <v>0.66666666666666663</v>
      </c>
      <c r="S1454" s="5">
        <v>88.85</v>
      </c>
      <c r="T1454" s="5">
        <v>89.49</v>
      </c>
      <c r="U1454" s="5">
        <v>87.6</v>
      </c>
      <c r="V1454" s="5">
        <v>87.78</v>
      </c>
      <c r="W1454" s="5">
        <v>162662</v>
      </c>
    </row>
    <row r="1455" spans="1:23" x14ac:dyDescent="0.3">
      <c r="A1455" s="6">
        <v>40428</v>
      </c>
      <c r="B1455" s="7">
        <v>0.66666666666666663</v>
      </c>
      <c r="C1455" s="5">
        <v>78.989999999999995</v>
      </c>
      <c r="D1455" s="5">
        <v>78.989999999999995</v>
      </c>
      <c r="E1455" s="5">
        <v>78.989999999999995</v>
      </c>
      <c r="F1455" s="5">
        <v>78.989999999999995</v>
      </c>
      <c r="G1455" s="5">
        <v>100</v>
      </c>
      <c r="Q1455" s="6">
        <v>40386</v>
      </c>
      <c r="R1455" s="7">
        <v>0.66666666666666663</v>
      </c>
      <c r="S1455" s="5">
        <v>87.78</v>
      </c>
      <c r="T1455" s="5">
        <v>89.1</v>
      </c>
      <c r="U1455" s="5">
        <v>87.3</v>
      </c>
      <c r="V1455" s="5">
        <v>88.31</v>
      </c>
      <c r="W1455" s="5">
        <v>253116</v>
      </c>
    </row>
    <row r="1456" spans="1:23" x14ac:dyDescent="0.3">
      <c r="A1456" s="6">
        <v>40429</v>
      </c>
      <c r="B1456" s="7">
        <v>0.66666666666666663</v>
      </c>
      <c r="C1456" s="5">
        <v>79</v>
      </c>
      <c r="D1456" s="5">
        <v>80</v>
      </c>
      <c r="E1456" s="5">
        <v>79</v>
      </c>
      <c r="F1456" s="5">
        <v>79.12</v>
      </c>
      <c r="G1456" s="5">
        <v>1455</v>
      </c>
      <c r="Q1456" s="6">
        <v>40387</v>
      </c>
      <c r="R1456" s="7">
        <v>0.66666666666666663</v>
      </c>
      <c r="S1456" s="5">
        <v>88.7</v>
      </c>
      <c r="T1456" s="5">
        <v>92.3</v>
      </c>
      <c r="U1456" s="5">
        <v>88.7</v>
      </c>
      <c r="V1456" s="5">
        <v>91.06</v>
      </c>
      <c r="W1456" s="5">
        <v>1223614</v>
      </c>
    </row>
    <row r="1457" spans="1:23" x14ac:dyDescent="0.3">
      <c r="A1457" s="6">
        <v>40430</v>
      </c>
      <c r="B1457" s="7">
        <v>0.66666666666666663</v>
      </c>
      <c r="C1457" s="5">
        <v>80.7</v>
      </c>
      <c r="D1457" s="5">
        <v>81</v>
      </c>
      <c r="E1457" s="5">
        <v>79.510000000000005</v>
      </c>
      <c r="F1457" s="5">
        <v>80.569999999999993</v>
      </c>
      <c r="G1457" s="5">
        <v>2810</v>
      </c>
      <c r="Q1457" s="6">
        <v>40388</v>
      </c>
      <c r="R1457" s="7">
        <v>0.66666666666666663</v>
      </c>
      <c r="S1457" s="5">
        <v>91.06</v>
      </c>
      <c r="T1457" s="5">
        <v>91.5</v>
      </c>
      <c r="U1457" s="5">
        <v>89.8</v>
      </c>
      <c r="V1457" s="5">
        <v>89.97</v>
      </c>
      <c r="W1457" s="5">
        <v>339190</v>
      </c>
    </row>
    <row r="1458" spans="1:23" x14ac:dyDescent="0.3">
      <c r="A1458" s="6">
        <v>40435</v>
      </c>
      <c r="B1458" s="7">
        <v>0.66666666666666663</v>
      </c>
      <c r="C1458" s="5">
        <v>83.2</v>
      </c>
      <c r="D1458" s="5">
        <v>83.5</v>
      </c>
      <c r="E1458" s="5">
        <v>82</v>
      </c>
      <c r="F1458" s="5">
        <v>83.31</v>
      </c>
      <c r="G1458" s="5">
        <v>2762</v>
      </c>
      <c r="Q1458" s="6">
        <v>40389</v>
      </c>
      <c r="R1458" s="7">
        <v>0.66666666666666663</v>
      </c>
      <c r="S1458" s="5">
        <v>89.97</v>
      </c>
      <c r="T1458" s="5">
        <v>92</v>
      </c>
      <c r="U1458" s="5">
        <v>89.16</v>
      </c>
      <c r="V1458" s="5">
        <v>91.5</v>
      </c>
      <c r="W1458" s="5">
        <v>1035750</v>
      </c>
    </row>
    <row r="1459" spans="1:23" x14ac:dyDescent="0.3">
      <c r="A1459" s="6">
        <v>40436</v>
      </c>
      <c r="B1459" s="7">
        <v>0.66666666666666663</v>
      </c>
      <c r="C1459" s="5">
        <v>83.35</v>
      </c>
      <c r="D1459" s="5">
        <v>83.95</v>
      </c>
      <c r="E1459" s="5">
        <v>83.15</v>
      </c>
      <c r="F1459" s="5">
        <v>83.3</v>
      </c>
      <c r="G1459" s="5">
        <v>2523</v>
      </c>
      <c r="Q1459" s="6">
        <v>40392</v>
      </c>
      <c r="R1459" s="7">
        <v>0.66666666666666663</v>
      </c>
      <c r="S1459" s="5">
        <v>89.7</v>
      </c>
      <c r="T1459" s="5">
        <v>89.7</v>
      </c>
      <c r="U1459" s="5">
        <v>88</v>
      </c>
      <c r="V1459" s="5">
        <v>88.98</v>
      </c>
      <c r="W1459" s="5">
        <v>496128</v>
      </c>
    </row>
    <row r="1460" spans="1:23" x14ac:dyDescent="0.3">
      <c r="A1460" s="6">
        <v>40437</v>
      </c>
      <c r="B1460" s="7">
        <v>0.66666666666666663</v>
      </c>
      <c r="C1460" s="5">
        <v>85</v>
      </c>
      <c r="D1460" s="5">
        <v>85</v>
      </c>
      <c r="E1460" s="5">
        <v>83</v>
      </c>
      <c r="F1460" s="5">
        <v>84.01</v>
      </c>
      <c r="G1460" s="5">
        <v>8859</v>
      </c>
      <c r="Q1460" s="6">
        <v>40393</v>
      </c>
      <c r="R1460" s="7">
        <v>0.66666666666666663</v>
      </c>
      <c r="S1460" s="5">
        <v>88.98</v>
      </c>
      <c r="T1460" s="5">
        <v>89.4</v>
      </c>
      <c r="U1460" s="5">
        <v>88.1</v>
      </c>
      <c r="V1460" s="5">
        <v>88.81</v>
      </c>
      <c r="W1460" s="5">
        <v>161403</v>
      </c>
    </row>
    <row r="1461" spans="1:23" x14ac:dyDescent="0.3">
      <c r="A1461" s="6">
        <v>40438</v>
      </c>
      <c r="B1461" s="7">
        <v>0.66666666666666663</v>
      </c>
      <c r="C1461" s="5">
        <v>84</v>
      </c>
      <c r="D1461" s="5">
        <v>88.21</v>
      </c>
      <c r="E1461" s="5">
        <v>84</v>
      </c>
      <c r="F1461" s="5">
        <v>88.13</v>
      </c>
      <c r="G1461" s="5">
        <v>39957</v>
      </c>
      <c r="Q1461" s="6">
        <v>40394</v>
      </c>
      <c r="R1461" s="7">
        <v>0.66666666666666663</v>
      </c>
      <c r="S1461" s="5">
        <v>89.2</v>
      </c>
      <c r="T1461" s="5">
        <v>92.65</v>
      </c>
      <c r="U1461" s="5">
        <v>89.2</v>
      </c>
      <c r="V1461" s="5">
        <v>92.02</v>
      </c>
      <c r="W1461" s="5">
        <v>1783053</v>
      </c>
    </row>
    <row r="1462" spans="1:23" x14ac:dyDescent="0.3">
      <c r="A1462" s="6">
        <v>40441</v>
      </c>
      <c r="B1462" s="7">
        <v>0.66666666666666663</v>
      </c>
      <c r="C1462" s="5">
        <v>87</v>
      </c>
      <c r="D1462" s="5">
        <v>89.98</v>
      </c>
      <c r="E1462" s="5">
        <v>85.5</v>
      </c>
      <c r="F1462" s="5">
        <v>89.26</v>
      </c>
      <c r="G1462" s="5">
        <v>23833</v>
      </c>
      <c r="Q1462" s="6">
        <v>40395</v>
      </c>
      <c r="R1462" s="7">
        <v>0.66666666666666663</v>
      </c>
      <c r="S1462" s="5">
        <v>92.02</v>
      </c>
      <c r="T1462" s="5">
        <v>92.55</v>
      </c>
      <c r="U1462" s="5">
        <v>88.52</v>
      </c>
      <c r="V1462" s="5">
        <v>89.29</v>
      </c>
      <c r="W1462" s="5">
        <v>723401</v>
      </c>
    </row>
    <row r="1463" spans="1:23" x14ac:dyDescent="0.3">
      <c r="A1463" s="6">
        <v>40442</v>
      </c>
      <c r="B1463" s="7">
        <v>0.66666666666666663</v>
      </c>
      <c r="C1463" s="5">
        <v>90</v>
      </c>
      <c r="D1463" s="5">
        <v>90</v>
      </c>
      <c r="E1463" s="5">
        <v>89</v>
      </c>
      <c r="F1463" s="5">
        <v>89.5</v>
      </c>
      <c r="G1463" s="5">
        <v>8170</v>
      </c>
      <c r="Q1463" s="6">
        <v>40396</v>
      </c>
      <c r="R1463" s="7">
        <v>0.66666666666666663</v>
      </c>
      <c r="S1463" s="5">
        <v>89.29</v>
      </c>
      <c r="T1463" s="5">
        <v>90</v>
      </c>
      <c r="U1463" s="5">
        <v>86.6</v>
      </c>
      <c r="V1463" s="5">
        <v>86.98</v>
      </c>
      <c r="W1463" s="5">
        <v>317883</v>
      </c>
    </row>
    <row r="1464" spans="1:23" x14ac:dyDescent="0.3">
      <c r="A1464" s="6">
        <v>40443</v>
      </c>
      <c r="B1464" s="7">
        <v>0.66666666666666663</v>
      </c>
      <c r="C1464" s="5">
        <v>90</v>
      </c>
      <c r="D1464" s="5">
        <v>90</v>
      </c>
      <c r="E1464" s="5">
        <v>89.1</v>
      </c>
      <c r="F1464" s="5">
        <v>89.4</v>
      </c>
      <c r="G1464" s="5">
        <v>6674</v>
      </c>
      <c r="Q1464" s="6">
        <v>40399</v>
      </c>
      <c r="R1464" s="7">
        <v>0.66666666666666663</v>
      </c>
      <c r="S1464" s="5">
        <v>86.98</v>
      </c>
      <c r="T1464" s="5">
        <v>87</v>
      </c>
      <c r="U1464" s="5">
        <v>82.64</v>
      </c>
      <c r="V1464" s="5">
        <v>82.81</v>
      </c>
      <c r="W1464" s="5">
        <v>367376</v>
      </c>
    </row>
    <row r="1465" spans="1:23" x14ac:dyDescent="0.3">
      <c r="A1465" s="6">
        <v>40444</v>
      </c>
      <c r="B1465" s="7">
        <v>0.66666666666666663</v>
      </c>
      <c r="C1465" s="5">
        <v>89.2</v>
      </c>
      <c r="D1465" s="5">
        <v>89.2</v>
      </c>
      <c r="E1465" s="5">
        <v>88.5</v>
      </c>
      <c r="F1465" s="5">
        <v>88.58</v>
      </c>
      <c r="G1465" s="5">
        <v>10055</v>
      </c>
      <c r="Q1465" s="6">
        <v>40400</v>
      </c>
      <c r="R1465" s="7">
        <v>0.66666666666666663</v>
      </c>
      <c r="S1465" s="5">
        <v>82.81</v>
      </c>
      <c r="T1465" s="5">
        <v>83</v>
      </c>
      <c r="U1465" s="5">
        <v>80.400000000000006</v>
      </c>
      <c r="V1465" s="5">
        <v>81.08</v>
      </c>
      <c r="W1465" s="5">
        <v>251659</v>
      </c>
    </row>
    <row r="1466" spans="1:23" x14ac:dyDescent="0.3">
      <c r="A1466" s="6">
        <v>40445</v>
      </c>
      <c r="B1466" s="7">
        <v>0.66666666666666663</v>
      </c>
      <c r="C1466" s="5">
        <v>88.25</v>
      </c>
      <c r="D1466" s="5">
        <v>88.26</v>
      </c>
      <c r="E1466" s="5">
        <v>87.01</v>
      </c>
      <c r="F1466" s="5">
        <v>87.8</v>
      </c>
      <c r="G1466" s="5">
        <v>1276</v>
      </c>
      <c r="Q1466" s="6">
        <v>40401</v>
      </c>
      <c r="R1466" s="7">
        <v>0.66666666666666663</v>
      </c>
      <c r="S1466" s="5">
        <v>81.08</v>
      </c>
      <c r="T1466" s="5">
        <v>83.7</v>
      </c>
      <c r="U1466" s="5">
        <v>81</v>
      </c>
      <c r="V1466" s="5">
        <v>82.8</v>
      </c>
      <c r="W1466" s="5">
        <v>351743</v>
      </c>
    </row>
    <row r="1467" spans="1:23" x14ac:dyDescent="0.3">
      <c r="A1467" s="6">
        <v>40448</v>
      </c>
      <c r="B1467" s="7">
        <v>0.66666666666666663</v>
      </c>
      <c r="C1467" s="5">
        <v>87.3</v>
      </c>
      <c r="D1467" s="5">
        <v>89.2</v>
      </c>
      <c r="E1467" s="5">
        <v>87</v>
      </c>
      <c r="F1467" s="5">
        <v>89.1</v>
      </c>
      <c r="G1467" s="5">
        <v>1500</v>
      </c>
      <c r="Q1467" s="6">
        <v>40402</v>
      </c>
      <c r="R1467" s="7">
        <v>0.66666666666666663</v>
      </c>
      <c r="S1467" s="5">
        <v>82.8</v>
      </c>
      <c r="T1467" s="5">
        <v>83.49</v>
      </c>
      <c r="U1467" s="5">
        <v>81.45</v>
      </c>
      <c r="V1467" s="5">
        <v>81.53</v>
      </c>
      <c r="W1467" s="5">
        <v>76289</v>
      </c>
    </row>
    <row r="1468" spans="1:23" x14ac:dyDescent="0.3">
      <c r="A1468" s="6">
        <v>40449</v>
      </c>
      <c r="B1468" s="7">
        <v>0.66666666666666663</v>
      </c>
      <c r="C1468" s="5">
        <v>89.1</v>
      </c>
      <c r="D1468" s="5">
        <v>89.1</v>
      </c>
      <c r="E1468" s="5">
        <v>88</v>
      </c>
      <c r="F1468" s="5">
        <v>88.06</v>
      </c>
      <c r="G1468" s="5">
        <v>2528</v>
      </c>
      <c r="Q1468" s="6">
        <v>40403</v>
      </c>
      <c r="R1468" s="7">
        <v>0.66666666666666663</v>
      </c>
      <c r="S1468" s="5">
        <v>81.53</v>
      </c>
      <c r="T1468" s="5">
        <v>82.48</v>
      </c>
      <c r="U1468" s="5">
        <v>80.650000000000006</v>
      </c>
      <c r="V1468" s="5">
        <v>81.39</v>
      </c>
      <c r="W1468" s="5">
        <v>47853</v>
      </c>
    </row>
    <row r="1469" spans="1:23" x14ac:dyDescent="0.3">
      <c r="A1469" s="6">
        <v>40450</v>
      </c>
      <c r="B1469" s="7">
        <v>0.66666666666666663</v>
      </c>
      <c r="C1469" s="5">
        <v>87.3</v>
      </c>
      <c r="D1469" s="5">
        <v>88.51</v>
      </c>
      <c r="E1469" s="5">
        <v>87.3</v>
      </c>
      <c r="F1469" s="5">
        <v>88.51</v>
      </c>
      <c r="G1469" s="5">
        <v>2550</v>
      </c>
      <c r="Q1469" s="6">
        <v>40406</v>
      </c>
      <c r="R1469" s="7">
        <v>0.66666666666666663</v>
      </c>
      <c r="S1469" s="5">
        <v>81.39</v>
      </c>
      <c r="T1469" s="5">
        <v>82</v>
      </c>
      <c r="U1469" s="5">
        <v>77.33</v>
      </c>
      <c r="V1469" s="5">
        <v>77.33</v>
      </c>
      <c r="W1469" s="5">
        <v>113249</v>
      </c>
    </row>
    <row r="1470" spans="1:23" x14ac:dyDescent="0.3">
      <c r="A1470" s="6">
        <v>40451</v>
      </c>
      <c r="B1470" s="7">
        <v>0.66666666666666663</v>
      </c>
      <c r="C1470" s="5">
        <v>88.5</v>
      </c>
      <c r="D1470" s="5">
        <v>88.9</v>
      </c>
      <c r="E1470" s="5">
        <v>88.5</v>
      </c>
      <c r="F1470" s="5">
        <v>88.51</v>
      </c>
      <c r="G1470" s="5">
        <v>7851</v>
      </c>
      <c r="Q1470" s="6">
        <v>40407</v>
      </c>
      <c r="R1470" s="7">
        <v>0.66666666666666663</v>
      </c>
      <c r="S1470" s="5">
        <v>77.33</v>
      </c>
      <c r="T1470" s="5">
        <v>77.38</v>
      </c>
      <c r="U1470" s="5">
        <v>73.47</v>
      </c>
      <c r="V1470" s="5">
        <v>76.12</v>
      </c>
      <c r="W1470" s="5">
        <v>508667</v>
      </c>
    </row>
    <row r="1471" spans="1:23" x14ac:dyDescent="0.3">
      <c r="A1471" s="6">
        <v>40452</v>
      </c>
      <c r="B1471" s="7">
        <v>0.66666666666666663</v>
      </c>
      <c r="C1471" s="5">
        <v>88</v>
      </c>
      <c r="D1471" s="5">
        <v>88.5</v>
      </c>
      <c r="E1471" s="5">
        <v>85.1</v>
      </c>
      <c r="F1471" s="5">
        <v>88.3</v>
      </c>
      <c r="G1471" s="5">
        <v>5986</v>
      </c>
      <c r="Q1471" s="6">
        <v>40408</v>
      </c>
      <c r="R1471" s="7">
        <v>0.66666666666666663</v>
      </c>
      <c r="S1471" s="5">
        <v>76.12</v>
      </c>
      <c r="T1471" s="5">
        <v>77.7</v>
      </c>
      <c r="U1471" s="5">
        <v>76</v>
      </c>
      <c r="V1471" s="5">
        <v>76.38</v>
      </c>
      <c r="W1471" s="5">
        <v>273158</v>
      </c>
    </row>
    <row r="1472" spans="1:23" x14ac:dyDescent="0.3">
      <c r="A1472" s="6">
        <v>40455</v>
      </c>
      <c r="B1472" s="7">
        <v>0.66666666666666663</v>
      </c>
      <c r="C1472" s="5">
        <v>88.5</v>
      </c>
      <c r="D1472" s="5">
        <v>88.5</v>
      </c>
      <c r="E1472" s="5">
        <v>88</v>
      </c>
      <c r="F1472" s="5">
        <v>88.5</v>
      </c>
      <c r="G1472" s="5">
        <v>4435</v>
      </c>
      <c r="Q1472" s="6">
        <v>40409</v>
      </c>
      <c r="R1472" s="7">
        <v>0.66666666666666663</v>
      </c>
      <c r="S1472" s="5">
        <v>76.38</v>
      </c>
      <c r="T1472" s="5">
        <v>80.19</v>
      </c>
      <c r="U1472" s="5">
        <v>76.16</v>
      </c>
      <c r="V1472" s="5">
        <v>80.040000000000006</v>
      </c>
      <c r="W1472" s="5">
        <v>587114</v>
      </c>
    </row>
    <row r="1473" spans="1:23" x14ac:dyDescent="0.3">
      <c r="A1473" s="6">
        <v>40456</v>
      </c>
      <c r="B1473" s="7">
        <v>0.66666666666666663</v>
      </c>
      <c r="C1473" s="5">
        <v>88.5</v>
      </c>
      <c r="D1473" s="5">
        <v>89</v>
      </c>
      <c r="E1473" s="5">
        <v>88.5</v>
      </c>
      <c r="F1473" s="5">
        <v>88.5</v>
      </c>
      <c r="G1473" s="5">
        <v>2630</v>
      </c>
      <c r="Q1473" s="6">
        <v>40410</v>
      </c>
      <c r="R1473" s="7">
        <v>0.66666666666666663</v>
      </c>
      <c r="S1473" s="5">
        <v>80.150000000000006</v>
      </c>
      <c r="T1473" s="5">
        <v>83.25</v>
      </c>
      <c r="U1473" s="5">
        <v>80.150000000000006</v>
      </c>
      <c r="V1473" s="5">
        <v>82.12</v>
      </c>
      <c r="W1473" s="5">
        <v>715566</v>
      </c>
    </row>
    <row r="1474" spans="1:23" x14ac:dyDescent="0.3">
      <c r="A1474" s="6">
        <v>40457</v>
      </c>
      <c r="B1474" s="7">
        <v>0.66666666666666663</v>
      </c>
      <c r="C1474" s="5">
        <v>89.1</v>
      </c>
      <c r="D1474" s="5">
        <v>90.5</v>
      </c>
      <c r="E1474" s="5">
        <v>88.5</v>
      </c>
      <c r="F1474" s="5">
        <v>90.5</v>
      </c>
      <c r="G1474" s="5">
        <v>10227</v>
      </c>
      <c r="Q1474" s="6">
        <v>40413</v>
      </c>
      <c r="R1474" s="7">
        <v>0.66666666666666663</v>
      </c>
      <c r="S1474" s="5">
        <v>82.12</v>
      </c>
      <c r="T1474" s="5">
        <v>84.9</v>
      </c>
      <c r="U1474" s="5">
        <v>81.599999999999994</v>
      </c>
      <c r="V1474" s="5">
        <v>82.93</v>
      </c>
      <c r="W1474" s="5">
        <v>879302</v>
      </c>
    </row>
    <row r="1475" spans="1:23" x14ac:dyDescent="0.3">
      <c r="A1475" s="6">
        <v>40458</v>
      </c>
      <c r="B1475" s="7">
        <v>0.66666666666666663</v>
      </c>
      <c r="C1475" s="5">
        <v>90</v>
      </c>
      <c r="D1475" s="5">
        <v>91.9</v>
      </c>
      <c r="E1475" s="5">
        <v>90</v>
      </c>
      <c r="F1475" s="5">
        <v>91.9</v>
      </c>
      <c r="G1475" s="5">
        <v>8359</v>
      </c>
      <c r="Q1475" s="6">
        <v>40414</v>
      </c>
      <c r="R1475" s="7">
        <v>0.66666666666666663</v>
      </c>
      <c r="S1475" s="5">
        <v>82.93</v>
      </c>
      <c r="T1475" s="5">
        <v>83.3</v>
      </c>
      <c r="U1475" s="5">
        <v>79.510000000000005</v>
      </c>
      <c r="V1475" s="5">
        <v>80.239999999999995</v>
      </c>
      <c r="W1475" s="5">
        <v>328135</v>
      </c>
    </row>
    <row r="1476" spans="1:23" x14ac:dyDescent="0.3">
      <c r="A1476" s="6">
        <v>40459</v>
      </c>
      <c r="B1476" s="7">
        <v>0.66666666666666663</v>
      </c>
      <c r="C1476" s="5">
        <v>91</v>
      </c>
      <c r="D1476" s="5">
        <v>92</v>
      </c>
      <c r="E1476" s="5">
        <v>91</v>
      </c>
      <c r="F1476" s="5">
        <v>92</v>
      </c>
      <c r="G1476" s="5">
        <v>2000</v>
      </c>
      <c r="Q1476" s="6">
        <v>40415</v>
      </c>
      <c r="R1476" s="7">
        <v>0.66666666666666663</v>
      </c>
      <c r="S1476" s="5">
        <v>80.239999999999995</v>
      </c>
      <c r="T1476" s="5">
        <v>81.099999999999994</v>
      </c>
      <c r="U1476" s="5">
        <v>76.8</v>
      </c>
      <c r="V1476" s="5">
        <v>77.510000000000005</v>
      </c>
      <c r="W1476" s="5">
        <v>391631</v>
      </c>
    </row>
    <row r="1477" spans="1:23" x14ac:dyDescent="0.3">
      <c r="A1477" s="6">
        <v>40462</v>
      </c>
      <c r="B1477" s="7">
        <v>0.66666666666666663</v>
      </c>
      <c r="C1477" s="5">
        <v>93.45</v>
      </c>
      <c r="D1477" s="5">
        <v>96.4</v>
      </c>
      <c r="E1477" s="5">
        <v>92.75</v>
      </c>
      <c r="F1477" s="5">
        <v>93</v>
      </c>
      <c r="G1477" s="5">
        <v>18513</v>
      </c>
      <c r="Q1477" s="6">
        <v>40416</v>
      </c>
      <c r="R1477" s="7">
        <v>0.66666666666666663</v>
      </c>
      <c r="S1477" s="5">
        <v>77.510000000000005</v>
      </c>
      <c r="T1477" s="5">
        <v>80.89</v>
      </c>
      <c r="U1477" s="5">
        <v>77.3</v>
      </c>
      <c r="V1477" s="5">
        <v>79.86</v>
      </c>
      <c r="W1477" s="5">
        <v>608004</v>
      </c>
    </row>
    <row r="1478" spans="1:23" x14ac:dyDescent="0.3">
      <c r="A1478" s="6">
        <v>40463</v>
      </c>
      <c r="B1478" s="7">
        <v>0.66666666666666663</v>
      </c>
      <c r="C1478" s="5">
        <v>92.5</v>
      </c>
      <c r="D1478" s="5">
        <v>92.95</v>
      </c>
      <c r="E1478" s="5">
        <v>91.75</v>
      </c>
      <c r="F1478" s="5">
        <v>92</v>
      </c>
      <c r="G1478" s="5">
        <v>2619</v>
      </c>
      <c r="Q1478" s="6">
        <v>40417</v>
      </c>
      <c r="R1478" s="7">
        <v>0.66666666666666663</v>
      </c>
      <c r="S1478" s="5">
        <v>79.86</v>
      </c>
      <c r="T1478" s="5">
        <v>81.349999999999994</v>
      </c>
      <c r="U1478" s="5">
        <v>79.099999999999994</v>
      </c>
      <c r="V1478" s="5">
        <v>79.849999999999994</v>
      </c>
      <c r="W1478" s="5">
        <v>225452</v>
      </c>
    </row>
    <row r="1479" spans="1:23" x14ac:dyDescent="0.3">
      <c r="A1479" s="6">
        <v>40464</v>
      </c>
      <c r="B1479" s="7">
        <v>0.66666666666666663</v>
      </c>
      <c r="C1479" s="5">
        <v>93</v>
      </c>
      <c r="D1479" s="5">
        <v>93</v>
      </c>
      <c r="E1479" s="5">
        <v>92.98</v>
      </c>
      <c r="F1479" s="5">
        <v>92.98</v>
      </c>
      <c r="G1479" s="5">
        <v>101</v>
      </c>
      <c r="Q1479" s="6">
        <v>40420</v>
      </c>
      <c r="R1479" s="7">
        <v>0.66666666666666663</v>
      </c>
      <c r="S1479" s="5">
        <v>79.849999999999994</v>
      </c>
      <c r="T1479" s="5">
        <v>81</v>
      </c>
      <c r="U1479" s="5">
        <v>76.2</v>
      </c>
      <c r="V1479" s="5">
        <v>77.44</v>
      </c>
      <c r="W1479" s="5">
        <v>330195</v>
      </c>
    </row>
    <row r="1480" spans="1:23" x14ac:dyDescent="0.3">
      <c r="A1480" s="6">
        <v>40465</v>
      </c>
      <c r="B1480" s="7">
        <v>0.66666666666666663</v>
      </c>
      <c r="C1480" s="5">
        <v>92</v>
      </c>
      <c r="D1480" s="5">
        <v>92.4</v>
      </c>
      <c r="E1480" s="5">
        <v>91.5</v>
      </c>
      <c r="F1480" s="5">
        <v>92.4</v>
      </c>
      <c r="G1480" s="5">
        <v>3208</v>
      </c>
      <c r="Q1480" s="6">
        <v>40421</v>
      </c>
      <c r="R1480" s="7">
        <v>0.66666666666666663</v>
      </c>
      <c r="S1480" s="5">
        <v>78</v>
      </c>
      <c r="T1480" s="5">
        <v>80.989999999999995</v>
      </c>
      <c r="U1480" s="5">
        <v>78</v>
      </c>
      <c r="V1480" s="5">
        <v>80.180000000000007</v>
      </c>
      <c r="W1480" s="5">
        <v>638660</v>
      </c>
    </row>
    <row r="1481" spans="1:23" x14ac:dyDescent="0.3">
      <c r="A1481" s="6">
        <v>40466</v>
      </c>
      <c r="B1481" s="7">
        <v>0.66666666666666663</v>
      </c>
      <c r="C1481" s="5">
        <v>91.5</v>
      </c>
      <c r="D1481" s="5">
        <v>91.5</v>
      </c>
      <c r="E1481" s="5">
        <v>90.5</v>
      </c>
      <c r="F1481" s="5">
        <v>90.9</v>
      </c>
      <c r="G1481" s="5">
        <v>2300</v>
      </c>
      <c r="Q1481" s="6">
        <v>40422</v>
      </c>
      <c r="R1481" s="7">
        <v>0.66666666666666663</v>
      </c>
      <c r="S1481" s="5">
        <v>80</v>
      </c>
      <c r="T1481" s="5">
        <v>80</v>
      </c>
      <c r="U1481" s="5">
        <v>78.05</v>
      </c>
      <c r="V1481" s="5">
        <v>79.02</v>
      </c>
      <c r="W1481" s="5">
        <v>174056</v>
      </c>
    </row>
    <row r="1482" spans="1:23" x14ac:dyDescent="0.3">
      <c r="A1482" s="6">
        <v>40469</v>
      </c>
      <c r="B1482" s="7">
        <v>0.66666666666666663</v>
      </c>
      <c r="C1482" s="5">
        <v>91.1</v>
      </c>
      <c r="D1482" s="5">
        <v>92.5</v>
      </c>
      <c r="E1482" s="5">
        <v>91</v>
      </c>
      <c r="F1482" s="5">
        <v>92</v>
      </c>
      <c r="G1482" s="5">
        <v>17575</v>
      </c>
      <c r="Q1482" s="6">
        <v>40423</v>
      </c>
      <c r="R1482" s="7">
        <v>0.66666666666666663</v>
      </c>
      <c r="S1482" s="5">
        <v>79.02</v>
      </c>
      <c r="T1482" s="5">
        <v>82.5</v>
      </c>
      <c r="U1482" s="5">
        <v>79</v>
      </c>
      <c r="V1482" s="5">
        <v>81.23</v>
      </c>
      <c r="W1482" s="5">
        <v>1014596</v>
      </c>
    </row>
    <row r="1483" spans="1:23" x14ac:dyDescent="0.3">
      <c r="A1483" s="6">
        <v>40470</v>
      </c>
      <c r="B1483" s="7">
        <v>0.66666666666666663</v>
      </c>
      <c r="C1483" s="5">
        <v>92.95</v>
      </c>
      <c r="D1483" s="5">
        <v>92.95</v>
      </c>
      <c r="E1483" s="5">
        <v>91.1</v>
      </c>
      <c r="F1483" s="5">
        <v>91.2</v>
      </c>
      <c r="G1483" s="5">
        <v>3700</v>
      </c>
      <c r="Q1483" s="6">
        <v>40424</v>
      </c>
      <c r="R1483" s="7">
        <v>0.66666666666666663</v>
      </c>
      <c r="S1483" s="5">
        <v>81.23</v>
      </c>
      <c r="T1483" s="5">
        <v>82</v>
      </c>
      <c r="U1483" s="5">
        <v>80</v>
      </c>
      <c r="V1483" s="5">
        <v>80.22</v>
      </c>
      <c r="W1483" s="5">
        <v>159816</v>
      </c>
    </row>
    <row r="1484" spans="1:23" x14ac:dyDescent="0.3">
      <c r="A1484" s="6">
        <v>40471</v>
      </c>
      <c r="B1484" s="7">
        <v>0.66666666666666663</v>
      </c>
      <c r="C1484" s="5">
        <v>92.9</v>
      </c>
      <c r="D1484" s="5">
        <v>92.9</v>
      </c>
      <c r="E1484" s="5">
        <v>91.1</v>
      </c>
      <c r="F1484" s="5">
        <v>91.25</v>
      </c>
      <c r="G1484" s="5">
        <v>690</v>
      </c>
      <c r="Q1484" s="6">
        <v>40427</v>
      </c>
      <c r="R1484" s="7">
        <v>0.66666666666666663</v>
      </c>
      <c r="S1484" s="5">
        <v>80.22</v>
      </c>
      <c r="T1484" s="5">
        <v>80.44</v>
      </c>
      <c r="U1484" s="5">
        <v>79.010000000000005</v>
      </c>
      <c r="V1484" s="5">
        <v>79.739999999999995</v>
      </c>
      <c r="W1484" s="5">
        <v>82812</v>
      </c>
    </row>
    <row r="1485" spans="1:23" x14ac:dyDescent="0.3">
      <c r="A1485" s="6">
        <v>40472</v>
      </c>
      <c r="B1485" s="7">
        <v>0.66666666666666663</v>
      </c>
      <c r="C1485" s="5">
        <v>90.01</v>
      </c>
      <c r="D1485" s="5">
        <v>92</v>
      </c>
      <c r="E1485" s="5">
        <v>89.88</v>
      </c>
      <c r="F1485" s="5">
        <v>92</v>
      </c>
      <c r="G1485" s="5">
        <v>5989</v>
      </c>
      <c r="Q1485" s="6">
        <v>40428</v>
      </c>
      <c r="R1485" s="7">
        <v>0.66666666666666663</v>
      </c>
      <c r="S1485" s="5">
        <v>79.739999999999995</v>
      </c>
      <c r="T1485" s="5">
        <v>80.790000000000006</v>
      </c>
      <c r="U1485" s="5">
        <v>79.099999999999994</v>
      </c>
      <c r="V1485" s="5">
        <v>80.069999999999993</v>
      </c>
      <c r="W1485" s="5">
        <v>131212</v>
      </c>
    </row>
    <row r="1486" spans="1:23" x14ac:dyDescent="0.3">
      <c r="A1486" s="6">
        <v>40473</v>
      </c>
      <c r="B1486" s="7">
        <v>0.66666666666666663</v>
      </c>
      <c r="C1486" s="5">
        <v>92.5</v>
      </c>
      <c r="D1486" s="5">
        <v>94.75</v>
      </c>
      <c r="E1486" s="5">
        <v>92.5</v>
      </c>
      <c r="F1486" s="5">
        <v>94</v>
      </c>
      <c r="G1486" s="5">
        <v>9355</v>
      </c>
      <c r="Q1486" s="6">
        <v>40429</v>
      </c>
      <c r="R1486" s="7">
        <v>0.66666666666666663</v>
      </c>
      <c r="S1486" s="5">
        <v>80.069999999999993</v>
      </c>
      <c r="T1486" s="5">
        <v>81.88</v>
      </c>
      <c r="U1486" s="5">
        <v>79.900000000000006</v>
      </c>
      <c r="V1486" s="5">
        <v>81.650000000000006</v>
      </c>
      <c r="W1486" s="5">
        <v>195838</v>
      </c>
    </row>
    <row r="1487" spans="1:23" x14ac:dyDescent="0.3">
      <c r="A1487" s="6">
        <v>40476</v>
      </c>
      <c r="B1487" s="7">
        <v>0.66666666666666663</v>
      </c>
      <c r="C1487" s="5">
        <v>93.75</v>
      </c>
      <c r="D1487" s="5">
        <v>95</v>
      </c>
      <c r="E1487" s="5">
        <v>93.1</v>
      </c>
      <c r="F1487" s="5">
        <v>94.5</v>
      </c>
      <c r="G1487" s="5">
        <v>5000</v>
      </c>
      <c r="Q1487" s="6">
        <v>40430</v>
      </c>
      <c r="R1487" s="7">
        <v>0.66666666666666663</v>
      </c>
      <c r="S1487" s="5">
        <v>81.650000000000006</v>
      </c>
      <c r="T1487" s="5">
        <v>82.25</v>
      </c>
      <c r="U1487" s="5">
        <v>80.81</v>
      </c>
      <c r="V1487" s="5">
        <v>81.11</v>
      </c>
      <c r="W1487" s="5">
        <v>138509</v>
      </c>
    </row>
    <row r="1488" spans="1:23" x14ac:dyDescent="0.3">
      <c r="A1488" s="6">
        <v>40477</v>
      </c>
      <c r="B1488" s="7">
        <v>0.66666666666666663</v>
      </c>
      <c r="C1488" s="5">
        <v>93.3</v>
      </c>
      <c r="D1488" s="5">
        <v>97.5</v>
      </c>
      <c r="E1488" s="5">
        <v>93</v>
      </c>
      <c r="F1488" s="5">
        <v>97.45</v>
      </c>
      <c r="G1488" s="5">
        <v>22942</v>
      </c>
      <c r="Q1488" s="6">
        <v>40435</v>
      </c>
      <c r="R1488" s="7">
        <v>0.66666666666666663</v>
      </c>
      <c r="S1488" s="5">
        <v>81.400000000000006</v>
      </c>
      <c r="T1488" s="5">
        <v>83.79</v>
      </c>
      <c r="U1488" s="5">
        <v>81.400000000000006</v>
      </c>
      <c r="V1488" s="5">
        <v>83</v>
      </c>
      <c r="W1488" s="5">
        <v>797389</v>
      </c>
    </row>
    <row r="1489" spans="1:23" x14ac:dyDescent="0.3">
      <c r="A1489" s="6">
        <v>40478</v>
      </c>
      <c r="B1489" s="7">
        <v>0.66666666666666663</v>
      </c>
      <c r="C1489" s="5">
        <v>98.5</v>
      </c>
      <c r="D1489" s="5">
        <v>100</v>
      </c>
      <c r="E1489" s="5">
        <v>96.55</v>
      </c>
      <c r="F1489" s="5">
        <v>98.5</v>
      </c>
      <c r="G1489" s="5">
        <v>22059</v>
      </c>
      <c r="Q1489" s="6">
        <v>40436</v>
      </c>
      <c r="R1489" s="7">
        <v>0.66666666666666663</v>
      </c>
      <c r="S1489" s="5">
        <v>82.98</v>
      </c>
      <c r="T1489" s="5">
        <v>82.98</v>
      </c>
      <c r="U1489" s="5">
        <v>81.2</v>
      </c>
      <c r="V1489" s="5">
        <v>81.52</v>
      </c>
      <c r="W1489" s="5">
        <v>360360</v>
      </c>
    </row>
    <row r="1490" spans="1:23" x14ac:dyDescent="0.3">
      <c r="A1490" s="6">
        <v>40479</v>
      </c>
      <c r="B1490" s="7">
        <v>0.66666666666666663</v>
      </c>
      <c r="C1490" s="5">
        <v>99.5</v>
      </c>
      <c r="D1490" s="5">
        <v>104</v>
      </c>
      <c r="E1490" s="5">
        <v>98</v>
      </c>
      <c r="F1490" s="5">
        <v>100</v>
      </c>
      <c r="G1490" s="5">
        <v>47566</v>
      </c>
      <c r="Q1490" s="6">
        <v>40437</v>
      </c>
      <c r="R1490" s="7">
        <v>0.66666666666666663</v>
      </c>
      <c r="S1490" s="5">
        <v>81.52</v>
      </c>
      <c r="T1490" s="5">
        <v>83.3</v>
      </c>
      <c r="U1490" s="5">
        <v>81.069999999999993</v>
      </c>
      <c r="V1490" s="5">
        <v>81.510000000000005</v>
      </c>
      <c r="W1490" s="5">
        <v>524844</v>
      </c>
    </row>
    <row r="1491" spans="1:23" x14ac:dyDescent="0.3">
      <c r="A1491" s="6">
        <v>40480</v>
      </c>
      <c r="B1491" s="7">
        <v>0.66666666666666663</v>
      </c>
      <c r="C1491" s="5">
        <v>99.51</v>
      </c>
      <c r="D1491" s="5">
        <v>102.89</v>
      </c>
      <c r="E1491" s="5">
        <v>99.5</v>
      </c>
      <c r="F1491" s="5">
        <v>100</v>
      </c>
      <c r="G1491" s="5">
        <v>3950</v>
      </c>
      <c r="Q1491" s="6">
        <v>40438</v>
      </c>
      <c r="R1491" s="7">
        <v>0.66666666666666663</v>
      </c>
      <c r="S1491" s="5">
        <v>81.510000000000005</v>
      </c>
      <c r="T1491" s="5">
        <v>85.58</v>
      </c>
      <c r="U1491" s="5">
        <v>80.5</v>
      </c>
      <c r="V1491" s="5">
        <v>85.52</v>
      </c>
      <c r="W1491" s="5">
        <v>1979011</v>
      </c>
    </row>
    <row r="1492" spans="1:23" x14ac:dyDescent="0.3">
      <c r="A1492" s="6">
        <v>40483</v>
      </c>
      <c r="B1492" s="7">
        <v>0.66666666666666663</v>
      </c>
      <c r="C1492" s="5">
        <v>98.5</v>
      </c>
      <c r="D1492" s="5">
        <v>98.75</v>
      </c>
      <c r="E1492" s="5">
        <v>96.5</v>
      </c>
      <c r="F1492" s="5">
        <v>96.7</v>
      </c>
      <c r="G1492" s="5">
        <v>16631</v>
      </c>
      <c r="Q1492" s="6">
        <v>40441</v>
      </c>
      <c r="R1492" s="7">
        <v>0.66666666666666663</v>
      </c>
      <c r="S1492" s="5">
        <v>85.52</v>
      </c>
      <c r="T1492" s="5">
        <v>86.9</v>
      </c>
      <c r="U1492" s="5">
        <v>84.95</v>
      </c>
      <c r="V1492" s="5">
        <v>85.43</v>
      </c>
      <c r="W1492" s="5">
        <v>895078</v>
      </c>
    </row>
    <row r="1493" spans="1:23" x14ac:dyDescent="0.3">
      <c r="A1493" s="6">
        <v>40484</v>
      </c>
      <c r="B1493" s="7">
        <v>0.66666666666666663</v>
      </c>
      <c r="C1493" s="5">
        <v>99.2</v>
      </c>
      <c r="D1493" s="5">
        <v>99.25</v>
      </c>
      <c r="E1493" s="5">
        <v>97.61</v>
      </c>
      <c r="F1493" s="5">
        <v>98.99</v>
      </c>
      <c r="G1493" s="5">
        <v>2300</v>
      </c>
      <c r="Q1493" s="6">
        <v>40442</v>
      </c>
      <c r="R1493" s="7">
        <v>0.66666666666666663</v>
      </c>
      <c r="S1493" s="5">
        <v>85.43</v>
      </c>
      <c r="T1493" s="5">
        <v>85.95</v>
      </c>
      <c r="U1493" s="5">
        <v>83.05</v>
      </c>
      <c r="V1493" s="5">
        <v>84</v>
      </c>
      <c r="W1493" s="5">
        <v>473085</v>
      </c>
    </row>
    <row r="1494" spans="1:23" x14ac:dyDescent="0.3">
      <c r="A1494" s="6">
        <v>40485</v>
      </c>
      <c r="B1494" s="7">
        <v>0.66666666666666663</v>
      </c>
      <c r="C1494" s="5">
        <v>99.9</v>
      </c>
      <c r="D1494" s="5">
        <v>99.9</v>
      </c>
      <c r="E1494" s="5">
        <v>97.85</v>
      </c>
      <c r="F1494" s="5">
        <v>97.88</v>
      </c>
      <c r="G1494" s="5">
        <v>2214</v>
      </c>
      <c r="Q1494" s="6">
        <v>40443</v>
      </c>
      <c r="R1494" s="7">
        <v>0.66666666666666663</v>
      </c>
      <c r="S1494" s="5">
        <v>84</v>
      </c>
      <c r="T1494" s="5">
        <v>84.25</v>
      </c>
      <c r="U1494" s="5">
        <v>82.7</v>
      </c>
      <c r="V1494" s="5">
        <v>83.62</v>
      </c>
      <c r="W1494" s="5">
        <v>309585</v>
      </c>
    </row>
    <row r="1495" spans="1:23" x14ac:dyDescent="0.3">
      <c r="A1495" s="6">
        <v>40486</v>
      </c>
      <c r="B1495" s="7">
        <v>0.66666666666666663</v>
      </c>
      <c r="C1495" s="5">
        <v>97.5</v>
      </c>
      <c r="D1495" s="5">
        <v>98.62</v>
      </c>
      <c r="E1495" s="5">
        <v>97.5</v>
      </c>
      <c r="F1495" s="5">
        <v>98</v>
      </c>
      <c r="G1495" s="5">
        <v>6236</v>
      </c>
      <c r="Q1495" s="6">
        <v>40444</v>
      </c>
      <c r="R1495" s="7">
        <v>0.66666666666666663</v>
      </c>
      <c r="S1495" s="5">
        <v>83.62</v>
      </c>
      <c r="T1495" s="5">
        <v>84.5</v>
      </c>
      <c r="U1495" s="5">
        <v>81.5</v>
      </c>
      <c r="V1495" s="5">
        <v>81.93</v>
      </c>
      <c r="W1495" s="5">
        <v>285197</v>
      </c>
    </row>
    <row r="1496" spans="1:23" x14ac:dyDescent="0.3">
      <c r="A1496" s="6">
        <v>40487</v>
      </c>
      <c r="B1496" s="7">
        <v>0.66666666666666663</v>
      </c>
      <c r="C1496" s="5">
        <v>99</v>
      </c>
      <c r="D1496" s="5">
        <v>99.49</v>
      </c>
      <c r="E1496" s="5">
        <v>99</v>
      </c>
      <c r="F1496" s="5">
        <v>99.05</v>
      </c>
      <c r="G1496" s="5">
        <v>205</v>
      </c>
      <c r="Q1496" s="6">
        <v>40445</v>
      </c>
      <c r="R1496" s="7">
        <v>0.66666666666666663</v>
      </c>
      <c r="S1496" s="5">
        <v>81.93</v>
      </c>
      <c r="T1496" s="5">
        <v>82.49</v>
      </c>
      <c r="U1496" s="5">
        <v>81.12</v>
      </c>
      <c r="V1496" s="5">
        <v>81.819999999999993</v>
      </c>
      <c r="W1496" s="5">
        <v>177799</v>
      </c>
    </row>
    <row r="1497" spans="1:23" x14ac:dyDescent="0.3">
      <c r="A1497" s="6">
        <v>40490</v>
      </c>
      <c r="B1497" s="7">
        <v>0.66666666666666663</v>
      </c>
      <c r="C1497" s="5">
        <v>100</v>
      </c>
      <c r="D1497" s="5">
        <v>100</v>
      </c>
      <c r="E1497" s="5">
        <v>98</v>
      </c>
      <c r="F1497" s="5">
        <v>98.14</v>
      </c>
      <c r="G1497" s="5">
        <v>5873</v>
      </c>
      <c r="Q1497" s="6">
        <v>40448</v>
      </c>
      <c r="R1497" s="7">
        <v>0.66666666666666663</v>
      </c>
      <c r="S1497" s="5">
        <v>81.819999999999993</v>
      </c>
      <c r="T1497" s="5">
        <v>82.39</v>
      </c>
      <c r="U1497" s="5">
        <v>80.25</v>
      </c>
      <c r="V1497" s="5">
        <v>81.66</v>
      </c>
      <c r="W1497" s="5">
        <v>214569</v>
      </c>
    </row>
    <row r="1498" spans="1:23" x14ac:dyDescent="0.3">
      <c r="A1498" s="6">
        <v>40492</v>
      </c>
      <c r="B1498" s="7">
        <v>0.66666666666666663</v>
      </c>
      <c r="C1498" s="5">
        <v>99</v>
      </c>
      <c r="D1498" s="5">
        <v>99</v>
      </c>
      <c r="E1498" s="5">
        <v>98.02</v>
      </c>
      <c r="F1498" s="5">
        <v>98.3</v>
      </c>
      <c r="G1498" s="5">
        <v>4040</v>
      </c>
      <c r="Q1498" s="6">
        <v>40449</v>
      </c>
      <c r="R1498" s="7">
        <v>0.66666666666666663</v>
      </c>
      <c r="S1498" s="5">
        <v>81.8</v>
      </c>
      <c r="T1498" s="5">
        <v>83.25</v>
      </c>
      <c r="U1498" s="5">
        <v>81.8</v>
      </c>
      <c r="V1498" s="5">
        <v>81.95</v>
      </c>
      <c r="W1498" s="5">
        <v>485942</v>
      </c>
    </row>
    <row r="1499" spans="1:23" x14ac:dyDescent="0.3">
      <c r="A1499" s="6">
        <v>40493</v>
      </c>
      <c r="B1499" s="7">
        <v>0.66666666666666663</v>
      </c>
      <c r="C1499" s="5">
        <v>99</v>
      </c>
      <c r="D1499" s="5">
        <v>99</v>
      </c>
      <c r="E1499" s="5">
        <v>98</v>
      </c>
      <c r="F1499" s="5">
        <v>98.9</v>
      </c>
      <c r="G1499" s="5">
        <v>2480</v>
      </c>
      <c r="Q1499" s="6">
        <v>40450</v>
      </c>
      <c r="R1499" s="7">
        <v>0.66666666666666663</v>
      </c>
      <c r="S1499" s="5">
        <v>81.95</v>
      </c>
      <c r="T1499" s="5">
        <v>83.19</v>
      </c>
      <c r="U1499" s="5">
        <v>81.599999999999994</v>
      </c>
      <c r="V1499" s="5">
        <v>82</v>
      </c>
      <c r="W1499" s="5">
        <v>615803</v>
      </c>
    </row>
    <row r="1500" spans="1:23" x14ac:dyDescent="0.3">
      <c r="A1500" s="6">
        <v>40494</v>
      </c>
      <c r="B1500" s="7">
        <v>0.66666666666666663</v>
      </c>
      <c r="C1500" s="5">
        <v>98.21</v>
      </c>
      <c r="D1500" s="5">
        <v>98.9</v>
      </c>
      <c r="E1500" s="5">
        <v>98</v>
      </c>
      <c r="F1500" s="5">
        <v>98.05</v>
      </c>
      <c r="G1500" s="5">
        <v>2811</v>
      </c>
      <c r="Q1500" s="6">
        <v>40451</v>
      </c>
      <c r="R1500" s="7">
        <v>0.66666666666666663</v>
      </c>
      <c r="S1500" s="5">
        <v>81.75</v>
      </c>
      <c r="T1500" s="5">
        <v>81.75</v>
      </c>
      <c r="U1500" s="5">
        <v>78.510000000000005</v>
      </c>
      <c r="V1500" s="5">
        <v>79.48</v>
      </c>
      <c r="W1500" s="5">
        <v>1083011</v>
      </c>
    </row>
    <row r="1501" spans="1:23" x14ac:dyDescent="0.3">
      <c r="A1501" s="6">
        <v>40497</v>
      </c>
      <c r="B1501" s="7">
        <v>0.66666666666666663</v>
      </c>
      <c r="C1501" s="5">
        <v>98.1</v>
      </c>
      <c r="D1501" s="5">
        <v>98.9</v>
      </c>
      <c r="E1501" s="5">
        <v>98</v>
      </c>
      <c r="F1501" s="5">
        <v>98.9</v>
      </c>
      <c r="G1501" s="5">
        <v>1100</v>
      </c>
      <c r="Q1501" s="6">
        <v>40452</v>
      </c>
      <c r="R1501" s="7">
        <v>0.66666666666666663</v>
      </c>
      <c r="S1501" s="5">
        <v>79.5</v>
      </c>
      <c r="T1501" s="5">
        <v>81.349999999999994</v>
      </c>
      <c r="U1501" s="5">
        <v>79.5</v>
      </c>
      <c r="V1501" s="5">
        <v>80.2</v>
      </c>
      <c r="W1501" s="5">
        <v>499206</v>
      </c>
    </row>
    <row r="1502" spans="1:23" x14ac:dyDescent="0.3">
      <c r="A1502" s="6">
        <v>40498</v>
      </c>
      <c r="B1502" s="7">
        <v>0.66666666666666663</v>
      </c>
      <c r="C1502" s="5">
        <v>98</v>
      </c>
      <c r="D1502" s="5">
        <v>99</v>
      </c>
      <c r="E1502" s="5">
        <v>98</v>
      </c>
      <c r="F1502" s="5">
        <v>98.2</v>
      </c>
      <c r="G1502" s="5">
        <v>2300</v>
      </c>
      <c r="Q1502" s="6">
        <v>40455</v>
      </c>
      <c r="R1502" s="7">
        <v>0.66666666666666663</v>
      </c>
      <c r="S1502" s="5">
        <v>80.2</v>
      </c>
      <c r="T1502" s="5">
        <v>81.33</v>
      </c>
      <c r="U1502" s="5">
        <v>80.11</v>
      </c>
      <c r="V1502" s="5">
        <v>80.900000000000006</v>
      </c>
      <c r="W1502" s="5">
        <v>332938</v>
      </c>
    </row>
    <row r="1503" spans="1:23" x14ac:dyDescent="0.3">
      <c r="A1503" s="6">
        <v>40504</v>
      </c>
      <c r="B1503" s="7">
        <v>0.66666666666666663</v>
      </c>
      <c r="C1503" s="5">
        <v>100.5</v>
      </c>
      <c r="D1503" s="5">
        <v>100.5</v>
      </c>
      <c r="E1503" s="5">
        <v>98.6</v>
      </c>
      <c r="F1503" s="5">
        <v>99.02</v>
      </c>
      <c r="G1503" s="5">
        <v>4760</v>
      </c>
      <c r="Q1503" s="6">
        <v>40456</v>
      </c>
      <c r="R1503" s="7">
        <v>0.66666666666666663</v>
      </c>
      <c r="S1503" s="5">
        <v>80.900000000000006</v>
      </c>
      <c r="T1503" s="5">
        <v>81</v>
      </c>
      <c r="U1503" s="5">
        <v>79.709999999999994</v>
      </c>
      <c r="V1503" s="5">
        <v>79.92</v>
      </c>
      <c r="W1503" s="5">
        <v>314364</v>
      </c>
    </row>
    <row r="1504" spans="1:23" x14ac:dyDescent="0.3">
      <c r="A1504" s="6">
        <v>40505</v>
      </c>
      <c r="B1504" s="7">
        <v>0.66666666666666663</v>
      </c>
      <c r="C1504" s="5">
        <v>100</v>
      </c>
      <c r="D1504" s="5">
        <v>101</v>
      </c>
      <c r="E1504" s="5">
        <v>99.5</v>
      </c>
      <c r="F1504" s="5">
        <v>99.84</v>
      </c>
      <c r="G1504" s="5">
        <v>2623</v>
      </c>
      <c r="Q1504" s="6">
        <v>40457</v>
      </c>
      <c r="R1504" s="7">
        <v>0.66666666666666663</v>
      </c>
      <c r="S1504" s="5">
        <v>79.92</v>
      </c>
      <c r="T1504" s="5">
        <v>81.3</v>
      </c>
      <c r="U1504" s="5">
        <v>79.23</v>
      </c>
      <c r="V1504" s="5">
        <v>80.849999999999994</v>
      </c>
      <c r="W1504" s="5">
        <v>443380</v>
      </c>
    </row>
    <row r="1505" spans="1:23" x14ac:dyDescent="0.3">
      <c r="A1505" s="6">
        <v>40506</v>
      </c>
      <c r="B1505" s="7">
        <v>0.66666666666666663</v>
      </c>
      <c r="C1505" s="5">
        <v>100.7</v>
      </c>
      <c r="D1505" s="5">
        <v>101.99</v>
      </c>
      <c r="E1505" s="5">
        <v>100.5</v>
      </c>
      <c r="F1505" s="5">
        <v>100.97</v>
      </c>
      <c r="G1505" s="5">
        <v>9554</v>
      </c>
      <c r="Q1505" s="6">
        <v>40458</v>
      </c>
      <c r="R1505" s="7">
        <v>0.66666666666666663</v>
      </c>
      <c r="S1505" s="5">
        <v>80.849999999999994</v>
      </c>
      <c r="T1505" s="5">
        <v>82.69</v>
      </c>
      <c r="U1505" s="5">
        <v>80.5</v>
      </c>
      <c r="V1505" s="5">
        <v>82.1</v>
      </c>
      <c r="W1505" s="5">
        <v>516538</v>
      </c>
    </row>
    <row r="1506" spans="1:23" x14ac:dyDescent="0.3">
      <c r="A1506" s="6">
        <v>40507</v>
      </c>
      <c r="B1506" s="7">
        <v>0.66666666666666663</v>
      </c>
      <c r="C1506" s="5">
        <v>101.01</v>
      </c>
      <c r="D1506" s="5">
        <v>101.99</v>
      </c>
      <c r="E1506" s="5">
        <v>99.76</v>
      </c>
      <c r="F1506" s="5">
        <v>100.5</v>
      </c>
      <c r="G1506" s="5">
        <v>2760</v>
      </c>
      <c r="Q1506" s="6">
        <v>40459</v>
      </c>
      <c r="R1506" s="7">
        <v>0.66666666666666663</v>
      </c>
      <c r="S1506" s="5">
        <v>82.1</v>
      </c>
      <c r="T1506" s="5">
        <v>86.13</v>
      </c>
      <c r="U1506" s="5">
        <v>82.1</v>
      </c>
      <c r="V1506" s="5">
        <v>86.13</v>
      </c>
      <c r="W1506" s="5">
        <v>1098610</v>
      </c>
    </row>
    <row r="1507" spans="1:23" x14ac:dyDescent="0.3">
      <c r="A1507" s="6">
        <v>40508</v>
      </c>
      <c r="B1507" s="7">
        <v>0.66666666666666663</v>
      </c>
      <c r="C1507" s="5">
        <v>100</v>
      </c>
      <c r="D1507" s="5">
        <v>100</v>
      </c>
      <c r="E1507" s="5">
        <v>98.8</v>
      </c>
      <c r="F1507" s="5">
        <v>98.87</v>
      </c>
      <c r="G1507" s="5">
        <v>13811</v>
      </c>
      <c r="Q1507" s="6">
        <v>40462</v>
      </c>
      <c r="R1507" s="7">
        <v>0.66666666666666663</v>
      </c>
      <c r="S1507" s="5">
        <v>87.31</v>
      </c>
      <c r="T1507" s="5">
        <v>90</v>
      </c>
      <c r="U1507" s="5">
        <v>87.31</v>
      </c>
      <c r="V1507" s="5">
        <v>89.2</v>
      </c>
      <c r="W1507" s="5">
        <v>1954571</v>
      </c>
    </row>
    <row r="1508" spans="1:23" x14ac:dyDescent="0.3">
      <c r="A1508" s="6">
        <v>40511</v>
      </c>
      <c r="B1508" s="7">
        <v>0.66666666666666663</v>
      </c>
      <c r="C1508" s="5">
        <v>99</v>
      </c>
      <c r="D1508" s="5">
        <v>99.5</v>
      </c>
      <c r="E1508" s="5">
        <v>98.9</v>
      </c>
      <c r="F1508" s="5">
        <v>99.5</v>
      </c>
      <c r="G1508" s="5">
        <v>2200</v>
      </c>
      <c r="Q1508" s="6">
        <v>40463</v>
      </c>
      <c r="R1508" s="7">
        <v>0.66666666666666663</v>
      </c>
      <c r="S1508" s="5">
        <v>89.2</v>
      </c>
      <c r="T1508" s="5">
        <v>89.7</v>
      </c>
      <c r="U1508" s="5">
        <v>86.6</v>
      </c>
      <c r="V1508" s="5">
        <v>86.85</v>
      </c>
      <c r="W1508" s="5">
        <v>849058</v>
      </c>
    </row>
    <row r="1509" spans="1:23" x14ac:dyDescent="0.3">
      <c r="A1509" s="6">
        <v>40512</v>
      </c>
      <c r="B1509" s="7">
        <v>0.66666666666666663</v>
      </c>
      <c r="C1509" s="5">
        <v>99.05</v>
      </c>
      <c r="D1509" s="5">
        <v>100.99</v>
      </c>
      <c r="E1509" s="5">
        <v>99.05</v>
      </c>
      <c r="F1509" s="5">
        <v>100.06</v>
      </c>
      <c r="G1509" s="5">
        <v>3193</v>
      </c>
      <c r="Q1509" s="6">
        <v>40464</v>
      </c>
      <c r="R1509" s="7">
        <v>0.66666666666666663</v>
      </c>
      <c r="S1509" s="5">
        <v>86.85</v>
      </c>
      <c r="T1509" s="5">
        <v>88.99</v>
      </c>
      <c r="U1509" s="5">
        <v>86.4</v>
      </c>
      <c r="V1509" s="5">
        <v>87.85</v>
      </c>
      <c r="W1509" s="5">
        <v>1064015</v>
      </c>
    </row>
    <row r="1510" spans="1:23" x14ac:dyDescent="0.3">
      <c r="A1510" s="6">
        <v>40513</v>
      </c>
      <c r="B1510" s="7">
        <v>0.66666666666666663</v>
      </c>
      <c r="C1510" s="5">
        <v>100.5</v>
      </c>
      <c r="D1510" s="5">
        <v>100.5</v>
      </c>
      <c r="E1510" s="5">
        <v>99</v>
      </c>
      <c r="F1510" s="5">
        <v>100</v>
      </c>
      <c r="G1510" s="5">
        <v>2133</v>
      </c>
      <c r="Q1510" s="6">
        <v>40465</v>
      </c>
      <c r="R1510" s="7">
        <v>0.66666666666666663</v>
      </c>
      <c r="S1510" s="5">
        <v>88.32</v>
      </c>
      <c r="T1510" s="5">
        <v>91.94</v>
      </c>
      <c r="U1510" s="5">
        <v>88.32</v>
      </c>
      <c r="V1510" s="5">
        <v>91.02</v>
      </c>
      <c r="W1510" s="5">
        <v>3350068</v>
      </c>
    </row>
    <row r="1511" spans="1:23" x14ac:dyDescent="0.3">
      <c r="A1511" s="6">
        <v>40514</v>
      </c>
      <c r="B1511" s="7">
        <v>0.66666666666666663</v>
      </c>
      <c r="C1511" s="5">
        <v>100</v>
      </c>
      <c r="D1511" s="5">
        <v>101</v>
      </c>
      <c r="E1511" s="5">
        <v>99.1</v>
      </c>
      <c r="F1511" s="5">
        <v>100.96</v>
      </c>
      <c r="G1511" s="5">
        <v>5568</v>
      </c>
      <c r="Q1511" s="6">
        <v>40466</v>
      </c>
      <c r="R1511" s="7">
        <v>0.66666666666666663</v>
      </c>
      <c r="S1511" s="5">
        <v>91.02</v>
      </c>
      <c r="T1511" s="5">
        <v>92.5</v>
      </c>
      <c r="U1511" s="5">
        <v>89.5</v>
      </c>
      <c r="V1511" s="5">
        <v>90.5</v>
      </c>
      <c r="W1511" s="5">
        <v>1640452</v>
      </c>
    </row>
    <row r="1512" spans="1:23" x14ac:dyDescent="0.3">
      <c r="A1512" s="6">
        <v>40515</v>
      </c>
      <c r="B1512" s="7">
        <v>0.66666666666666663</v>
      </c>
      <c r="C1512" s="5">
        <v>101</v>
      </c>
      <c r="D1512" s="5">
        <v>101.5</v>
      </c>
      <c r="E1512" s="5">
        <v>99.99</v>
      </c>
      <c r="F1512" s="5">
        <v>100.04</v>
      </c>
      <c r="G1512" s="5">
        <v>23644</v>
      </c>
      <c r="Q1512" s="6">
        <v>40469</v>
      </c>
      <c r="R1512" s="7">
        <v>0.66666666666666663</v>
      </c>
      <c r="S1512" s="5">
        <v>90.5</v>
      </c>
      <c r="T1512" s="5">
        <v>92.4</v>
      </c>
      <c r="U1512" s="5">
        <v>90.5</v>
      </c>
      <c r="V1512" s="5">
        <v>91.3</v>
      </c>
      <c r="W1512" s="5">
        <v>1596822</v>
      </c>
    </row>
    <row r="1513" spans="1:23" x14ac:dyDescent="0.3">
      <c r="A1513" s="6">
        <v>40518</v>
      </c>
      <c r="B1513" s="7">
        <v>0.66666666666666663</v>
      </c>
      <c r="C1513" s="5">
        <v>101.99</v>
      </c>
      <c r="D1513" s="5">
        <v>101.99</v>
      </c>
      <c r="E1513" s="5">
        <v>99.7</v>
      </c>
      <c r="F1513" s="5">
        <v>100.11</v>
      </c>
      <c r="G1513" s="5">
        <v>6937</v>
      </c>
      <c r="Q1513" s="6">
        <v>40470</v>
      </c>
      <c r="R1513" s="7">
        <v>0.66666666666666663</v>
      </c>
      <c r="S1513" s="5">
        <v>91.49</v>
      </c>
      <c r="T1513" s="5">
        <v>95.7</v>
      </c>
      <c r="U1513" s="5">
        <v>91.49</v>
      </c>
      <c r="V1513" s="5">
        <v>94.37</v>
      </c>
      <c r="W1513" s="5">
        <v>3724198</v>
      </c>
    </row>
    <row r="1514" spans="1:23" x14ac:dyDescent="0.3">
      <c r="A1514" s="6">
        <v>40519</v>
      </c>
      <c r="B1514" s="7">
        <v>0.66666666666666663</v>
      </c>
      <c r="C1514" s="5">
        <v>99.05</v>
      </c>
      <c r="D1514" s="5">
        <v>99.31</v>
      </c>
      <c r="E1514" s="5">
        <v>99.05</v>
      </c>
      <c r="F1514" s="5">
        <v>99.29</v>
      </c>
      <c r="G1514" s="5">
        <v>266</v>
      </c>
      <c r="Q1514" s="6">
        <v>40471</v>
      </c>
      <c r="R1514" s="7">
        <v>0.66666666666666663</v>
      </c>
      <c r="S1514" s="5">
        <v>94.37</v>
      </c>
      <c r="T1514" s="5">
        <v>96.04</v>
      </c>
      <c r="U1514" s="5">
        <v>93.2</v>
      </c>
      <c r="V1514" s="5">
        <v>93.7</v>
      </c>
      <c r="W1514" s="5">
        <v>1282953</v>
      </c>
    </row>
    <row r="1515" spans="1:23" x14ac:dyDescent="0.3">
      <c r="A1515" s="6">
        <v>40520</v>
      </c>
      <c r="B1515" s="7">
        <v>0.66666666666666663</v>
      </c>
      <c r="C1515" s="5">
        <v>99.75</v>
      </c>
      <c r="D1515" s="5">
        <v>100</v>
      </c>
      <c r="E1515" s="5">
        <v>99.65</v>
      </c>
      <c r="F1515" s="5">
        <v>99.87</v>
      </c>
      <c r="G1515" s="5">
        <v>3442</v>
      </c>
      <c r="Q1515" s="6">
        <v>40472</v>
      </c>
      <c r="R1515" s="7">
        <v>0.66666666666666663</v>
      </c>
      <c r="S1515" s="5">
        <v>93.7</v>
      </c>
      <c r="T1515" s="5">
        <v>97.9</v>
      </c>
      <c r="U1515" s="5">
        <v>93.6</v>
      </c>
      <c r="V1515" s="5">
        <v>97.1</v>
      </c>
      <c r="W1515" s="5">
        <v>2915987</v>
      </c>
    </row>
    <row r="1516" spans="1:23" x14ac:dyDescent="0.3">
      <c r="A1516" s="6">
        <v>40521</v>
      </c>
      <c r="B1516" s="7">
        <v>0.66666666666666663</v>
      </c>
      <c r="C1516" s="5">
        <v>100</v>
      </c>
      <c r="D1516" s="5">
        <v>100.98</v>
      </c>
      <c r="E1516" s="5">
        <v>99.5</v>
      </c>
      <c r="F1516" s="5">
        <v>100</v>
      </c>
      <c r="G1516" s="5">
        <v>5205</v>
      </c>
      <c r="Q1516" s="6">
        <v>40473</v>
      </c>
      <c r="R1516" s="7">
        <v>0.66666666666666663</v>
      </c>
      <c r="S1516" s="5">
        <v>97.7</v>
      </c>
      <c r="T1516" s="5">
        <v>100.49</v>
      </c>
      <c r="U1516" s="5">
        <v>97.7</v>
      </c>
      <c r="V1516" s="5">
        <v>99.49</v>
      </c>
      <c r="W1516" s="5">
        <v>2176074</v>
      </c>
    </row>
    <row r="1517" spans="1:23" x14ac:dyDescent="0.3">
      <c r="A1517" s="6">
        <v>40522</v>
      </c>
      <c r="B1517" s="7">
        <v>0.66666666666666663</v>
      </c>
      <c r="C1517" s="5">
        <v>100</v>
      </c>
      <c r="D1517" s="5">
        <v>100</v>
      </c>
      <c r="E1517" s="5">
        <v>100</v>
      </c>
      <c r="F1517" s="5">
        <v>100</v>
      </c>
      <c r="G1517" s="5">
        <v>25</v>
      </c>
      <c r="Q1517" s="6">
        <v>40476</v>
      </c>
      <c r="R1517" s="7">
        <v>0.66666666666666663</v>
      </c>
      <c r="S1517" s="5">
        <v>100.3</v>
      </c>
      <c r="T1517" s="5">
        <v>102.48</v>
      </c>
      <c r="U1517" s="5">
        <v>100.3</v>
      </c>
      <c r="V1517" s="5">
        <v>102.37</v>
      </c>
      <c r="W1517" s="5">
        <v>2079146</v>
      </c>
    </row>
    <row r="1518" spans="1:23" x14ac:dyDescent="0.3">
      <c r="A1518" s="6">
        <v>40525</v>
      </c>
      <c r="B1518" s="7">
        <v>0.66666666666666663</v>
      </c>
      <c r="C1518" s="5">
        <v>101.45</v>
      </c>
      <c r="D1518" s="5">
        <v>101.45</v>
      </c>
      <c r="E1518" s="5">
        <v>99.13</v>
      </c>
      <c r="F1518" s="5">
        <v>99.9</v>
      </c>
      <c r="G1518" s="5">
        <v>3180</v>
      </c>
      <c r="Q1518" s="6">
        <v>40477</v>
      </c>
      <c r="R1518" s="7">
        <v>0.66666666666666663</v>
      </c>
      <c r="S1518" s="5">
        <v>102.37</v>
      </c>
      <c r="T1518" s="5">
        <v>102.8</v>
      </c>
      <c r="U1518" s="5">
        <v>97.5</v>
      </c>
      <c r="V1518" s="5">
        <v>98.2</v>
      </c>
      <c r="W1518" s="5">
        <v>2140904</v>
      </c>
    </row>
    <row r="1519" spans="1:23" x14ac:dyDescent="0.3">
      <c r="A1519" s="6">
        <v>40526</v>
      </c>
      <c r="B1519" s="7">
        <v>0.66666666666666663</v>
      </c>
      <c r="C1519" s="5">
        <v>100</v>
      </c>
      <c r="D1519" s="5">
        <v>103</v>
      </c>
      <c r="E1519" s="5">
        <v>100</v>
      </c>
      <c r="F1519" s="5">
        <v>101.86</v>
      </c>
      <c r="G1519" s="5">
        <v>23827</v>
      </c>
      <c r="Q1519" s="6">
        <v>40478</v>
      </c>
      <c r="R1519" s="7">
        <v>0.66666666666666663</v>
      </c>
      <c r="S1519" s="5">
        <v>98.2</v>
      </c>
      <c r="T1519" s="5">
        <v>98.98</v>
      </c>
      <c r="U1519" s="5">
        <v>97.82</v>
      </c>
      <c r="V1519" s="5">
        <v>98.3</v>
      </c>
      <c r="W1519" s="5">
        <v>591260</v>
      </c>
    </row>
    <row r="1520" spans="1:23" x14ac:dyDescent="0.3">
      <c r="A1520" s="6">
        <v>40527</v>
      </c>
      <c r="B1520" s="7">
        <v>0.66666666666666663</v>
      </c>
      <c r="C1520" s="5">
        <v>101.99</v>
      </c>
      <c r="D1520" s="5">
        <v>102.5</v>
      </c>
      <c r="E1520" s="5">
        <v>101</v>
      </c>
      <c r="F1520" s="5">
        <v>102.26</v>
      </c>
      <c r="G1520" s="5">
        <v>10118</v>
      </c>
      <c r="Q1520" s="6">
        <v>40479</v>
      </c>
      <c r="R1520" s="7">
        <v>0.66666666666666663</v>
      </c>
      <c r="S1520" s="5">
        <v>98.75</v>
      </c>
      <c r="T1520" s="5">
        <v>102.39</v>
      </c>
      <c r="U1520" s="5">
        <v>98.75</v>
      </c>
      <c r="V1520" s="5">
        <v>101.85</v>
      </c>
      <c r="W1520" s="5">
        <v>2790961</v>
      </c>
    </row>
    <row r="1521" spans="1:23" x14ac:dyDescent="0.3">
      <c r="A1521" s="6">
        <v>40532</v>
      </c>
      <c r="B1521" s="7">
        <v>0.66666666666666663</v>
      </c>
      <c r="C1521" s="5">
        <v>103.39</v>
      </c>
      <c r="D1521" s="5">
        <v>103.39</v>
      </c>
      <c r="E1521" s="5">
        <v>102</v>
      </c>
      <c r="F1521" s="5">
        <v>102.5</v>
      </c>
      <c r="G1521" s="5">
        <v>5480</v>
      </c>
      <c r="Q1521" s="6">
        <v>40480</v>
      </c>
      <c r="R1521" s="7">
        <v>0.66666666666666663</v>
      </c>
      <c r="S1521" s="5">
        <v>101.85</v>
      </c>
      <c r="T1521" s="5">
        <v>103.39</v>
      </c>
      <c r="U1521" s="5">
        <v>99.6</v>
      </c>
      <c r="V1521" s="5">
        <v>100.36</v>
      </c>
      <c r="W1521" s="5">
        <v>2553071</v>
      </c>
    </row>
    <row r="1522" spans="1:23" x14ac:dyDescent="0.3">
      <c r="A1522" s="6">
        <v>40533</v>
      </c>
      <c r="B1522" s="7">
        <v>0.66666666666666663</v>
      </c>
      <c r="C1522" s="5">
        <v>103</v>
      </c>
      <c r="D1522" s="5">
        <v>107.5</v>
      </c>
      <c r="E1522" s="5">
        <v>102.99</v>
      </c>
      <c r="F1522" s="5">
        <v>107.07</v>
      </c>
      <c r="G1522" s="5">
        <v>56637</v>
      </c>
      <c r="Q1522" s="6">
        <v>40483</v>
      </c>
      <c r="R1522" s="7">
        <v>0.66666666666666663</v>
      </c>
      <c r="S1522" s="5">
        <v>100.36</v>
      </c>
      <c r="T1522" s="5">
        <v>102.1</v>
      </c>
      <c r="U1522" s="5">
        <v>100.35</v>
      </c>
      <c r="V1522" s="5">
        <v>100.8</v>
      </c>
      <c r="W1522" s="5">
        <v>779941</v>
      </c>
    </row>
    <row r="1523" spans="1:23" x14ac:dyDescent="0.3">
      <c r="A1523" s="6">
        <v>40534</v>
      </c>
      <c r="B1523" s="7">
        <v>0.66666666666666663</v>
      </c>
      <c r="C1523" s="5">
        <v>108</v>
      </c>
      <c r="D1523" s="5">
        <v>110.98</v>
      </c>
      <c r="E1523" s="5">
        <v>107.49</v>
      </c>
      <c r="F1523" s="5">
        <v>110.13</v>
      </c>
      <c r="G1523" s="5">
        <v>79003</v>
      </c>
      <c r="Q1523" s="6">
        <v>40484</v>
      </c>
      <c r="R1523" s="7">
        <v>0.66666666666666663</v>
      </c>
      <c r="S1523" s="5">
        <v>103.66</v>
      </c>
      <c r="T1523" s="5">
        <v>105.84</v>
      </c>
      <c r="U1523" s="5">
        <v>103.66</v>
      </c>
      <c r="V1523" s="5">
        <v>105.84</v>
      </c>
      <c r="W1523" s="5">
        <v>2823765</v>
      </c>
    </row>
    <row r="1524" spans="1:23" x14ac:dyDescent="0.3">
      <c r="A1524" s="6">
        <v>40535</v>
      </c>
      <c r="B1524" s="7">
        <v>0.66666666666666663</v>
      </c>
      <c r="C1524" s="5">
        <v>110.99</v>
      </c>
      <c r="D1524" s="5">
        <v>110.99</v>
      </c>
      <c r="E1524" s="5">
        <v>107.51</v>
      </c>
      <c r="F1524" s="5">
        <v>107.73</v>
      </c>
      <c r="G1524" s="5">
        <v>15709</v>
      </c>
      <c r="Q1524" s="6">
        <v>40485</v>
      </c>
      <c r="R1524" s="7">
        <v>0.66666666666666663</v>
      </c>
      <c r="S1524" s="5">
        <v>105.84</v>
      </c>
      <c r="T1524" s="5">
        <v>109.9</v>
      </c>
      <c r="U1524" s="5">
        <v>105.75</v>
      </c>
      <c r="V1524" s="5">
        <v>109.27</v>
      </c>
      <c r="W1524" s="5">
        <v>4721867</v>
      </c>
    </row>
    <row r="1525" spans="1:23" x14ac:dyDescent="0.3">
      <c r="A1525" s="6">
        <v>40536</v>
      </c>
      <c r="B1525" s="7">
        <v>0.66666666666666663</v>
      </c>
      <c r="C1525" s="5">
        <v>108</v>
      </c>
      <c r="D1525" s="5">
        <v>108.9</v>
      </c>
      <c r="E1525" s="5">
        <v>107.5</v>
      </c>
      <c r="F1525" s="5">
        <v>107.9</v>
      </c>
      <c r="G1525" s="5">
        <v>3935</v>
      </c>
      <c r="Q1525" s="6">
        <v>40486</v>
      </c>
      <c r="R1525" s="7">
        <v>0.66666666666666663</v>
      </c>
      <c r="S1525" s="5">
        <v>109.27</v>
      </c>
      <c r="T1525" s="5">
        <v>114.73</v>
      </c>
      <c r="U1525" s="5">
        <v>108.8</v>
      </c>
      <c r="V1525" s="5">
        <v>114.5</v>
      </c>
      <c r="W1525" s="5">
        <v>3347572</v>
      </c>
    </row>
    <row r="1526" spans="1:23" x14ac:dyDescent="0.3">
      <c r="A1526" s="6">
        <v>40539</v>
      </c>
      <c r="B1526" s="7">
        <v>0.66666666666666663</v>
      </c>
      <c r="C1526" s="5">
        <v>107.9</v>
      </c>
      <c r="D1526" s="5">
        <v>110.22</v>
      </c>
      <c r="E1526" s="5">
        <v>107.3</v>
      </c>
      <c r="F1526" s="5">
        <v>110</v>
      </c>
      <c r="G1526" s="5">
        <v>24988</v>
      </c>
      <c r="Q1526" s="6">
        <v>40487</v>
      </c>
      <c r="R1526" s="7">
        <v>0.66666666666666663</v>
      </c>
      <c r="S1526" s="5">
        <v>115.9</v>
      </c>
      <c r="T1526" s="5">
        <v>120.22</v>
      </c>
      <c r="U1526" s="5">
        <v>115.9</v>
      </c>
      <c r="V1526" s="5">
        <v>120.22</v>
      </c>
      <c r="W1526" s="5">
        <v>3164481</v>
      </c>
    </row>
    <row r="1527" spans="1:23" x14ac:dyDescent="0.3">
      <c r="A1527" s="6">
        <v>40540</v>
      </c>
      <c r="B1527" s="7">
        <v>0.66666666666666663</v>
      </c>
      <c r="C1527" s="5">
        <v>109.99</v>
      </c>
      <c r="D1527" s="5">
        <v>110.25</v>
      </c>
      <c r="E1527" s="5">
        <v>109.02</v>
      </c>
      <c r="F1527" s="5">
        <v>109.35</v>
      </c>
      <c r="G1527" s="5">
        <v>25334</v>
      </c>
      <c r="Q1527" s="6">
        <v>40490</v>
      </c>
      <c r="R1527" s="7">
        <v>0.66666666666666663</v>
      </c>
      <c r="S1527" s="5">
        <v>121.2</v>
      </c>
      <c r="T1527" s="5">
        <v>126.23</v>
      </c>
      <c r="U1527" s="5">
        <v>121.2</v>
      </c>
      <c r="V1527" s="5">
        <v>125.58</v>
      </c>
      <c r="W1527" s="5">
        <v>3039147</v>
      </c>
    </row>
    <row r="1528" spans="1:23" x14ac:dyDescent="0.3">
      <c r="A1528" s="6">
        <v>40541</v>
      </c>
      <c r="B1528" s="7">
        <v>0.66666666666666663</v>
      </c>
      <c r="C1528" s="5">
        <v>110</v>
      </c>
      <c r="D1528" s="5">
        <v>110</v>
      </c>
      <c r="E1528" s="5">
        <v>108.25</v>
      </c>
      <c r="F1528" s="5">
        <v>108.98</v>
      </c>
      <c r="G1528" s="5">
        <v>2336</v>
      </c>
      <c r="Q1528" s="6">
        <v>40492</v>
      </c>
      <c r="R1528" s="7">
        <v>0.66666666666666663</v>
      </c>
      <c r="S1528" s="5">
        <v>125.58</v>
      </c>
      <c r="T1528" s="5">
        <v>129.69999999999999</v>
      </c>
      <c r="U1528" s="5">
        <v>120.1</v>
      </c>
      <c r="V1528" s="5">
        <v>125.39</v>
      </c>
      <c r="W1528" s="5">
        <v>3391648</v>
      </c>
    </row>
    <row r="1529" spans="1:23" x14ac:dyDescent="0.3">
      <c r="A1529" s="6">
        <v>40542</v>
      </c>
      <c r="B1529" s="7">
        <v>0.66666666666666663</v>
      </c>
      <c r="C1529" s="5">
        <v>109</v>
      </c>
      <c r="D1529" s="5">
        <v>110</v>
      </c>
      <c r="E1529" s="5">
        <v>108.5</v>
      </c>
      <c r="F1529" s="5">
        <v>109.84</v>
      </c>
      <c r="G1529" s="5">
        <v>13369</v>
      </c>
      <c r="Q1529" s="6">
        <v>40493</v>
      </c>
      <c r="R1529" s="7">
        <v>0.66666666666666663</v>
      </c>
      <c r="S1529" s="5">
        <v>125.39</v>
      </c>
      <c r="T1529" s="5">
        <v>128.5</v>
      </c>
      <c r="U1529" s="5">
        <v>122.95</v>
      </c>
      <c r="V1529" s="5">
        <v>123.96</v>
      </c>
      <c r="W1529" s="5">
        <v>1850485</v>
      </c>
    </row>
    <row r="1530" spans="1:23" x14ac:dyDescent="0.3">
      <c r="A1530" s="6">
        <v>40543</v>
      </c>
      <c r="B1530" s="7">
        <v>0.66666666666666663</v>
      </c>
      <c r="C1530" s="5">
        <v>109.84</v>
      </c>
      <c r="D1530" s="5">
        <v>112.5</v>
      </c>
      <c r="E1530" s="5">
        <v>109.3</v>
      </c>
      <c r="F1530" s="5">
        <v>109.74</v>
      </c>
      <c r="G1530" s="5">
        <v>33610</v>
      </c>
      <c r="Q1530" s="6">
        <v>40494</v>
      </c>
      <c r="R1530" s="7">
        <v>0.66666666666666663</v>
      </c>
      <c r="S1530" s="5">
        <v>123.96</v>
      </c>
      <c r="T1530" s="5">
        <v>125.5</v>
      </c>
      <c r="U1530" s="5">
        <v>120.9</v>
      </c>
      <c r="V1530" s="5">
        <v>122.94</v>
      </c>
      <c r="W1530" s="5">
        <v>3659488</v>
      </c>
    </row>
    <row r="1531" spans="1:23" x14ac:dyDescent="0.3">
      <c r="A1531" s="6">
        <v>40546</v>
      </c>
      <c r="B1531" s="7">
        <v>0.66666666666666663</v>
      </c>
      <c r="C1531" s="5">
        <v>109</v>
      </c>
      <c r="D1531" s="5">
        <v>109.45</v>
      </c>
      <c r="E1531" s="5">
        <v>106.8</v>
      </c>
      <c r="F1531" s="5">
        <v>107.04</v>
      </c>
      <c r="G1531" s="5">
        <v>18808</v>
      </c>
      <c r="Q1531" s="6">
        <v>40497</v>
      </c>
      <c r="R1531" s="7">
        <v>0.66666666666666663</v>
      </c>
      <c r="S1531" s="5">
        <v>122.94</v>
      </c>
      <c r="T1531" s="5">
        <v>124</v>
      </c>
      <c r="U1531" s="5">
        <v>121</v>
      </c>
      <c r="V1531" s="5">
        <v>121.52</v>
      </c>
      <c r="W1531" s="5">
        <v>1394813</v>
      </c>
    </row>
    <row r="1532" spans="1:23" x14ac:dyDescent="0.3">
      <c r="A1532" s="6">
        <v>40547</v>
      </c>
      <c r="B1532" s="7">
        <v>0.66666666666666663</v>
      </c>
      <c r="C1532" s="5">
        <v>108</v>
      </c>
      <c r="D1532" s="5">
        <v>109.85</v>
      </c>
      <c r="E1532" s="5">
        <v>108</v>
      </c>
      <c r="F1532" s="5">
        <v>109</v>
      </c>
      <c r="G1532" s="5">
        <v>9298</v>
      </c>
      <c r="Q1532" s="6">
        <v>40498</v>
      </c>
      <c r="R1532" s="7">
        <v>0.66666666666666663</v>
      </c>
      <c r="S1532" s="5">
        <v>121.75</v>
      </c>
      <c r="T1532" s="5">
        <v>127.59</v>
      </c>
      <c r="U1532" s="5">
        <v>121.75</v>
      </c>
      <c r="V1532" s="5">
        <v>127.23</v>
      </c>
      <c r="W1532" s="5">
        <v>3883241</v>
      </c>
    </row>
    <row r="1533" spans="1:23" x14ac:dyDescent="0.3">
      <c r="A1533" s="6">
        <v>40548</v>
      </c>
      <c r="B1533" s="7">
        <v>0.66666666666666663</v>
      </c>
      <c r="C1533" s="5">
        <v>109.4</v>
      </c>
      <c r="D1533" s="5">
        <v>109.4</v>
      </c>
      <c r="E1533" s="5">
        <v>108</v>
      </c>
      <c r="F1533" s="5">
        <v>108.69</v>
      </c>
      <c r="G1533" s="5">
        <v>4234</v>
      </c>
      <c r="Q1533" s="6">
        <v>40504</v>
      </c>
      <c r="R1533" s="7">
        <v>0.66666666666666663</v>
      </c>
      <c r="S1533" s="5">
        <v>127.23</v>
      </c>
      <c r="T1533" s="5">
        <v>129.4</v>
      </c>
      <c r="U1533" s="5">
        <v>126.25</v>
      </c>
      <c r="V1533" s="5">
        <v>127.75</v>
      </c>
      <c r="W1533" s="5">
        <v>3240890</v>
      </c>
    </row>
    <row r="1534" spans="1:23" x14ac:dyDescent="0.3">
      <c r="A1534" s="6">
        <v>40549</v>
      </c>
      <c r="B1534" s="7">
        <v>0.66666666666666663</v>
      </c>
      <c r="C1534" s="5">
        <v>109</v>
      </c>
      <c r="D1534" s="5">
        <v>109.74</v>
      </c>
      <c r="E1534" s="5">
        <v>108.05</v>
      </c>
      <c r="F1534" s="5">
        <v>109</v>
      </c>
      <c r="G1534" s="5">
        <v>3227</v>
      </c>
      <c r="Q1534" s="6">
        <v>40505</v>
      </c>
      <c r="R1534" s="7">
        <v>0.66666666666666663</v>
      </c>
      <c r="S1534" s="5">
        <v>127.75</v>
      </c>
      <c r="T1534" s="5">
        <v>128.99</v>
      </c>
      <c r="U1534" s="5">
        <v>126.01</v>
      </c>
      <c r="V1534" s="5">
        <v>126.91</v>
      </c>
      <c r="W1534" s="5">
        <v>2357444</v>
      </c>
    </row>
    <row r="1535" spans="1:23" x14ac:dyDescent="0.3">
      <c r="A1535" s="6">
        <v>40550</v>
      </c>
      <c r="B1535" s="7">
        <v>0.66666666666666663</v>
      </c>
      <c r="C1535" s="5">
        <v>108.13</v>
      </c>
      <c r="D1535" s="5">
        <v>109.25</v>
      </c>
      <c r="E1535" s="5">
        <v>108.13</v>
      </c>
      <c r="F1535" s="5">
        <v>108.5</v>
      </c>
      <c r="G1535" s="5">
        <v>2650</v>
      </c>
      <c r="Q1535" s="6">
        <v>40506</v>
      </c>
      <c r="R1535" s="7">
        <v>0.66666666666666663</v>
      </c>
      <c r="S1535" s="5">
        <v>126.91</v>
      </c>
      <c r="T1535" s="5">
        <v>127.5</v>
      </c>
      <c r="U1535" s="5">
        <v>123.5</v>
      </c>
      <c r="V1535" s="5">
        <v>124.3</v>
      </c>
      <c r="W1535" s="5">
        <v>1230397</v>
      </c>
    </row>
    <row r="1536" spans="1:23" x14ac:dyDescent="0.3">
      <c r="A1536" s="6">
        <v>40553</v>
      </c>
      <c r="B1536" s="7">
        <v>0.66666666666666663</v>
      </c>
      <c r="C1536" s="5">
        <v>110.1</v>
      </c>
      <c r="D1536" s="5">
        <v>110.2</v>
      </c>
      <c r="E1536" s="5">
        <v>108</v>
      </c>
      <c r="F1536" s="5">
        <v>108.16</v>
      </c>
      <c r="G1536" s="5">
        <v>12538</v>
      </c>
      <c r="Q1536" s="6">
        <v>40507</v>
      </c>
      <c r="R1536" s="7">
        <v>0.66666666666666663</v>
      </c>
      <c r="S1536" s="5">
        <v>124.3</v>
      </c>
      <c r="T1536" s="5">
        <v>126.74</v>
      </c>
      <c r="U1536" s="5">
        <v>123.8</v>
      </c>
      <c r="V1536" s="5">
        <v>125.92</v>
      </c>
      <c r="W1536" s="5">
        <v>1424613</v>
      </c>
    </row>
    <row r="1537" spans="1:23" x14ac:dyDescent="0.3">
      <c r="A1537" s="6">
        <v>40554</v>
      </c>
      <c r="B1537" s="7">
        <v>0.66666666666666663</v>
      </c>
      <c r="C1537" s="5">
        <v>108.1</v>
      </c>
      <c r="D1537" s="5">
        <v>108.1</v>
      </c>
      <c r="E1537" s="5">
        <v>107.5</v>
      </c>
      <c r="F1537" s="5">
        <v>108.02</v>
      </c>
      <c r="G1537" s="5">
        <v>2573</v>
      </c>
      <c r="Q1537" s="6">
        <v>40508</v>
      </c>
      <c r="R1537" s="7">
        <v>0.66666666666666663</v>
      </c>
      <c r="S1537" s="5">
        <v>125.92</v>
      </c>
      <c r="T1537" s="5">
        <v>128.09</v>
      </c>
      <c r="U1537" s="5">
        <v>125.5</v>
      </c>
      <c r="V1537" s="5">
        <v>127.1</v>
      </c>
      <c r="W1537" s="5">
        <v>3688287</v>
      </c>
    </row>
    <row r="1538" spans="1:23" x14ac:dyDescent="0.3">
      <c r="A1538" s="6">
        <v>40555</v>
      </c>
      <c r="B1538" s="7">
        <v>0.66666666666666663</v>
      </c>
      <c r="C1538" s="5">
        <v>108.05</v>
      </c>
      <c r="D1538" s="5">
        <v>108.75</v>
      </c>
      <c r="E1538" s="5">
        <v>107</v>
      </c>
      <c r="F1538" s="5">
        <v>107.04</v>
      </c>
      <c r="G1538" s="5">
        <v>9592</v>
      </c>
      <c r="Q1538" s="6">
        <v>40511</v>
      </c>
      <c r="R1538" s="7">
        <v>0.66666666666666663</v>
      </c>
      <c r="S1538" s="5">
        <v>127.1</v>
      </c>
      <c r="T1538" s="5">
        <v>129.88999999999999</v>
      </c>
      <c r="U1538" s="5">
        <v>126.9</v>
      </c>
      <c r="V1538" s="5">
        <v>128.34</v>
      </c>
      <c r="W1538" s="5">
        <v>2532293</v>
      </c>
    </row>
    <row r="1539" spans="1:23" x14ac:dyDescent="0.3">
      <c r="A1539" s="6">
        <v>40556</v>
      </c>
      <c r="B1539" s="7">
        <v>0.66666666666666663</v>
      </c>
      <c r="C1539" s="5">
        <v>107.1</v>
      </c>
      <c r="D1539" s="5">
        <v>108</v>
      </c>
      <c r="E1539" s="5">
        <v>107.1</v>
      </c>
      <c r="F1539" s="5">
        <v>107.9</v>
      </c>
      <c r="G1539" s="5">
        <v>4379</v>
      </c>
      <c r="Q1539" s="6">
        <v>40512</v>
      </c>
      <c r="R1539" s="7">
        <v>0.66666666666666663</v>
      </c>
      <c r="S1539" s="5">
        <v>128.49</v>
      </c>
      <c r="T1539" s="5">
        <v>134.75</v>
      </c>
      <c r="U1539" s="5">
        <v>128.49</v>
      </c>
      <c r="V1539" s="5">
        <v>134.75</v>
      </c>
      <c r="W1539" s="5">
        <v>3884541</v>
      </c>
    </row>
    <row r="1540" spans="1:23" x14ac:dyDescent="0.3">
      <c r="A1540" s="6">
        <v>40557</v>
      </c>
      <c r="B1540" s="7">
        <v>0.66666666666666663</v>
      </c>
      <c r="C1540" s="5">
        <v>107.01</v>
      </c>
      <c r="D1540" s="5">
        <v>108</v>
      </c>
      <c r="E1540" s="5">
        <v>107</v>
      </c>
      <c r="F1540" s="5">
        <v>107.26</v>
      </c>
      <c r="G1540" s="5">
        <v>14714</v>
      </c>
      <c r="Q1540" s="6">
        <v>40513</v>
      </c>
      <c r="R1540" s="7">
        <v>0.66666666666666663</v>
      </c>
      <c r="S1540" s="5">
        <v>134.75</v>
      </c>
      <c r="T1540" s="5">
        <v>137.19999999999999</v>
      </c>
      <c r="U1540" s="5">
        <v>128.02000000000001</v>
      </c>
      <c r="V1540" s="5">
        <v>128.02000000000001</v>
      </c>
      <c r="W1540" s="5">
        <v>6750810</v>
      </c>
    </row>
    <row r="1541" spans="1:23" x14ac:dyDescent="0.3">
      <c r="A1541" s="6">
        <v>40560</v>
      </c>
      <c r="B1541" s="7">
        <v>0.66666666666666663</v>
      </c>
      <c r="C1541" s="5">
        <v>107.01</v>
      </c>
      <c r="D1541" s="5">
        <v>108</v>
      </c>
      <c r="E1541" s="5">
        <v>106.75</v>
      </c>
      <c r="F1541" s="5">
        <v>107.45</v>
      </c>
      <c r="G1541" s="5">
        <v>9969</v>
      </c>
      <c r="Q1541" s="6">
        <v>40514</v>
      </c>
      <c r="R1541" s="7">
        <v>0.66666666666666663</v>
      </c>
      <c r="S1541" s="5">
        <v>128.02000000000001</v>
      </c>
      <c r="T1541" s="5">
        <v>130.9</v>
      </c>
      <c r="U1541" s="5">
        <v>125.25</v>
      </c>
      <c r="V1541" s="5">
        <v>129.61000000000001</v>
      </c>
      <c r="W1541" s="5">
        <v>6317772</v>
      </c>
    </row>
    <row r="1542" spans="1:23" x14ac:dyDescent="0.3">
      <c r="A1542" s="6">
        <v>40561</v>
      </c>
      <c r="B1542" s="7">
        <v>0.66666666666666663</v>
      </c>
      <c r="C1542" s="5">
        <v>107.01</v>
      </c>
      <c r="D1542" s="5">
        <v>107.01</v>
      </c>
      <c r="E1542" s="5">
        <v>106.01</v>
      </c>
      <c r="F1542" s="5">
        <v>106.5</v>
      </c>
      <c r="G1542" s="5">
        <v>10329</v>
      </c>
      <c r="Q1542" s="6">
        <v>40515</v>
      </c>
      <c r="R1542" s="7">
        <v>0.66666666666666663</v>
      </c>
      <c r="S1542" s="5">
        <v>129.61000000000001</v>
      </c>
      <c r="T1542" s="5">
        <v>130.35</v>
      </c>
      <c r="U1542" s="5">
        <v>123.13</v>
      </c>
      <c r="V1542" s="5">
        <v>123.5</v>
      </c>
      <c r="W1542" s="5">
        <v>3342830</v>
      </c>
    </row>
    <row r="1543" spans="1:23" x14ac:dyDescent="0.3">
      <c r="A1543" s="6">
        <v>40562</v>
      </c>
      <c r="B1543" s="7">
        <v>0.66666666666666663</v>
      </c>
      <c r="C1543" s="5">
        <v>106.5</v>
      </c>
      <c r="D1543" s="5">
        <v>107</v>
      </c>
      <c r="E1543" s="5">
        <v>106</v>
      </c>
      <c r="F1543" s="5">
        <v>106.17</v>
      </c>
      <c r="G1543" s="5">
        <v>4304</v>
      </c>
      <c r="Q1543" s="6">
        <v>40518</v>
      </c>
      <c r="R1543" s="7">
        <v>0.66666666666666663</v>
      </c>
      <c r="S1543" s="5">
        <v>123.5</v>
      </c>
      <c r="T1543" s="5">
        <v>125.3</v>
      </c>
      <c r="U1543" s="5">
        <v>117.53</v>
      </c>
      <c r="V1543" s="5">
        <v>118.1</v>
      </c>
      <c r="W1543" s="5">
        <v>2942732</v>
      </c>
    </row>
    <row r="1544" spans="1:23" x14ac:dyDescent="0.3">
      <c r="A1544" s="6">
        <v>40563</v>
      </c>
      <c r="B1544" s="7">
        <v>0.66666666666666663</v>
      </c>
      <c r="C1544" s="5">
        <v>105.5</v>
      </c>
      <c r="D1544" s="5">
        <v>106.8</v>
      </c>
      <c r="E1544" s="5">
        <v>105</v>
      </c>
      <c r="F1544" s="5">
        <v>106.15</v>
      </c>
      <c r="G1544" s="5">
        <v>8078</v>
      </c>
      <c r="Q1544" s="6">
        <v>40519</v>
      </c>
      <c r="R1544" s="7">
        <v>0.66666666666666663</v>
      </c>
      <c r="S1544" s="5">
        <v>118.1</v>
      </c>
      <c r="T1544" s="5">
        <v>120.6</v>
      </c>
      <c r="U1544" s="5">
        <v>115.25</v>
      </c>
      <c r="V1544" s="5">
        <v>117.96</v>
      </c>
      <c r="W1544" s="5">
        <v>4137530</v>
      </c>
    </row>
    <row r="1545" spans="1:23" x14ac:dyDescent="0.3">
      <c r="A1545" s="6">
        <v>40564</v>
      </c>
      <c r="B1545" s="7">
        <v>0.66666666666666663</v>
      </c>
      <c r="C1545" s="5">
        <v>106.15</v>
      </c>
      <c r="D1545" s="5">
        <v>106.94</v>
      </c>
      <c r="E1545" s="5">
        <v>104</v>
      </c>
      <c r="F1545" s="5">
        <v>104.31</v>
      </c>
      <c r="G1545" s="5">
        <v>15512</v>
      </c>
      <c r="Q1545" s="6">
        <v>40520</v>
      </c>
      <c r="R1545" s="7">
        <v>0.66666666666666663</v>
      </c>
      <c r="S1545" s="5">
        <v>117.96</v>
      </c>
      <c r="T1545" s="5">
        <v>120.5</v>
      </c>
      <c r="U1545" s="5">
        <v>117.02</v>
      </c>
      <c r="V1545" s="5">
        <v>117.59</v>
      </c>
      <c r="W1545" s="5">
        <v>2818403</v>
      </c>
    </row>
    <row r="1546" spans="1:23" x14ac:dyDescent="0.3">
      <c r="A1546" s="6">
        <v>40567</v>
      </c>
      <c r="B1546" s="7">
        <v>0.66666666666666663</v>
      </c>
      <c r="C1546" s="5">
        <v>104</v>
      </c>
      <c r="D1546" s="5">
        <v>104</v>
      </c>
      <c r="E1546" s="5">
        <v>99.25</v>
      </c>
      <c r="F1546" s="5">
        <v>99.55</v>
      </c>
      <c r="G1546" s="5">
        <v>30950</v>
      </c>
      <c r="Q1546" s="6">
        <v>40521</v>
      </c>
      <c r="R1546" s="7">
        <v>0.66666666666666663</v>
      </c>
      <c r="S1546" s="5">
        <v>117.59</v>
      </c>
      <c r="T1546" s="5">
        <v>118.9</v>
      </c>
      <c r="U1546" s="5">
        <v>116.2</v>
      </c>
      <c r="V1546" s="5">
        <v>117.28</v>
      </c>
      <c r="W1546" s="5">
        <v>1881904</v>
      </c>
    </row>
    <row r="1547" spans="1:23" x14ac:dyDescent="0.3">
      <c r="A1547" s="6">
        <v>40568</v>
      </c>
      <c r="B1547" s="7">
        <v>0.66666666666666663</v>
      </c>
      <c r="C1547" s="5">
        <v>98.01</v>
      </c>
      <c r="D1547" s="5">
        <v>100.85</v>
      </c>
      <c r="E1547" s="5">
        <v>98</v>
      </c>
      <c r="F1547" s="5">
        <v>100</v>
      </c>
      <c r="G1547" s="5">
        <v>5200</v>
      </c>
      <c r="Q1547" s="6">
        <v>40522</v>
      </c>
      <c r="R1547" s="7">
        <v>0.66666666666666663</v>
      </c>
      <c r="S1547" s="5">
        <v>117.28</v>
      </c>
      <c r="T1547" s="5">
        <v>119.99</v>
      </c>
      <c r="U1547" s="5">
        <v>116.7</v>
      </c>
      <c r="V1547" s="5">
        <v>119.61</v>
      </c>
      <c r="W1547" s="5">
        <v>2698569</v>
      </c>
    </row>
    <row r="1548" spans="1:23" x14ac:dyDescent="0.3">
      <c r="A1548" s="6">
        <v>40569</v>
      </c>
      <c r="B1548" s="7">
        <v>0.66666666666666663</v>
      </c>
      <c r="C1548" s="5">
        <v>100</v>
      </c>
      <c r="D1548" s="5">
        <v>102.5</v>
      </c>
      <c r="E1548" s="5">
        <v>96.15</v>
      </c>
      <c r="F1548" s="5">
        <v>97.12</v>
      </c>
      <c r="G1548" s="5">
        <v>38587</v>
      </c>
      <c r="Q1548" s="6">
        <v>40525</v>
      </c>
      <c r="R1548" s="7">
        <v>0.66666666666666663</v>
      </c>
      <c r="S1548" s="5">
        <v>120.28</v>
      </c>
      <c r="T1548" s="5">
        <v>122.99</v>
      </c>
      <c r="U1548" s="5">
        <v>120.28</v>
      </c>
      <c r="V1548" s="5">
        <v>121.61</v>
      </c>
      <c r="W1548" s="5">
        <v>2178306</v>
      </c>
    </row>
    <row r="1549" spans="1:23" x14ac:dyDescent="0.3">
      <c r="A1549" s="6">
        <v>40570</v>
      </c>
      <c r="B1549" s="7">
        <v>0.66666666666666663</v>
      </c>
      <c r="C1549" s="5">
        <v>96.1</v>
      </c>
      <c r="D1549" s="5">
        <v>96.99</v>
      </c>
      <c r="E1549" s="5">
        <v>94.9</v>
      </c>
      <c r="F1549" s="5">
        <v>96.58</v>
      </c>
      <c r="G1549" s="5">
        <v>16272</v>
      </c>
      <c r="Q1549" s="6">
        <v>40526</v>
      </c>
      <c r="R1549" s="7">
        <v>0.66666666666666663</v>
      </c>
      <c r="S1549" s="5">
        <v>121.61</v>
      </c>
      <c r="T1549" s="5">
        <v>122.59</v>
      </c>
      <c r="U1549" s="5">
        <v>120</v>
      </c>
      <c r="V1549" s="5">
        <v>120.16</v>
      </c>
      <c r="W1549" s="5">
        <v>1005933</v>
      </c>
    </row>
    <row r="1550" spans="1:23" x14ac:dyDescent="0.3">
      <c r="A1550" s="6">
        <v>40571</v>
      </c>
      <c r="B1550" s="7">
        <v>0.66666666666666663</v>
      </c>
      <c r="C1550" s="5">
        <v>97</v>
      </c>
      <c r="D1550" s="5">
        <v>97.4</v>
      </c>
      <c r="E1550" s="5">
        <v>94</v>
      </c>
      <c r="F1550" s="5">
        <v>94.07</v>
      </c>
      <c r="G1550" s="5">
        <v>13489</v>
      </c>
      <c r="Q1550" s="6">
        <v>40527</v>
      </c>
      <c r="R1550" s="7">
        <v>0.66666666666666663</v>
      </c>
      <c r="S1550" s="5">
        <v>120.16</v>
      </c>
      <c r="T1550" s="5">
        <v>121.89</v>
      </c>
      <c r="U1550" s="5">
        <v>118.5</v>
      </c>
      <c r="V1550" s="5">
        <v>120</v>
      </c>
      <c r="W1550" s="5">
        <v>1413303</v>
      </c>
    </row>
    <row r="1551" spans="1:23" x14ac:dyDescent="0.3">
      <c r="A1551" s="6">
        <v>40574</v>
      </c>
      <c r="B1551" s="7">
        <v>0.66666666666666663</v>
      </c>
      <c r="C1551" s="5">
        <v>94.5</v>
      </c>
      <c r="D1551" s="5">
        <v>96.79</v>
      </c>
      <c r="E1551" s="5">
        <v>94.5</v>
      </c>
      <c r="F1551" s="5">
        <v>96.28</v>
      </c>
      <c r="G1551" s="5">
        <v>3770</v>
      </c>
      <c r="Q1551" s="6">
        <v>40532</v>
      </c>
      <c r="R1551" s="7">
        <v>0.66666666666666663</v>
      </c>
      <c r="S1551" s="5">
        <v>120.81</v>
      </c>
      <c r="T1551" s="5">
        <v>122.8</v>
      </c>
      <c r="U1551" s="5">
        <v>120.81</v>
      </c>
      <c r="V1551" s="5">
        <v>121.41</v>
      </c>
      <c r="W1551" s="5">
        <v>2326743</v>
      </c>
    </row>
    <row r="1552" spans="1:23" x14ac:dyDescent="0.3">
      <c r="A1552" s="6">
        <v>40575</v>
      </c>
      <c r="B1552" s="7">
        <v>0.66666666666666663</v>
      </c>
      <c r="C1552" s="5">
        <v>96.4</v>
      </c>
      <c r="D1552" s="5">
        <v>96.4</v>
      </c>
      <c r="E1552" s="5">
        <v>94.49</v>
      </c>
      <c r="F1552" s="5">
        <v>96.21</v>
      </c>
      <c r="G1552" s="5">
        <v>17251</v>
      </c>
      <c r="Q1552" s="6">
        <v>40533</v>
      </c>
      <c r="R1552" s="7">
        <v>0.66666666666666663</v>
      </c>
      <c r="S1552" s="5">
        <v>121.5</v>
      </c>
      <c r="T1552" s="5">
        <v>123.4</v>
      </c>
      <c r="U1552" s="5">
        <v>121.5</v>
      </c>
      <c r="V1552" s="5">
        <v>121.71</v>
      </c>
      <c r="W1552" s="5">
        <v>2450922</v>
      </c>
    </row>
    <row r="1553" spans="1:23" x14ac:dyDescent="0.3">
      <c r="A1553" s="6">
        <v>40576</v>
      </c>
      <c r="B1553" s="7">
        <v>0.66666666666666663</v>
      </c>
      <c r="C1553" s="5">
        <v>94.75</v>
      </c>
      <c r="D1553" s="5">
        <v>95.9</v>
      </c>
      <c r="E1553" s="5">
        <v>94.5</v>
      </c>
      <c r="F1553" s="5">
        <v>95.89</v>
      </c>
      <c r="G1553" s="5">
        <v>202</v>
      </c>
      <c r="Q1553" s="6">
        <v>40534</v>
      </c>
      <c r="R1553" s="7">
        <v>0.66666666666666663</v>
      </c>
      <c r="S1553" s="5">
        <v>121.71</v>
      </c>
      <c r="T1553" s="5">
        <v>122.67</v>
      </c>
      <c r="U1553" s="5">
        <v>120.5</v>
      </c>
      <c r="V1553" s="5">
        <v>121.1</v>
      </c>
      <c r="W1553" s="5">
        <v>1051745</v>
      </c>
    </row>
    <row r="1554" spans="1:23" x14ac:dyDescent="0.3">
      <c r="A1554" s="6">
        <v>40577</v>
      </c>
      <c r="B1554" s="7">
        <v>0.66666666666666663</v>
      </c>
      <c r="C1554" s="5">
        <v>94.5</v>
      </c>
      <c r="D1554" s="5">
        <v>95.5</v>
      </c>
      <c r="E1554" s="5">
        <v>94</v>
      </c>
      <c r="F1554" s="5">
        <v>95.46</v>
      </c>
      <c r="G1554" s="5">
        <v>3890</v>
      </c>
      <c r="Q1554" s="6">
        <v>40535</v>
      </c>
      <c r="R1554" s="7">
        <v>0.66666666666666663</v>
      </c>
      <c r="S1554" s="5">
        <v>121.1</v>
      </c>
      <c r="T1554" s="5">
        <v>122</v>
      </c>
      <c r="U1554" s="5">
        <v>119.71</v>
      </c>
      <c r="V1554" s="5">
        <v>120.28</v>
      </c>
      <c r="W1554" s="5">
        <v>783581</v>
      </c>
    </row>
    <row r="1555" spans="1:23" x14ac:dyDescent="0.3">
      <c r="A1555" s="6">
        <v>40578</v>
      </c>
      <c r="B1555" s="7">
        <v>0.66666666666666663</v>
      </c>
      <c r="C1555" s="5">
        <v>95.5</v>
      </c>
      <c r="D1555" s="5">
        <v>98.35</v>
      </c>
      <c r="E1555" s="5">
        <v>94.51</v>
      </c>
      <c r="F1555" s="5">
        <v>95.31</v>
      </c>
      <c r="G1555" s="5">
        <v>7566</v>
      </c>
      <c r="Q1555" s="6">
        <v>40536</v>
      </c>
      <c r="R1555" s="7">
        <v>0.66666666666666663</v>
      </c>
      <c r="S1555" s="5">
        <v>120.28</v>
      </c>
      <c r="T1555" s="5">
        <v>120.89</v>
      </c>
      <c r="U1555" s="5">
        <v>119</v>
      </c>
      <c r="V1555" s="5">
        <v>119.56</v>
      </c>
      <c r="W1555" s="5">
        <v>617354</v>
      </c>
    </row>
    <row r="1556" spans="1:23" x14ac:dyDescent="0.3">
      <c r="A1556" s="6">
        <v>40581</v>
      </c>
      <c r="B1556" s="7">
        <v>0.66666666666666663</v>
      </c>
      <c r="C1556" s="5">
        <v>95.01</v>
      </c>
      <c r="D1556" s="5">
        <v>96.7</v>
      </c>
      <c r="E1556" s="5">
        <v>95.01</v>
      </c>
      <c r="F1556" s="5">
        <v>96.7</v>
      </c>
      <c r="G1556" s="5">
        <v>1963</v>
      </c>
      <c r="Q1556" s="6">
        <v>40539</v>
      </c>
      <c r="R1556" s="7">
        <v>0.66666666666666663</v>
      </c>
      <c r="S1556" s="5">
        <v>119.56</v>
      </c>
      <c r="T1556" s="5">
        <v>122.31</v>
      </c>
      <c r="U1556" s="5">
        <v>119.5</v>
      </c>
      <c r="V1556" s="5">
        <v>121.73</v>
      </c>
      <c r="W1556" s="5">
        <v>1579872</v>
      </c>
    </row>
    <row r="1557" spans="1:23" x14ac:dyDescent="0.3">
      <c r="A1557" s="6">
        <v>40582</v>
      </c>
      <c r="B1557" s="7">
        <v>0.66666666666666663</v>
      </c>
      <c r="C1557" s="5">
        <v>96.8</v>
      </c>
      <c r="D1557" s="5">
        <v>96.8</v>
      </c>
      <c r="E1557" s="5">
        <v>95.85</v>
      </c>
      <c r="F1557" s="5">
        <v>95.99</v>
      </c>
      <c r="G1557" s="5">
        <v>6200</v>
      </c>
      <c r="Q1557" s="6">
        <v>40540</v>
      </c>
      <c r="R1557" s="7">
        <v>0.66666666666666663</v>
      </c>
      <c r="S1557" s="5">
        <v>121.73</v>
      </c>
      <c r="T1557" s="5">
        <v>124.69</v>
      </c>
      <c r="U1557" s="5">
        <v>120.5</v>
      </c>
      <c r="V1557" s="5">
        <v>122.35</v>
      </c>
      <c r="W1557" s="5">
        <v>3214905</v>
      </c>
    </row>
    <row r="1558" spans="1:23" x14ac:dyDescent="0.3">
      <c r="A1558" s="6">
        <v>40583</v>
      </c>
      <c r="B1558" s="7">
        <v>0.66666666666666663</v>
      </c>
      <c r="C1558" s="5">
        <v>96</v>
      </c>
      <c r="D1558" s="5">
        <v>96.7</v>
      </c>
      <c r="E1558" s="5">
        <v>95.22</v>
      </c>
      <c r="F1558" s="5">
        <v>96.6</v>
      </c>
      <c r="G1558" s="5">
        <v>2071</v>
      </c>
      <c r="Q1558" s="6">
        <v>40541</v>
      </c>
      <c r="R1558" s="7">
        <v>0.66666666666666663</v>
      </c>
      <c r="S1558" s="5">
        <v>122.35</v>
      </c>
      <c r="T1558" s="5">
        <v>123.35</v>
      </c>
      <c r="U1558" s="5">
        <v>121.36</v>
      </c>
      <c r="V1558" s="5">
        <v>122</v>
      </c>
      <c r="W1558" s="5">
        <v>763779</v>
      </c>
    </row>
    <row r="1559" spans="1:23" x14ac:dyDescent="0.3">
      <c r="A1559" s="6">
        <v>40584</v>
      </c>
      <c r="B1559" s="7">
        <v>0.66666666666666663</v>
      </c>
      <c r="C1559" s="5">
        <v>95.5</v>
      </c>
      <c r="D1559" s="5">
        <v>97.99</v>
      </c>
      <c r="E1559" s="5">
        <v>95</v>
      </c>
      <c r="F1559" s="5">
        <v>95.08</v>
      </c>
      <c r="G1559" s="5">
        <v>7667</v>
      </c>
      <c r="Q1559" s="6">
        <v>40542</v>
      </c>
      <c r="R1559" s="7">
        <v>0.66666666666666663</v>
      </c>
      <c r="S1559" s="5">
        <v>122.6</v>
      </c>
      <c r="T1559" s="5">
        <v>126.69</v>
      </c>
      <c r="U1559" s="5">
        <v>122.6</v>
      </c>
      <c r="V1559" s="5">
        <v>125.66</v>
      </c>
      <c r="W1559" s="5">
        <v>3151830</v>
      </c>
    </row>
    <row r="1560" spans="1:23" x14ac:dyDescent="0.3">
      <c r="A1560" s="6">
        <v>40585</v>
      </c>
      <c r="B1560" s="7">
        <v>0.66666666666666663</v>
      </c>
      <c r="C1560" s="5">
        <v>94.75</v>
      </c>
      <c r="D1560" s="5">
        <v>95.5</v>
      </c>
      <c r="E1560" s="5">
        <v>94</v>
      </c>
      <c r="F1560" s="5">
        <v>94.08</v>
      </c>
      <c r="G1560" s="5">
        <v>3614</v>
      </c>
      <c r="Q1560" s="6">
        <v>40543</v>
      </c>
      <c r="R1560" s="7">
        <v>0.66666666666666663</v>
      </c>
      <c r="S1560" s="5">
        <v>125.66</v>
      </c>
      <c r="T1560" s="5">
        <v>127.2</v>
      </c>
      <c r="U1560" s="5">
        <v>124.02</v>
      </c>
      <c r="V1560" s="5">
        <v>124.68</v>
      </c>
      <c r="W1560" s="5">
        <v>1565204</v>
      </c>
    </row>
    <row r="1561" spans="1:23" x14ac:dyDescent="0.3">
      <c r="A1561" s="6">
        <v>40588</v>
      </c>
      <c r="B1561" s="7">
        <v>0.66666666666666663</v>
      </c>
      <c r="C1561" s="5">
        <v>95</v>
      </c>
      <c r="D1561" s="5">
        <v>95</v>
      </c>
      <c r="E1561" s="5">
        <v>91.25</v>
      </c>
      <c r="F1561" s="5">
        <v>92.9</v>
      </c>
      <c r="G1561" s="5">
        <v>15393</v>
      </c>
      <c r="Q1561" s="6">
        <v>40546</v>
      </c>
      <c r="R1561" s="7">
        <v>0.66666666666666663</v>
      </c>
      <c r="S1561" s="5">
        <v>122.99</v>
      </c>
      <c r="T1561" s="5">
        <v>122.99</v>
      </c>
      <c r="U1561" s="5">
        <v>118.45</v>
      </c>
      <c r="V1561" s="5">
        <v>119.82</v>
      </c>
      <c r="W1561" s="5">
        <v>2002514</v>
      </c>
    </row>
    <row r="1562" spans="1:23" x14ac:dyDescent="0.3">
      <c r="A1562" s="6">
        <v>40589</v>
      </c>
      <c r="B1562" s="7">
        <v>0.66666666666666663</v>
      </c>
      <c r="C1562" s="5">
        <v>94.85</v>
      </c>
      <c r="D1562" s="5">
        <v>94.85</v>
      </c>
      <c r="E1562" s="5">
        <v>93.1</v>
      </c>
      <c r="F1562" s="5">
        <v>94.25</v>
      </c>
      <c r="G1562" s="5">
        <v>1993</v>
      </c>
      <c r="Q1562" s="6">
        <v>40547</v>
      </c>
      <c r="R1562" s="7">
        <v>0.66666666666666663</v>
      </c>
      <c r="S1562" s="5">
        <v>119.82</v>
      </c>
      <c r="T1562" s="5">
        <v>125.8</v>
      </c>
      <c r="U1562" s="5">
        <v>119.71</v>
      </c>
      <c r="V1562" s="5">
        <v>125.44</v>
      </c>
      <c r="W1562" s="5">
        <v>3478088</v>
      </c>
    </row>
    <row r="1563" spans="1:23" x14ac:dyDescent="0.3">
      <c r="A1563" s="6">
        <v>40591</v>
      </c>
      <c r="B1563" s="7">
        <v>0.66666666666666663</v>
      </c>
      <c r="C1563" s="5">
        <v>94.9</v>
      </c>
      <c r="D1563" s="5">
        <v>95.6</v>
      </c>
      <c r="E1563" s="5">
        <v>94.55</v>
      </c>
      <c r="F1563" s="5">
        <v>95</v>
      </c>
      <c r="G1563" s="5">
        <v>5299</v>
      </c>
      <c r="Q1563" s="6">
        <v>40548</v>
      </c>
      <c r="R1563" s="7">
        <v>0.66666666666666663</v>
      </c>
      <c r="S1563" s="5">
        <v>125.44</v>
      </c>
      <c r="T1563" s="5">
        <v>130.6</v>
      </c>
      <c r="U1563" s="5">
        <v>124.5</v>
      </c>
      <c r="V1563" s="5">
        <v>128.83000000000001</v>
      </c>
      <c r="W1563" s="5">
        <v>4469474</v>
      </c>
    </row>
    <row r="1564" spans="1:23" x14ac:dyDescent="0.3">
      <c r="A1564" s="6">
        <v>40592</v>
      </c>
      <c r="B1564" s="7">
        <v>0.66666666666666663</v>
      </c>
      <c r="C1564" s="5">
        <v>90.3</v>
      </c>
      <c r="D1564" s="5">
        <v>95.5</v>
      </c>
      <c r="E1564" s="5">
        <v>90.3</v>
      </c>
      <c r="F1564" s="5">
        <v>95.4</v>
      </c>
      <c r="G1564" s="5">
        <v>7126</v>
      </c>
      <c r="Q1564" s="6">
        <v>40549</v>
      </c>
      <c r="R1564" s="7">
        <v>0.66666666666666663</v>
      </c>
      <c r="S1564" s="5">
        <v>128.83000000000001</v>
      </c>
      <c r="T1564" s="5">
        <v>131.88</v>
      </c>
      <c r="U1564" s="5">
        <v>127.7</v>
      </c>
      <c r="V1564" s="5">
        <v>130.36000000000001</v>
      </c>
      <c r="W1564" s="5">
        <v>4087823</v>
      </c>
    </row>
    <row r="1565" spans="1:23" x14ac:dyDescent="0.3">
      <c r="A1565" s="6">
        <v>40595</v>
      </c>
      <c r="B1565" s="7">
        <v>0.66666666666666663</v>
      </c>
      <c r="C1565" s="5">
        <v>96</v>
      </c>
      <c r="D1565" s="5">
        <v>97</v>
      </c>
      <c r="E1565" s="5">
        <v>95</v>
      </c>
      <c r="F1565" s="5">
        <v>96.47</v>
      </c>
      <c r="G1565" s="5">
        <v>10767</v>
      </c>
      <c r="Q1565" s="6">
        <v>40550</v>
      </c>
      <c r="R1565" s="7">
        <v>0.66666666666666663</v>
      </c>
      <c r="S1565" s="5">
        <v>130.36000000000001</v>
      </c>
      <c r="T1565" s="5">
        <v>131.69999999999999</v>
      </c>
      <c r="U1565" s="5">
        <v>128.41</v>
      </c>
      <c r="V1565" s="5">
        <v>130.63</v>
      </c>
      <c r="W1565" s="5">
        <v>3937236</v>
      </c>
    </row>
    <row r="1566" spans="1:23" x14ac:dyDescent="0.3">
      <c r="A1566" s="6">
        <v>40596</v>
      </c>
      <c r="B1566" s="7">
        <v>0.66666666666666663</v>
      </c>
      <c r="C1566" s="5">
        <v>96.5</v>
      </c>
      <c r="D1566" s="5">
        <v>96.5</v>
      </c>
      <c r="E1566" s="5">
        <v>91.65</v>
      </c>
      <c r="F1566" s="5">
        <v>91.65</v>
      </c>
      <c r="G1566" s="5">
        <v>11396</v>
      </c>
      <c r="Q1566" s="6">
        <v>40553</v>
      </c>
      <c r="R1566" s="7">
        <v>0.66666666666666663</v>
      </c>
      <c r="S1566" s="5">
        <v>130.63</v>
      </c>
      <c r="T1566" s="5">
        <v>133.44</v>
      </c>
      <c r="U1566" s="5">
        <v>129.85</v>
      </c>
      <c r="V1566" s="5">
        <v>130.58000000000001</v>
      </c>
      <c r="W1566" s="5">
        <v>3731485</v>
      </c>
    </row>
    <row r="1567" spans="1:23" x14ac:dyDescent="0.3">
      <c r="A1567" s="6">
        <v>40597</v>
      </c>
      <c r="B1567" s="7">
        <v>0.66666666666666663</v>
      </c>
      <c r="C1567" s="5">
        <v>87.07</v>
      </c>
      <c r="D1567" s="5">
        <v>87.07</v>
      </c>
      <c r="E1567" s="5">
        <v>87.07</v>
      </c>
      <c r="F1567" s="5">
        <v>87.07</v>
      </c>
      <c r="G1567" s="5">
        <v>2721</v>
      </c>
      <c r="Q1567" s="6">
        <v>40554</v>
      </c>
      <c r="R1567" s="7">
        <v>0.66666666666666663</v>
      </c>
      <c r="S1567" s="5">
        <v>132</v>
      </c>
      <c r="T1567" s="5">
        <v>136.6</v>
      </c>
      <c r="U1567" s="5">
        <v>132</v>
      </c>
      <c r="V1567" s="5">
        <v>135.77000000000001</v>
      </c>
      <c r="W1567" s="5">
        <v>5907754</v>
      </c>
    </row>
    <row r="1568" spans="1:23" x14ac:dyDescent="0.3">
      <c r="A1568" s="6">
        <v>40598</v>
      </c>
      <c r="B1568" s="7">
        <v>0.66666666666666663</v>
      </c>
      <c r="C1568" s="5">
        <v>82.72</v>
      </c>
      <c r="D1568" s="5">
        <v>84.8</v>
      </c>
      <c r="E1568" s="5">
        <v>82.72</v>
      </c>
      <c r="F1568" s="5">
        <v>82.72</v>
      </c>
      <c r="G1568" s="5">
        <v>34176</v>
      </c>
      <c r="Q1568" s="6">
        <v>40555</v>
      </c>
      <c r="R1568" s="7">
        <v>0.66666666666666663</v>
      </c>
      <c r="S1568" s="5">
        <v>135.77000000000001</v>
      </c>
      <c r="T1568" s="5">
        <v>139.69999999999999</v>
      </c>
      <c r="U1568" s="5">
        <v>134.6</v>
      </c>
      <c r="V1568" s="5">
        <v>138.87</v>
      </c>
      <c r="W1568" s="5">
        <v>4802896</v>
      </c>
    </row>
    <row r="1569" spans="1:23" x14ac:dyDescent="0.3">
      <c r="A1569" s="6">
        <v>40599</v>
      </c>
      <c r="B1569" s="7">
        <v>0.66666666666666663</v>
      </c>
      <c r="C1569" s="5">
        <v>82.8</v>
      </c>
      <c r="D1569" s="5">
        <v>82.8</v>
      </c>
      <c r="E1569" s="5">
        <v>78.59</v>
      </c>
      <c r="F1569" s="5">
        <v>78.63</v>
      </c>
      <c r="G1569" s="5">
        <v>11971</v>
      </c>
      <c r="Q1569" s="6">
        <v>40556</v>
      </c>
      <c r="R1569" s="7">
        <v>0.66666666666666663</v>
      </c>
      <c r="S1569" s="5">
        <v>138.87</v>
      </c>
      <c r="T1569" s="5">
        <v>140.75</v>
      </c>
      <c r="U1569" s="5">
        <v>135</v>
      </c>
      <c r="V1569" s="5">
        <v>137.61000000000001</v>
      </c>
      <c r="W1569" s="5">
        <v>4411260</v>
      </c>
    </row>
    <row r="1570" spans="1:23" x14ac:dyDescent="0.3">
      <c r="A1570" s="6">
        <v>40602</v>
      </c>
      <c r="B1570" s="7">
        <v>0.66666666666666663</v>
      </c>
      <c r="C1570" s="5">
        <v>79.900000000000006</v>
      </c>
      <c r="D1570" s="5">
        <v>80.45</v>
      </c>
      <c r="E1570" s="5">
        <v>79.25</v>
      </c>
      <c r="F1570" s="5">
        <v>80.05</v>
      </c>
      <c r="G1570" s="5">
        <v>6047</v>
      </c>
      <c r="Q1570" s="6">
        <v>40557</v>
      </c>
      <c r="R1570" s="7">
        <v>0.66666666666666663</v>
      </c>
      <c r="S1570" s="5">
        <v>137.62</v>
      </c>
      <c r="T1570" s="5">
        <v>143.9</v>
      </c>
      <c r="U1570" s="5">
        <v>137.62</v>
      </c>
      <c r="V1570" s="5">
        <v>142.41</v>
      </c>
      <c r="W1570" s="5">
        <v>4621472</v>
      </c>
    </row>
    <row r="1571" spans="1:23" x14ac:dyDescent="0.3">
      <c r="A1571" s="6">
        <v>40603</v>
      </c>
      <c r="B1571" s="7">
        <v>0.66666666666666663</v>
      </c>
      <c r="C1571" s="5">
        <v>80.05</v>
      </c>
      <c r="D1571" s="5">
        <v>82.5</v>
      </c>
      <c r="E1571" s="5">
        <v>80</v>
      </c>
      <c r="F1571" s="5">
        <v>81.8</v>
      </c>
      <c r="G1571" s="5">
        <v>6957</v>
      </c>
      <c r="Q1571" s="6">
        <v>40560</v>
      </c>
      <c r="R1571" s="7">
        <v>0.66666666666666663</v>
      </c>
      <c r="S1571" s="5">
        <v>142.41</v>
      </c>
      <c r="T1571" s="5">
        <v>146.9</v>
      </c>
      <c r="U1571" s="5">
        <v>141.51</v>
      </c>
      <c r="V1571" s="5">
        <v>144.71</v>
      </c>
      <c r="W1571" s="5">
        <v>3533581</v>
      </c>
    </row>
    <row r="1572" spans="1:23" x14ac:dyDescent="0.3">
      <c r="A1572" s="6">
        <v>40604</v>
      </c>
      <c r="B1572" s="7">
        <v>0.66666666666666663</v>
      </c>
      <c r="C1572" s="5">
        <v>82</v>
      </c>
      <c r="D1572" s="5">
        <v>83.11</v>
      </c>
      <c r="E1572" s="5">
        <v>81.5</v>
      </c>
      <c r="F1572" s="5">
        <v>81.53</v>
      </c>
      <c r="G1572" s="5">
        <v>2191</v>
      </c>
      <c r="Q1572" s="6">
        <v>40561</v>
      </c>
      <c r="R1572" s="7">
        <v>0.66666666666666663</v>
      </c>
      <c r="S1572" s="5">
        <v>144.71</v>
      </c>
      <c r="T1572" s="5">
        <v>146.85</v>
      </c>
      <c r="U1572" s="5">
        <v>143</v>
      </c>
      <c r="V1572" s="5">
        <v>145.5</v>
      </c>
      <c r="W1572" s="5">
        <v>3321736</v>
      </c>
    </row>
    <row r="1573" spans="1:23" x14ac:dyDescent="0.3">
      <c r="A1573" s="6">
        <v>40609</v>
      </c>
      <c r="B1573" s="7">
        <v>0.66666666666666663</v>
      </c>
      <c r="C1573" s="5">
        <v>83</v>
      </c>
      <c r="D1573" s="5">
        <v>84</v>
      </c>
      <c r="E1573" s="5">
        <v>82.11</v>
      </c>
      <c r="F1573" s="5">
        <v>82.87</v>
      </c>
      <c r="G1573" s="5">
        <v>11417</v>
      </c>
      <c r="Q1573" s="6">
        <v>40562</v>
      </c>
      <c r="R1573" s="7">
        <v>0.66666666666666663</v>
      </c>
      <c r="S1573" s="5">
        <v>145.5</v>
      </c>
      <c r="T1573" s="5">
        <v>146.74</v>
      </c>
      <c r="U1573" s="5">
        <v>141.1</v>
      </c>
      <c r="V1573" s="5">
        <v>142.82</v>
      </c>
      <c r="W1573" s="5">
        <v>2218118</v>
      </c>
    </row>
    <row r="1574" spans="1:23" x14ac:dyDescent="0.3">
      <c r="A1574" s="6">
        <v>40610</v>
      </c>
      <c r="B1574" s="7">
        <v>0.66666666666666663</v>
      </c>
      <c r="C1574" s="5">
        <v>84.9</v>
      </c>
      <c r="D1574" s="5">
        <v>85</v>
      </c>
      <c r="E1574" s="5">
        <v>82.8</v>
      </c>
      <c r="F1574" s="5">
        <v>83.41</v>
      </c>
      <c r="G1574" s="5">
        <v>6505</v>
      </c>
      <c r="Q1574" s="6">
        <v>40563</v>
      </c>
      <c r="R1574" s="7">
        <v>0.66666666666666663</v>
      </c>
      <c r="S1574" s="5">
        <v>142.82</v>
      </c>
      <c r="T1574" s="5">
        <v>143</v>
      </c>
      <c r="U1574" s="5">
        <v>136.5</v>
      </c>
      <c r="V1574" s="5">
        <v>137.76</v>
      </c>
      <c r="W1574" s="5">
        <v>2429747</v>
      </c>
    </row>
    <row r="1575" spans="1:23" x14ac:dyDescent="0.3">
      <c r="A1575" s="6">
        <v>40611</v>
      </c>
      <c r="B1575" s="7">
        <v>0.66666666666666663</v>
      </c>
      <c r="C1575" s="5">
        <v>87</v>
      </c>
      <c r="D1575" s="5">
        <v>87</v>
      </c>
      <c r="E1575" s="5">
        <v>81</v>
      </c>
      <c r="F1575" s="5">
        <v>84.55</v>
      </c>
      <c r="G1575" s="5">
        <v>5125</v>
      </c>
      <c r="Q1575" s="6">
        <v>40564</v>
      </c>
      <c r="R1575" s="7">
        <v>0.66666666666666663</v>
      </c>
      <c r="S1575" s="5">
        <v>138.6</v>
      </c>
      <c r="T1575" s="5">
        <v>142.99</v>
      </c>
      <c r="U1575" s="5">
        <v>138.6</v>
      </c>
      <c r="V1575" s="5">
        <v>141.31</v>
      </c>
      <c r="W1575" s="5">
        <v>2183979</v>
      </c>
    </row>
    <row r="1576" spans="1:23" x14ac:dyDescent="0.3">
      <c r="A1576" s="6">
        <v>40612</v>
      </c>
      <c r="B1576" s="7">
        <v>0.66666666666666663</v>
      </c>
      <c r="C1576" s="5">
        <v>85</v>
      </c>
      <c r="D1576" s="5">
        <v>88</v>
      </c>
      <c r="E1576" s="5">
        <v>84.55</v>
      </c>
      <c r="F1576" s="5">
        <v>86.42</v>
      </c>
      <c r="G1576" s="5">
        <v>7655</v>
      </c>
      <c r="Q1576" s="6">
        <v>40567</v>
      </c>
      <c r="R1576" s="7">
        <v>0.66666666666666663</v>
      </c>
      <c r="S1576" s="5">
        <v>141.31</v>
      </c>
      <c r="T1576" s="5">
        <v>143.4</v>
      </c>
      <c r="U1576" s="5">
        <v>139.5</v>
      </c>
      <c r="V1576" s="5">
        <v>140</v>
      </c>
      <c r="W1576" s="5">
        <v>1296034</v>
      </c>
    </row>
    <row r="1577" spans="1:23" x14ac:dyDescent="0.3">
      <c r="A1577" s="6">
        <v>40613</v>
      </c>
      <c r="B1577" s="7">
        <v>0.66666666666666663</v>
      </c>
      <c r="C1577" s="5">
        <v>85</v>
      </c>
      <c r="D1577" s="5">
        <v>86.9</v>
      </c>
      <c r="E1577" s="5">
        <v>83.52</v>
      </c>
      <c r="F1577" s="5">
        <v>85.37</v>
      </c>
      <c r="G1577" s="5">
        <v>5395</v>
      </c>
      <c r="Q1577" s="6">
        <v>40568</v>
      </c>
      <c r="R1577" s="7">
        <v>0.66666666666666663</v>
      </c>
      <c r="S1577" s="5">
        <v>140</v>
      </c>
      <c r="T1577" s="5">
        <v>140.97999999999999</v>
      </c>
      <c r="U1577" s="5">
        <v>137.26</v>
      </c>
      <c r="V1577" s="5">
        <v>137.66</v>
      </c>
      <c r="W1577" s="5">
        <v>944584</v>
      </c>
    </row>
    <row r="1578" spans="1:23" x14ac:dyDescent="0.3">
      <c r="A1578" s="6">
        <v>40616</v>
      </c>
      <c r="B1578" s="7">
        <v>0.66666666666666663</v>
      </c>
      <c r="C1578" s="5">
        <v>87.8</v>
      </c>
      <c r="D1578" s="5">
        <v>89</v>
      </c>
      <c r="E1578" s="5">
        <v>86.5</v>
      </c>
      <c r="F1578" s="5">
        <v>88</v>
      </c>
      <c r="G1578" s="5">
        <v>8768</v>
      </c>
      <c r="Q1578" s="6">
        <v>40569</v>
      </c>
      <c r="R1578" s="7">
        <v>0.66666666666666663</v>
      </c>
      <c r="S1578" s="5">
        <v>137.66</v>
      </c>
      <c r="T1578" s="5">
        <v>139.25</v>
      </c>
      <c r="U1578" s="5">
        <v>136.19999999999999</v>
      </c>
      <c r="V1578" s="5">
        <v>136.61000000000001</v>
      </c>
      <c r="W1578" s="5">
        <v>660466</v>
      </c>
    </row>
    <row r="1579" spans="1:23" x14ac:dyDescent="0.3">
      <c r="A1579" s="6">
        <v>40617</v>
      </c>
      <c r="B1579" s="7">
        <v>0.66666666666666663</v>
      </c>
      <c r="C1579" s="5">
        <v>88.79</v>
      </c>
      <c r="D1579" s="5">
        <v>88.79</v>
      </c>
      <c r="E1579" s="5">
        <v>86</v>
      </c>
      <c r="F1579" s="5">
        <v>87.69</v>
      </c>
      <c r="G1579" s="5">
        <v>4848</v>
      </c>
      <c r="Q1579" s="6">
        <v>40570</v>
      </c>
      <c r="R1579" s="7">
        <v>0.66666666666666663</v>
      </c>
      <c r="S1579" s="5">
        <v>136.61000000000001</v>
      </c>
      <c r="T1579" s="5">
        <v>137.9</v>
      </c>
      <c r="U1579" s="5">
        <v>133.75</v>
      </c>
      <c r="V1579" s="5">
        <v>134.11000000000001</v>
      </c>
      <c r="W1579" s="5">
        <v>675877</v>
      </c>
    </row>
    <row r="1580" spans="1:23" x14ac:dyDescent="0.3">
      <c r="A1580" s="6">
        <v>40618</v>
      </c>
      <c r="B1580" s="7">
        <v>0.66666666666666663</v>
      </c>
      <c r="C1580" s="5">
        <v>88.5</v>
      </c>
      <c r="D1580" s="5">
        <v>88.5</v>
      </c>
      <c r="E1580" s="5">
        <v>87.25</v>
      </c>
      <c r="F1580" s="5">
        <v>87.49</v>
      </c>
      <c r="G1580" s="5">
        <v>2914</v>
      </c>
      <c r="Q1580" s="6">
        <v>40571</v>
      </c>
      <c r="R1580" s="7">
        <v>0.66666666666666663</v>
      </c>
      <c r="S1580" s="5">
        <v>134.11000000000001</v>
      </c>
      <c r="T1580" s="5">
        <v>140.4</v>
      </c>
      <c r="U1580" s="5">
        <v>134.01</v>
      </c>
      <c r="V1580" s="5">
        <v>139.36000000000001</v>
      </c>
      <c r="W1580" s="5">
        <v>3208546</v>
      </c>
    </row>
    <row r="1581" spans="1:23" x14ac:dyDescent="0.3">
      <c r="A1581" s="6">
        <v>40619</v>
      </c>
      <c r="B1581" s="7">
        <v>0.66666666666666663</v>
      </c>
      <c r="C1581" s="5">
        <v>86.15</v>
      </c>
      <c r="D1581" s="5">
        <v>87.45</v>
      </c>
      <c r="E1581" s="5">
        <v>86</v>
      </c>
      <c r="F1581" s="5">
        <v>86.67</v>
      </c>
      <c r="G1581" s="5">
        <v>5070</v>
      </c>
      <c r="Q1581" s="6">
        <v>40574</v>
      </c>
      <c r="R1581" s="7">
        <v>0.66666666666666663</v>
      </c>
      <c r="S1581" s="5">
        <v>139.36000000000001</v>
      </c>
      <c r="T1581" s="5">
        <v>143.58000000000001</v>
      </c>
      <c r="U1581" s="5">
        <v>132.4</v>
      </c>
      <c r="V1581" s="5">
        <v>132.4</v>
      </c>
      <c r="W1581" s="5">
        <v>3775851</v>
      </c>
    </row>
    <row r="1582" spans="1:23" x14ac:dyDescent="0.3">
      <c r="A1582" s="6">
        <v>40620</v>
      </c>
      <c r="B1582" s="7">
        <v>0.66666666666666663</v>
      </c>
      <c r="C1582" s="5">
        <v>83.65</v>
      </c>
      <c r="D1582" s="5">
        <v>86</v>
      </c>
      <c r="E1582" s="5">
        <v>83</v>
      </c>
      <c r="F1582" s="5">
        <v>83</v>
      </c>
      <c r="G1582" s="5">
        <v>4018</v>
      </c>
      <c r="Q1582" s="6">
        <v>40575</v>
      </c>
      <c r="R1582" s="7">
        <v>0.66666666666666663</v>
      </c>
      <c r="S1582" s="5">
        <v>132.4</v>
      </c>
      <c r="T1582" s="5">
        <v>134.30000000000001</v>
      </c>
      <c r="U1582" s="5">
        <v>125.78</v>
      </c>
      <c r="V1582" s="5">
        <v>127.42</v>
      </c>
      <c r="W1582" s="5">
        <v>2967538</v>
      </c>
    </row>
    <row r="1583" spans="1:23" x14ac:dyDescent="0.3">
      <c r="A1583" s="6">
        <v>40623</v>
      </c>
      <c r="B1583" s="7">
        <v>0.66666666666666663</v>
      </c>
      <c r="C1583" s="5">
        <v>82</v>
      </c>
      <c r="D1583" s="5">
        <v>82.05</v>
      </c>
      <c r="E1583" s="5">
        <v>81.5</v>
      </c>
      <c r="F1583" s="5">
        <v>81.97</v>
      </c>
      <c r="G1583" s="5">
        <v>1510</v>
      </c>
      <c r="Q1583" s="6">
        <v>40576</v>
      </c>
      <c r="R1583" s="7">
        <v>0.66666666666666663</v>
      </c>
      <c r="S1583" s="5">
        <v>127.42</v>
      </c>
      <c r="T1583" s="5">
        <v>127.99</v>
      </c>
      <c r="U1583" s="5">
        <v>121.05</v>
      </c>
      <c r="V1583" s="5">
        <v>121.05</v>
      </c>
      <c r="W1583" s="5">
        <v>2047608</v>
      </c>
    </row>
    <row r="1584" spans="1:23" x14ac:dyDescent="0.3">
      <c r="A1584" s="6">
        <v>40626</v>
      </c>
      <c r="B1584" s="7">
        <v>0.66666666666666663</v>
      </c>
      <c r="C1584" s="5">
        <v>81.5</v>
      </c>
      <c r="D1584" s="5">
        <v>84</v>
      </c>
      <c r="E1584" s="5">
        <v>81.5</v>
      </c>
      <c r="F1584" s="5">
        <v>83.34</v>
      </c>
      <c r="G1584" s="5">
        <v>2649</v>
      </c>
      <c r="Q1584" s="6">
        <v>40577</v>
      </c>
      <c r="R1584" s="7">
        <v>0.66666666666666663</v>
      </c>
      <c r="S1584" s="5">
        <v>121.05</v>
      </c>
      <c r="T1584" s="5">
        <v>122.7</v>
      </c>
      <c r="U1584" s="5">
        <v>117.25</v>
      </c>
      <c r="V1584" s="5">
        <v>121.51</v>
      </c>
      <c r="W1584" s="5">
        <v>3468986</v>
      </c>
    </row>
    <row r="1585" spans="1:23" x14ac:dyDescent="0.3">
      <c r="A1585" s="6">
        <v>40627</v>
      </c>
      <c r="B1585" s="7">
        <v>0.66666666666666663</v>
      </c>
      <c r="C1585" s="5">
        <v>84.05</v>
      </c>
      <c r="D1585" s="5">
        <v>85.79</v>
      </c>
      <c r="E1585" s="5">
        <v>83</v>
      </c>
      <c r="F1585" s="5">
        <v>83.81</v>
      </c>
      <c r="G1585" s="5">
        <v>610</v>
      </c>
      <c r="Q1585" s="6">
        <v>40578</v>
      </c>
      <c r="R1585" s="7">
        <v>0.66666666666666663</v>
      </c>
      <c r="S1585" s="5">
        <v>121.51</v>
      </c>
      <c r="T1585" s="5">
        <v>122.7</v>
      </c>
      <c r="U1585" s="5">
        <v>120.61</v>
      </c>
      <c r="V1585" s="5">
        <v>121.05</v>
      </c>
      <c r="W1585" s="5">
        <v>901242</v>
      </c>
    </row>
    <row r="1586" spans="1:23" x14ac:dyDescent="0.3">
      <c r="A1586" s="6">
        <v>40630</v>
      </c>
      <c r="B1586" s="7">
        <v>0.66666666666666663</v>
      </c>
      <c r="C1586" s="5">
        <v>84.99</v>
      </c>
      <c r="D1586" s="5">
        <v>85</v>
      </c>
      <c r="E1586" s="5">
        <v>83.5</v>
      </c>
      <c r="F1586" s="5">
        <v>84.98</v>
      </c>
      <c r="G1586" s="5">
        <v>1637</v>
      </c>
      <c r="Q1586" s="6">
        <v>40581</v>
      </c>
      <c r="R1586" s="7">
        <v>0.66666666666666663</v>
      </c>
      <c r="S1586" s="5">
        <v>121.25</v>
      </c>
      <c r="T1586" s="5">
        <v>124.48</v>
      </c>
      <c r="U1586" s="5">
        <v>121.25</v>
      </c>
      <c r="V1586" s="5">
        <v>123.98</v>
      </c>
      <c r="W1586" s="5">
        <v>1506429</v>
      </c>
    </row>
    <row r="1587" spans="1:23" x14ac:dyDescent="0.3">
      <c r="A1587" s="6">
        <v>40631</v>
      </c>
      <c r="B1587" s="7">
        <v>0.66666666666666663</v>
      </c>
      <c r="C1587" s="5">
        <v>83.05</v>
      </c>
      <c r="D1587" s="5">
        <v>86.79</v>
      </c>
      <c r="E1587" s="5">
        <v>83.05</v>
      </c>
      <c r="F1587" s="5">
        <v>85.9</v>
      </c>
      <c r="G1587" s="5">
        <v>5538</v>
      </c>
      <c r="Q1587" s="6">
        <v>40582</v>
      </c>
      <c r="R1587" s="7">
        <v>0.66666666666666663</v>
      </c>
      <c r="S1587" s="5">
        <v>124.79</v>
      </c>
      <c r="T1587" s="5">
        <v>125.4</v>
      </c>
      <c r="U1587" s="5">
        <v>122.82</v>
      </c>
      <c r="V1587" s="5">
        <v>123.17</v>
      </c>
      <c r="W1587" s="5">
        <v>969088</v>
      </c>
    </row>
    <row r="1588" spans="1:23" x14ac:dyDescent="0.3">
      <c r="A1588" s="6">
        <v>40632</v>
      </c>
      <c r="B1588" s="7">
        <v>0.66666666666666663</v>
      </c>
      <c r="C1588" s="5">
        <v>85.8</v>
      </c>
      <c r="D1588" s="5">
        <v>86.79</v>
      </c>
      <c r="E1588" s="5">
        <v>85</v>
      </c>
      <c r="F1588" s="5">
        <v>85.94</v>
      </c>
      <c r="G1588" s="5">
        <v>2046</v>
      </c>
      <c r="Q1588" s="6">
        <v>40583</v>
      </c>
      <c r="R1588" s="7">
        <v>0.66666666666666663</v>
      </c>
      <c r="S1588" s="5">
        <v>123.49</v>
      </c>
      <c r="T1588" s="5">
        <v>123.5</v>
      </c>
      <c r="U1588" s="5">
        <v>120.7</v>
      </c>
      <c r="V1588" s="5">
        <v>121.11</v>
      </c>
      <c r="W1588" s="5">
        <v>510618</v>
      </c>
    </row>
    <row r="1589" spans="1:23" x14ac:dyDescent="0.3">
      <c r="A1589" s="6">
        <v>40633</v>
      </c>
      <c r="B1589" s="7">
        <v>0.66666666666666663</v>
      </c>
      <c r="C1589" s="5">
        <v>86.5</v>
      </c>
      <c r="D1589" s="5">
        <v>87.98</v>
      </c>
      <c r="E1589" s="5">
        <v>85</v>
      </c>
      <c r="F1589" s="5">
        <v>85</v>
      </c>
      <c r="G1589" s="5">
        <v>4905</v>
      </c>
      <c r="Q1589" s="6">
        <v>40584</v>
      </c>
      <c r="R1589" s="7">
        <v>0.66666666666666663</v>
      </c>
      <c r="S1589" s="5">
        <v>121.5</v>
      </c>
      <c r="T1589" s="5">
        <v>122.1</v>
      </c>
      <c r="U1589" s="5">
        <v>118.55</v>
      </c>
      <c r="V1589" s="5">
        <v>119.12</v>
      </c>
      <c r="W1589" s="5">
        <v>591598</v>
      </c>
    </row>
    <row r="1590" spans="1:23" x14ac:dyDescent="0.3">
      <c r="A1590" s="6">
        <v>40634</v>
      </c>
      <c r="B1590" s="7">
        <v>0.66666666666666663</v>
      </c>
      <c r="C1590" s="5">
        <v>86</v>
      </c>
      <c r="D1590" s="5">
        <v>86</v>
      </c>
      <c r="E1590" s="5">
        <v>83.55</v>
      </c>
      <c r="F1590" s="5">
        <v>85</v>
      </c>
      <c r="G1590" s="5">
        <v>217</v>
      </c>
      <c r="Q1590" s="6">
        <v>40585</v>
      </c>
      <c r="R1590" s="7">
        <v>0.66666666666666663</v>
      </c>
      <c r="S1590" s="5">
        <v>119</v>
      </c>
      <c r="T1590" s="5">
        <v>119.85</v>
      </c>
      <c r="U1590" s="5">
        <v>113.17</v>
      </c>
      <c r="V1590" s="5">
        <v>114.06</v>
      </c>
      <c r="W1590" s="5">
        <v>923793</v>
      </c>
    </row>
    <row r="1591" spans="1:23" x14ac:dyDescent="0.3">
      <c r="A1591" s="6">
        <v>40637</v>
      </c>
      <c r="B1591" s="7">
        <v>0.66666666666666663</v>
      </c>
      <c r="C1591" s="5">
        <v>85</v>
      </c>
      <c r="D1591" s="5">
        <v>85</v>
      </c>
      <c r="E1591" s="5">
        <v>84</v>
      </c>
      <c r="F1591" s="5">
        <v>84.24</v>
      </c>
      <c r="G1591" s="5">
        <v>555</v>
      </c>
      <c r="Q1591" s="6">
        <v>40588</v>
      </c>
      <c r="R1591" s="7">
        <v>0.66666666666666663</v>
      </c>
      <c r="S1591" s="5">
        <v>114.75</v>
      </c>
      <c r="T1591" s="5">
        <v>115.99</v>
      </c>
      <c r="U1591" s="5">
        <v>112.02</v>
      </c>
      <c r="V1591" s="5">
        <v>115.15</v>
      </c>
      <c r="W1591" s="5">
        <v>784866</v>
      </c>
    </row>
    <row r="1592" spans="1:23" x14ac:dyDescent="0.3">
      <c r="A1592" s="6">
        <v>40638</v>
      </c>
      <c r="B1592" s="7">
        <v>0.66666666666666663</v>
      </c>
      <c r="C1592" s="5">
        <v>84.97</v>
      </c>
      <c r="D1592" s="5">
        <v>85.3</v>
      </c>
      <c r="E1592" s="5">
        <v>83</v>
      </c>
      <c r="F1592" s="5">
        <v>84.28</v>
      </c>
      <c r="G1592" s="5">
        <v>3842</v>
      </c>
      <c r="Q1592" s="6">
        <v>40589</v>
      </c>
      <c r="R1592" s="7">
        <v>0.66666666666666663</v>
      </c>
      <c r="S1592" s="5">
        <v>115.45</v>
      </c>
      <c r="T1592" s="5">
        <v>118.28</v>
      </c>
      <c r="U1592" s="5">
        <v>115.45</v>
      </c>
      <c r="V1592" s="5">
        <v>116.91</v>
      </c>
      <c r="W1592" s="5">
        <v>1044012</v>
      </c>
    </row>
    <row r="1593" spans="1:23" x14ac:dyDescent="0.3">
      <c r="A1593" s="6">
        <v>40639</v>
      </c>
      <c r="B1593" s="7">
        <v>0.66666666666666663</v>
      </c>
      <c r="C1593" s="5">
        <v>84</v>
      </c>
      <c r="D1593" s="5">
        <v>85</v>
      </c>
      <c r="E1593" s="5">
        <v>84</v>
      </c>
      <c r="F1593" s="5">
        <v>84.71</v>
      </c>
      <c r="G1593" s="5">
        <v>1255</v>
      </c>
      <c r="Q1593" s="6">
        <v>40591</v>
      </c>
      <c r="R1593" s="7">
        <v>0.66666666666666663</v>
      </c>
      <c r="S1593" s="5">
        <v>117.5</v>
      </c>
      <c r="T1593" s="5">
        <v>117.8</v>
      </c>
      <c r="U1593" s="5">
        <v>115.1</v>
      </c>
      <c r="V1593" s="5">
        <v>115.74</v>
      </c>
      <c r="W1593" s="5">
        <v>389769</v>
      </c>
    </row>
    <row r="1594" spans="1:23" x14ac:dyDescent="0.3">
      <c r="A1594" s="6">
        <v>40640</v>
      </c>
      <c r="B1594" s="7">
        <v>0.66666666666666663</v>
      </c>
      <c r="C1594" s="5">
        <v>84.85</v>
      </c>
      <c r="D1594" s="5">
        <v>84.9</v>
      </c>
      <c r="E1594" s="5">
        <v>84</v>
      </c>
      <c r="F1594" s="5">
        <v>84.57</v>
      </c>
      <c r="G1594" s="5">
        <v>3780</v>
      </c>
      <c r="Q1594" s="6">
        <v>40592</v>
      </c>
      <c r="R1594" s="7">
        <v>0.66666666666666663</v>
      </c>
      <c r="S1594" s="5">
        <v>115.72</v>
      </c>
      <c r="T1594" s="5">
        <v>116.6</v>
      </c>
      <c r="U1594" s="5">
        <v>114.1</v>
      </c>
      <c r="V1594" s="5">
        <v>114.95</v>
      </c>
      <c r="W1594" s="5">
        <v>333677</v>
      </c>
    </row>
    <row r="1595" spans="1:23" x14ac:dyDescent="0.3">
      <c r="A1595" s="6">
        <v>40641</v>
      </c>
      <c r="B1595" s="7">
        <v>0.66666666666666663</v>
      </c>
      <c r="C1595" s="5">
        <v>85</v>
      </c>
      <c r="D1595" s="5">
        <v>85.94</v>
      </c>
      <c r="E1595" s="5">
        <v>84.5</v>
      </c>
      <c r="F1595" s="5">
        <v>84.5</v>
      </c>
      <c r="G1595" s="5">
        <v>1500</v>
      </c>
      <c r="Q1595" s="6">
        <v>40595</v>
      </c>
      <c r="R1595" s="7">
        <v>0.66666666666666663</v>
      </c>
      <c r="S1595" s="5">
        <v>115.95</v>
      </c>
      <c r="T1595" s="5">
        <v>116</v>
      </c>
      <c r="U1595" s="5">
        <v>114.4</v>
      </c>
      <c r="V1595" s="5">
        <v>114.54</v>
      </c>
      <c r="W1595" s="5">
        <v>199060</v>
      </c>
    </row>
    <row r="1596" spans="1:23" x14ac:dyDescent="0.3">
      <c r="A1596" s="6">
        <v>40644</v>
      </c>
      <c r="B1596" s="7">
        <v>0.66666666666666663</v>
      </c>
      <c r="C1596" s="5">
        <v>85</v>
      </c>
      <c r="D1596" s="5">
        <v>85.45</v>
      </c>
      <c r="E1596" s="5">
        <v>84.5</v>
      </c>
      <c r="F1596" s="5">
        <v>84.63</v>
      </c>
      <c r="G1596" s="5">
        <v>1833</v>
      </c>
      <c r="Q1596" s="6">
        <v>40596</v>
      </c>
      <c r="R1596" s="7">
        <v>0.66666666666666663</v>
      </c>
      <c r="S1596" s="5">
        <v>114.8</v>
      </c>
      <c r="T1596" s="5">
        <v>114.83</v>
      </c>
      <c r="U1596" s="5">
        <v>108.82</v>
      </c>
      <c r="V1596" s="5">
        <v>108.83</v>
      </c>
      <c r="W1596" s="5">
        <v>629614</v>
      </c>
    </row>
    <row r="1597" spans="1:23" x14ac:dyDescent="0.3">
      <c r="A1597" s="6">
        <v>40645</v>
      </c>
      <c r="B1597" s="7">
        <v>0.66666666666666663</v>
      </c>
      <c r="C1597" s="5">
        <v>84.05</v>
      </c>
      <c r="D1597" s="5">
        <v>85.5</v>
      </c>
      <c r="E1597" s="5">
        <v>84.05</v>
      </c>
      <c r="F1597" s="5">
        <v>85</v>
      </c>
      <c r="G1597" s="5">
        <v>1159</v>
      </c>
      <c r="Q1597" s="6">
        <v>40597</v>
      </c>
      <c r="R1597" s="7">
        <v>0.66666666666666663</v>
      </c>
      <c r="S1597" s="5">
        <v>109</v>
      </c>
      <c r="T1597" s="5">
        <v>109</v>
      </c>
      <c r="U1597" s="5">
        <v>103.39</v>
      </c>
      <c r="V1597" s="5">
        <v>103.75</v>
      </c>
      <c r="W1597" s="5">
        <v>602589</v>
      </c>
    </row>
    <row r="1598" spans="1:23" x14ac:dyDescent="0.3">
      <c r="A1598" s="6">
        <v>40646</v>
      </c>
      <c r="B1598" s="7">
        <v>0.66666666666666663</v>
      </c>
      <c r="C1598" s="5">
        <v>85</v>
      </c>
      <c r="D1598" s="5">
        <v>86.5</v>
      </c>
      <c r="E1598" s="5">
        <v>85</v>
      </c>
      <c r="F1598" s="5">
        <v>86.27</v>
      </c>
      <c r="G1598" s="5">
        <v>2550</v>
      </c>
      <c r="Q1598" s="6">
        <v>40598</v>
      </c>
      <c r="R1598" s="7">
        <v>0.66666666666666663</v>
      </c>
      <c r="S1598" s="5">
        <v>102.7</v>
      </c>
      <c r="T1598" s="5">
        <v>106.45</v>
      </c>
      <c r="U1598" s="5">
        <v>102.7</v>
      </c>
      <c r="V1598" s="5">
        <v>103.69</v>
      </c>
      <c r="W1598" s="5">
        <v>510293</v>
      </c>
    </row>
    <row r="1599" spans="1:23" x14ac:dyDescent="0.3">
      <c r="A1599" s="6">
        <v>40647</v>
      </c>
      <c r="B1599" s="7">
        <v>0.66666666666666663</v>
      </c>
      <c r="C1599" s="5">
        <v>84.55</v>
      </c>
      <c r="D1599" s="5">
        <v>87.94</v>
      </c>
      <c r="E1599" s="5">
        <v>84.55</v>
      </c>
      <c r="F1599" s="5">
        <v>86.01</v>
      </c>
      <c r="G1599" s="5">
        <v>1763</v>
      </c>
      <c r="Q1599" s="6">
        <v>40599</v>
      </c>
      <c r="R1599" s="7">
        <v>0.66666666666666663</v>
      </c>
      <c r="S1599" s="5">
        <v>104.15</v>
      </c>
      <c r="T1599" s="5">
        <v>104.74</v>
      </c>
      <c r="U1599" s="5">
        <v>98.51</v>
      </c>
      <c r="V1599" s="5">
        <v>98.54</v>
      </c>
      <c r="W1599" s="5">
        <v>589825</v>
      </c>
    </row>
    <row r="1600" spans="1:23" x14ac:dyDescent="0.3">
      <c r="A1600" s="6">
        <v>40648</v>
      </c>
      <c r="B1600" s="7">
        <v>0.66666666666666663</v>
      </c>
      <c r="C1600" s="5">
        <v>86</v>
      </c>
      <c r="D1600" s="5">
        <v>86.4</v>
      </c>
      <c r="E1600" s="5">
        <v>85.7</v>
      </c>
      <c r="F1600" s="5">
        <v>86.06</v>
      </c>
      <c r="G1600" s="5">
        <v>1293</v>
      </c>
      <c r="Q1600" s="6">
        <v>40602</v>
      </c>
      <c r="R1600" s="7">
        <v>0.66666666666666663</v>
      </c>
      <c r="S1600" s="5">
        <v>98.5</v>
      </c>
      <c r="T1600" s="5">
        <v>103.46</v>
      </c>
      <c r="U1600" s="5">
        <v>98.25</v>
      </c>
      <c r="V1600" s="5">
        <v>103.46</v>
      </c>
      <c r="W1600" s="5">
        <v>779343</v>
      </c>
    </row>
    <row r="1601" spans="1:23" x14ac:dyDescent="0.3">
      <c r="A1601" s="6">
        <v>40651</v>
      </c>
      <c r="B1601" s="7">
        <v>0.66666666666666663</v>
      </c>
      <c r="C1601" s="5">
        <v>85.21</v>
      </c>
      <c r="D1601" s="5">
        <v>85.21</v>
      </c>
      <c r="E1601" s="5">
        <v>85</v>
      </c>
      <c r="F1601" s="5">
        <v>85.11</v>
      </c>
      <c r="G1601" s="5">
        <v>845</v>
      </c>
      <c r="Q1601" s="6">
        <v>40603</v>
      </c>
      <c r="R1601" s="7">
        <v>0.66666666666666663</v>
      </c>
      <c r="S1601" s="5">
        <v>105.01</v>
      </c>
      <c r="T1601" s="5">
        <v>108.63</v>
      </c>
      <c r="U1601" s="5">
        <v>105.01</v>
      </c>
      <c r="V1601" s="5">
        <v>108.63</v>
      </c>
      <c r="W1601" s="5">
        <v>938176</v>
      </c>
    </row>
    <row r="1602" spans="1:23" x14ac:dyDescent="0.3">
      <c r="A1602" s="6">
        <v>40652</v>
      </c>
      <c r="B1602" s="7">
        <v>0.66666666666666663</v>
      </c>
      <c r="C1602" s="5">
        <v>85.99</v>
      </c>
      <c r="D1602" s="5">
        <v>86.2</v>
      </c>
      <c r="E1602" s="5">
        <v>85.17</v>
      </c>
      <c r="F1602" s="5">
        <v>86.05</v>
      </c>
      <c r="G1602" s="5">
        <v>705</v>
      </c>
      <c r="Q1602" s="6">
        <v>40604</v>
      </c>
      <c r="R1602" s="7">
        <v>0.66666666666666663</v>
      </c>
      <c r="S1602" s="5">
        <v>111.03</v>
      </c>
      <c r="T1602" s="5">
        <v>112.98</v>
      </c>
      <c r="U1602" s="5">
        <v>108.7</v>
      </c>
      <c r="V1602" s="5">
        <v>111.69</v>
      </c>
      <c r="W1602" s="5">
        <v>2213878</v>
      </c>
    </row>
    <row r="1603" spans="1:23" x14ac:dyDescent="0.3">
      <c r="A1603" s="6">
        <v>40653</v>
      </c>
      <c r="B1603" s="7">
        <v>0.66666666666666663</v>
      </c>
      <c r="C1603" s="5">
        <v>86.25</v>
      </c>
      <c r="D1603" s="5">
        <v>87.99</v>
      </c>
      <c r="E1603" s="5">
        <v>86</v>
      </c>
      <c r="F1603" s="5">
        <v>86.14</v>
      </c>
      <c r="G1603" s="5">
        <v>4804</v>
      </c>
      <c r="Q1603" s="6">
        <v>40609</v>
      </c>
      <c r="R1603" s="7">
        <v>0.66666666666666663</v>
      </c>
      <c r="S1603" s="5">
        <v>119.99</v>
      </c>
      <c r="T1603" s="5">
        <v>122.88</v>
      </c>
      <c r="U1603" s="5">
        <v>118</v>
      </c>
      <c r="V1603" s="5">
        <v>119.16</v>
      </c>
      <c r="W1603" s="5">
        <v>1173827</v>
      </c>
    </row>
    <row r="1604" spans="1:23" x14ac:dyDescent="0.3">
      <c r="A1604" s="6">
        <v>40654</v>
      </c>
      <c r="B1604" s="7">
        <v>0.66666666666666663</v>
      </c>
      <c r="C1604" s="5">
        <v>86.5</v>
      </c>
      <c r="D1604" s="5">
        <v>87.98</v>
      </c>
      <c r="E1604" s="5">
        <v>86.5</v>
      </c>
      <c r="F1604" s="5">
        <v>87.98</v>
      </c>
      <c r="G1604" s="5">
        <v>4560</v>
      </c>
      <c r="Q1604" s="6">
        <v>40610</v>
      </c>
      <c r="R1604" s="7">
        <v>0.66666666666666663</v>
      </c>
      <c r="S1604" s="5">
        <v>118.26</v>
      </c>
      <c r="T1604" s="5">
        <v>121.6</v>
      </c>
      <c r="U1604" s="5">
        <v>117.5</v>
      </c>
      <c r="V1604" s="5">
        <v>120.89</v>
      </c>
      <c r="W1604" s="5">
        <v>943713</v>
      </c>
    </row>
    <row r="1605" spans="1:23" x14ac:dyDescent="0.3">
      <c r="A1605" s="6">
        <v>40655</v>
      </c>
      <c r="B1605" s="7">
        <v>0.66666666666666663</v>
      </c>
      <c r="C1605" s="5">
        <v>84.11</v>
      </c>
      <c r="D1605" s="5">
        <v>90</v>
      </c>
      <c r="E1605" s="5">
        <v>84.11</v>
      </c>
      <c r="F1605" s="5">
        <v>89.5</v>
      </c>
      <c r="G1605" s="5">
        <v>5858</v>
      </c>
      <c r="Q1605" s="6">
        <v>40611</v>
      </c>
      <c r="R1605" s="7">
        <v>0.66666666666666663</v>
      </c>
      <c r="S1605" s="5">
        <v>121.65</v>
      </c>
      <c r="T1605" s="5">
        <v>124.25</v>
      </c>
      <c r="U1605" s="5">
        <v>119.1</v>
      </c>
      <c r="V1605" s="5">
        <v>120.09</v>
      </c>
      <c r="W1605" s="5">
        <v>2395016</v>
      </c>
    </row>
    <row r="1606" spans="1:23" x14ac:dyDescent="0.3">
      <c r="A1606" s="6">
        <v>40658</v>
      </c>
      <c r="B1606" s="7">
        <v>0.66666666666666663</v>
      </c>
      <c r="C1606" s="5">
        <v>90.5</v>
      </c>
      <c r="D1606" s="5">
        <v>93.5</v>
      </c>
      <c r="E1606" s="5">
        <v>90.25</v>
      </c>
      <c r="F1606" s="5">
        <v>91.63</v>
      </c>
      <c r="G1606" s="5">
        <v>18816</v>
      </c>
      <c r="Q1606" s="6">
        <v>40612</v>
      </c>
      <c r="R1606" s="7">
        <v>0.66666666666666663</v>
      </c>
      <c r="S1606" s="5">
        <v>120.35</v>
      </c>
      <c r="T1606" s="5">
        <v>122.25</v>
      </c>
      <c r="U1606" s="5">
        <v>119.75</v>
      </c>
      <c r="V1606" s="5">
        <v>120.09</v>
      </c>
      <c r="W1606" s="5">
        <v>1490534</v>
      </c>
    </row>
    <row r="1607" spans="1:23" x14ac:dyDescent="0.3">
      <c r="A1607" s="6">
        <v>40659</v>
      </c>
      <c r="B1607" s="7">
        <v>0.66666666666666663</v>
      </c>
      <c r="C1607" s="5">
        <v>92.95</v>
      </c>
      <c r="D1607" s="5">
        <v>92.95</v>
      </c>
      <c r="E1607" s="5">
        <v>91</v>
      </c>
      <c r="F1607" s="5">
        <v>92.06</v>
      </c>
      <c r="G1607" s="5">
        <v>2925</v>
      </c>
      <c r="Q1607" s="6">
        <v>40613</v>
      </c>
      <c r="R1607" s="7">
        <v>0.66666666666666663</v>
      </c>
      <c r="S1607" s="5">
        <v>120</v>
      </c>
      <c r="T1607" s="5">
        <v>120</v>
      </c>
      <c r="U1607" s="5">
        <v>118</v>
      </c>
      <c r="V1607" s="5">
        <v>118.87</v>
      </c>
      <c r="W1607" s="5">
        <v>587843</v>
      </c>
    </row>
    <row r="1608" spans="1:23" x14ac:dyDescent="0.3">
      <c r="A1608" s="6">
        <v>40660</v>
      </c>
      <c r="B1608" s="7">
        <v>0.66666666666666663</v>
      </c>
      <c r="C1608" s="5">
        <v>92.06</v>
      </c>
      <c r="D1608" s="5">
        <v>93.75</v>
      </c>
      <c r="E1608" s="5">
        <v>92.06</v>
      </c>
      <c r="F1608" s="5">
        <v>93.01</v>
      </c>
      <c r="G1608" s="5">
        <v>3468</v>
      </c>
      <c r="Q1608" s="6">
        <v>40616</v>
      </c>
      <c r="R1608" s="7">
        <v>0.66666666666666663</v>
      </c>
      <c r="S1608" s="5">
        <v>119</v>
      </c>
      <c r="T1608" s="5">
        <v>119.74</v>
      </c>
      <c r="U1608" s="5">
        <v>118.1</v>
      </c>
      <c r="V1608" s="5">
        <v>118.47</v>
      </c>
      <c r="W1608" s="5">
        <v>207856</v>
      </c>
    </row>
    <row r="1609" spans="1:23" x14ac:dyDescent="0.3">
      <c r="A1609" s="6">
        <v>40665</v>
      </c>
      <c r="B1609" s="7">
        <v>0.66666666666666663</v>
      </c>
      <c r="C1609" s="5">
        <v>92</v>
      </c>
      <c r="D1609" s="5">
        <v>93</v>
      </c>
      <c r="E1609" s="5">
        <v>91</v>
      </c>
      <c r="F1609" s="5">
        <v>92.14</v>
      </c>
      <c r="G1609" s="5">
        <v>6284</v>
      </c>
      <c r="Q1609" s="6">
        <v>40617</v>
      </c>
      <c r="R1609" s="7">
        <v>0.66666666666666663</v>
      </c>
      <c r="S1609" s="5">
        <v>119.1</v>
      </c>
      <c r="T1609" s="5">
        <v>119.3</v>
      </c>
      <c r="U1609" s="5">
        <v>115</v>
      </c>
      <c r="V1609" s="5">
        <v>116.56</v>
      </c>
      <c r="W1609" s="5">
        <v>677225</v>
      </c>
    </row>
    <row r="1610" spans="1:23" x14ac:dyDescent="0.3">
      <c r="A1610" s="6">
        <v>40666</v>
      </c>
      <c r="B1610" s="7">
        <v>0.66666666666666663</v>
      </c>
      <c r="C1610" s="5">
        <v>91.05</v>
      </c>
      <c r="D1610" s="5">
        <v>92</v>
      </c>
      <c r="E1610" s="5">
        <v>90</v>
      </c>
      <c r="F1610" s="5">
        <v>91.1</v>
      </c>
      <c r="G1610" s="5">
        <v>4780</v>
      </c>
      <c r="Q1610" s="6">
        <v>40618</v>
      </c>
      <c r="R1610" s="7">
        <v>0.66666666666666663</v>
      </c>
      <c r="S1610" s="5">
        <v>117.6</v>
      </c>
      <c r="T1610" s="5">
        <v>122.38</v>
      </c>
      <c r="U1610" s="5">
        <v>116.82</v>
      </c>
      <c r="V1610" s="5">
        <v>122.33</v>
      </c>
      <c r="W1610" s="5">
        <v>1860524</v>
      </c>
    </row>
    <row r="1611" spans="1:23" x14ac:dyDescent="0.3">
      <c r="A1611" s="6">
        <v>40667</v>
      </c>
      <c r="B1611" s="7">
        <v>0.66666666666666663</v>
      </c>
      <c r="C1611" s="5">
        <v>91</v>
      </c>
      <c r="D1611" s="5">
        <v>91</v>
      </c>
      <c r="E1611" s="5">
        <v>87.26</v>
      </c>
      <c r="F1611" s="5">
        <v>89.93</v>
      </c>
      <c r="G1611" s="5">
        <v>6072</v>
      </c>
      <c r="Q1611" s="6">
        <v>40619</v>
      </c>
      <c r="R1611" s="7">
        <v>0.66666666666666663</v>
      </c>
      <c r="S1611" s="5">
        <v>123.75</v>
      </c>
      <c r="T1611" s="5">
        <v>125.25</v>
      </c>
      <c r="U1611" s="5">
        <v>122.39</v>
      </c>
      <c r="V1611" s="5">
        <v>123.88</v>
      </c>
      <c r="W1611" s="5">
        <v>1919166</v>
      </c>
    </row>
    <row r="1612" spans="1:23" x14ac:dyDescent="0.3">
      <c r="A1612" s="6">
        <v>40668</v>
      </c>
      <c r="B1612" s="7">
        <v>0.66666666666666663</v>
      </c>
      <c r="C1612" s="5">
        <v>91.25</v>
      </c>
      <c r="D1612" s="5">
        <v>91.98</v>
      </c>
      <c r="E1612" s="5">
        <v>90.5</v>
      </c>
      <c r="F1612" s="5">
        <v>91.74</v>
      </c>
      <c r="G1612" s="5">
        <v>4096</v>
      </c>
      <c r="Q1612" s="6">
        <v>40620</v>
      </c>
      <c r="R1612" s="7">
        <v>0.66666666666666663</v>
      </c>
      <c r="S1612" s="5">
        <v>124.02</v>
      </c>
      <c r="T1612" s="5">
        <v>124.45</v>
      </c>
      <c r="U1612" s="5">
        <v>119.6</v>
      </c>
      <c r="V1612" s="5">
        <v>120.08</v>
      </c>
      <c r="W1612" s="5">
        <v>1028499</v>
      </c>
    </row>
    <row r="1613" spans="1:23" x14ac:dyDescent="0.3">
      <c r="A1613" s="6">
        <v>40669</v>
      </c>
      <c r="B1613" s="7">
        <v>0.66666666666666663</v>
      </c>
      <c r="C1613" s="5">
        <v>89.5</v>
      </c>
      <c r="D1613" s="5">
        <v>92</v>
      </c>
      <c r="E1613" s="5">
        <v>89.5</v>
      </c>
      <c r="F1613" s="5">
        <v>91.99</v>
      </c>
      <c r="G1613" s="5">
        <v>2555</v>
      </c>
      <c r="Q1613" s="6">
        <v>40623</v>
      </c>
      <c r="R1613" s="7">
        <v>0.66666666666666663</v>
      </c>
      <c r="S1613" s="5">
        <v>119.97</v>
      </c>
      <c r="T1613" s="5">
        <v>119.97</v>
      </c>
      <c r="U1613" s="5">
        <v>117</v>
      </c>
      <c r="V1613" s="5">
        <v>117.98</v>
      </c>
      <c r="W1613" s="5">
        <v>597124</v>
      </c>
    </row>
    <row r="1614" spans="1:23" x14ac:dyDescent="0.3">
      <c r="A1614" s="6">
        <v>40672</v>
      </c>
      <c r="B1614" s="7">
        <v>0.66666666666666663</v>
      </c>
      <c r="C1614" s="5">
        <v>91</v>
      </c>
      <c r="D1614" s="5">
        <v>92.75</v>
      </c>
      <c r="E1614" s="5">
        <v>91</v>
      </c>
      <c r="F1614" s="5">
        <v>91.5</v>
      </c>
      <c r="G1614" s="5">
        <v>3430</v>
      </c>
      <c r="Q1614" s="6">
        <v>40626</v>
      </c>
      <c r="R1614" s="7">
        <v>0.66666666666666663</v>
      </c>
      <c r="S1614" s="5">
        <v>122.02</v>
      </c>
      <c r="T1614" s="5">
        <v>123.3</v>
      </c>
      <c r="U1614" s="5">
        <v>121.26</v>
      </c>
      <c r="V1614" s="5">
        <v>121.97</v>
      </c>
      <c r="W1614" s="5">
        <v>1116699</v>
      </c>
    </row>
    <row r="1615" spans="1:23" x14ac:dyDescent="0.3">
      <c r="A1615" s="6">
        <v>40673</v>
      </c>
      <c r="B1615" s="7">
        <v>0.66666666666666663</v>
      </c>
      <c r="C1615" s="5">
        <v>91</v>
      </c>
      <c r="D1615" s="5">
        <v>91.75</v>
      </c>
      <c r="E1615" s="5">
        <v>90.65</v>
      </c>
      <c r="F1615" s="5">
        <v>90.68</v>
      </c>
      <c r="G1615" s="5">
        <v>3406</v>
      </c>
      <c r="Q1615" s="6">
        <v>40627</v>
      </c>
      <c r="R1615" s="7">
        <v>0.66666666666666663</v>
      </c>
      <c r="S1615" s="5">
        <v>122.6</v>
      </c>
      <c r="T1615" s="5">
        <v>123</v>
      </c>
      <c r="U1615" s="5">
        <v>120.39</v>
      </c>
      <c r="V1615" s="5">
        <v>120.67</v>
      </c>
      <c r="W1615" s="5">
        <v>472744</v>
      </c>
    </row>
    <row r="1616" spans="1:23" x14ac:dyDescent="0.3">
      <c r="A1616" s="6">
        <v>40674</v>
      </c>
      <c r="B1616" s="7">
        <v>0.66666666666666663</v>
      </c>
      <c r="C1616" s="5">
        <v>91.5</v>
      </c>
      <c r="D1616" s="5">
        <v>91.9</v>
      </c>
      <c r="E1616" s="5">
        <v>91</v>
      </c>
      <c r="F1616" s="5">
        <v>91.25</v>
      </c>
      <c r="G1616" s="5">
        <v>7236</v>
      </c>
      <c r="Q1616" s="6">
        <v>40630</v>
      </c>
      <c r="R1616" s="7">
        <v>0.66666666666666663</v>
      </c>
      <c r="S1616" s="5">
        <v>120.65</v>
      </c>
      <c r="T1616" s="5">
        <v>121.45</v>
      </c>
      <c r="U1616" s="5">
        <v>119.49</v>
      </c>
      <c r="V1616" s="5">
        <v>119.8</v>
      </c>
      <c r="W1616" s="5">
        <v>388659</v>
      </c>
    </row>
    <row r="1617" spans="1:23" x14ac:dyDescent="0.3">
      <c r="A1617" s="6">
        <v>40676</v>
      </c>
      <c r="B1617" s="7">
        <v>0.66666666666666663</v>
      </c>
      <c r="C1617" s="5">
        <v>91.6</v>
      </c>
      <c r="D1617" s="5">
        <v>91.6</v>
      </c>
      <c r="E1617" s="5">
        <v>91</v>
      </c>
      <c r="F1617" s="5">
        <v>91</v>
      </c>
      <c r="G1617" s="5">
        <v>601</v>
      </c>
      <c r="Q1617" s="6">
        <v>40631</v>
      </c>
      <c r="R1617" s="7">
        <v>0.66666666666666663</v>
      </c>
      <c r="S1617" s="5">
        <v>120.4</v>
      </c>
      <c r="T1617" s="5">
        <v>125.5</v>
      </c>
      <c r="U1617" s="5">
        <v>120</v>
      </c>
      <c r="V1617" s="5">
        <v>125.07</v>
      </c>
      <c r="W1617" s="5">
        <v>2802310</v>
      </c>
    </row>
    <row r="1618" spans="1:23" x14ac:dyDescent="0.3">
      <c r="A1618" s="6">
        <v>40679</v>
      </c>
      <c r="B1618" s="7">
        <v>0.66666666666666663</v>
      </c>
      <c r="C1618" s="5">
        <v>90</v>
      </c>
      <c r="D1618" s="5">
        <v>91.39</v>
      </c>
      <c r="E1618" s="5">
        <v>88.75</v>
      </c>
      <c r="F1618" s="5">
        <v>88.8</v>
      </c>
      <c r="G1618" s="5">
        <v>601</v>
      </c>
      <c r="Q1618" s="6">
        <v>40632</v>
      </c>
      <c r="R1618" s="7">
        <v>0.66666666666666663</v>
      </c>
      <c r="S1618" s="5">
        <v>125.9</v>
      </c>
      <c r="T1618" s="5">
        <v>126</v>
      </c>
      <c r="U1618" s="5">
        <v>123.46</v>
      </c>
      <c r="V1618" s="5">
        <v>124.96</v>
      </c>
      <c r="W1618" s="5">
        <v>963139</v>
      </c>
    </row>
    <row r="1619" spans="1:23" x14ac:dyDescent="0.3">
      <c r="A1619" s="6">
        <v>40680</v>
      </c>
      <c r="B1619" s="7">
        <v>0.66666666666666663</v>
      </c>
      <c r="C1619" s="5">
        <v>91</v>
      </c>
      <c r="D1619" s="5">
        <v>91.3</v>
      </c>
      <c r="E1619" s="5">
        <v>91</v>
      </c>
      <c r="F1619" s="5">
        <v>91.05</v>
      </c>
      <c r="G1619" s="5">
        <v>3100</v>
      </c>
      <c r="Q1619" s="6">
        <v>40633</v>
      </c>
      <c r="R1619" s="7">
        <v>0.66666666666666663</v>
      </c>
      <c r="S1619" s="5">
        <v>125.49</v>
      </c>
      <c r="T1619" s="5">
        <v>126.21</v>
      </c>
      <c r="U1619" s="5">
        <v>123.2</v>
      </c>
      <c r="V1619" s="5">
        <v>123.72</v>
      </c>
      <c r="W1619" s="5">
        <v>935369</v>
      </c>
    </row>
    <row r="1620" spans="1:23" x14ac:dyDescent="0.3">
      <c r="A1620" s="6">
        <v>40681</v>
      </c>
      <c r="B1620" s="7">
        <v>0.66666666666666663</v>
      </c>
      <c r="C1620" s="5">
        <v>91.5</v>
      </c>
      <c r="D1620" s="5">
        <v>91.99</v>
      </c>
      <c r="E1620" s="5">
        <v>91.25</v>
      </c>
      <c r="F1620" s="5">
        <v>91.26</v>
      </c>
      <c r="G1620" s="5">
        <v>857</v>
      </c>
      <c r="Q1620" s="6">
        <v>40634</v>
      </c>
      <c r="R1620" s="7">
        <v>0.66666666666666663</v>
      </c>
      <c r="S1620" s="5">
        <v>124.48</v>
      </c>
      <c r="T1620" s="5">
        <v>124.94</v>
      </c>
      <c r="U1620" s="5">
        <v>122.6</v>
      </c>
      <c r="V1620" s="5">
        <v>122.93</v>
      </c>
      <c r="W1620" s="5">
        <v>473623</v>
      </c>
    </row>
    <row r="1621" spans="1:23" x14ac:dyDescent="0.3">
      <c r="A1621" s="6">
        <v>40682</v>
      </c>
      <c r="B1621" s="7">
        <v>0.66666666666666663</v>
      </c>
      <c r="C1621" s="5">
        <v>90.55</v>
      </c>
      <c r="D1621" s="5">
        <v>92.01</v>
      </c>
      <c r="E1621" s="5">
        <v>90.55</v>
      </c>
      <c r="F1621" s="5">
        <v>91.78</v>
      </c>
      <c r="G1621" s="5">
        <v>613</v>
      </c>
      <c r="Q1621" s="6">
        <v>40637</v>
      </c>
      <c r="R1621" s="7">
        <v>0.66666666666666663</v>
      </c>
      <c r="S1621" s="5">
        <v>123.5</v>
      </c>
      <c r="T1621" s="5">
        <v>124.66</v>
      </c>
      <c r="U1621" s="5">
        <v>122.63</v>
      </c>
      <c r="V1621" s="5">
        <v>122.9</v>
      </c>
      <c r="W1621" s="5">
        <v>888377</v>
      </c>
    </row>
    <row r="1622" spans="1:23" x14ac:dyDescent="0.3">
      <c r="A1622" s="6">
        <v>40683</v>
      </c>
      <c r="B1622" s="7">
        <v>0.66666666666666663</v>
      </c>
      <c r="C1622" s="5">
        <v>90.49</v>
      </c>
      <c r="D1622" s="5">
        <v>92</v>
      </c>
      <c r="E1622" s="5">
        <v>90.49</v>
      </c>
      <c r="F1622" s="5">
        <v>91.66</v>
      </c>
      <c r="G1622" s="5">
        <v>11002</v>
      </c>
      <c r="Q1622" s="6">
        <v>40638</v>
      </c>
      <c r="R1622" s="7">
        <v>0.66666666666666663</v>
      </c>
      <c r="S1622" s="5">
        <v>123.39</v>
      </c>
      <c r="T1622" s="5">
        <v>124.39</v>
      </c>
      <c r="U1622" s="5">
        <v>122.4</v>
      </c>
      <c r="V1622" s="5">
        <v>124.02</v>
      </c>
      <c r="W1622" s="5">
        <v>819802</v>
      </c>
    </row>
    <row r="1623" spans="1:23" x14ac:dyDescent="0.3">
      <c r="A1623" s="6">
        <v>40686</v>
      </c>
      <c r="B1623" s="7">
        <v>0.66666666666666663</v>
      </c>
      <c r="C1623" s="5">
        <v>92.2</v>
      </c>
      <c r="D1623" s="5">
        <v>93</v>
      </c>
      <c r="E1623" s="5">
        <v>91.75</v>
      </c>
      <c r="F1623" s="5">
        <v>91.95</v>
      </c>
      <c r="G1623" s="5">
        <v>670</v>
      </c>
      <c r="Q1623" s="6">
        <v>40639</v>
      </c>
      <c r="R1623" s="7">
        <v>0.66666666666666663</v>
      </c>
      <c r="S1623" s="5">
        <v>124.6</v>
      </c>
      <c r="T1623" s="5">
        <v>126.74</v>
      </c>
      <c r="U1623" s="5">
        <v>124.6</v>
      </c>
      <c r="V1623" s="5">
        <v>125.27</v>
      </c>
      <c r="W1623" s="5">
        <v>1771335</v>
      </c>
    </row>
    <row r="1624" spans="1:23" x14ac:dyDescent="0.3">
      <c r="A1624" s="6">
        <v>40687</v>
      </c>
      <c r="B1624" s="7">
        <v>0.66666666666666663</v>
      </c>
      <c r="C1624" s="5">
        <v>92</v>
      </c>
      <c r="D1624" s="5">
        <v>93</v>
      </c>
      <c r="E1624" s="5">
        <v>92</v>
      </c>
      <c r="F1624" s="5">
        <v>92.99</v>
      </c>
      <c r="G1624" s="5">
        <v>2014</v>
      </c>
      <c r="Q1624" s="6">
        <v>40640</v>
      </c>
      <c r="R1624" s="7">
        <v>0.66666666666666663</v>
      </c>
      <c r="S1624" s="5">
        <v>125.74</v>
      </c>
      <c r="T1624" s="5">
        <v>129.1</v>
      </c>
      <c r="U1624" s="5">
        <v>124.71</v>
      </c>
      <c r="V1624" s="5">
        <v>126.9</v>
      </c>
      <c r="W1624" s="5">
        <v>2352601</v>
      </c>
    </row>
    <row r="1625" spans="1:23" x14ac:dyDescent="0.3">
      <c r="A1625" s="6">
        <v>40688</v>
      </c>
      <c r="B1625" s="7">
        <v>0.66666666666666663</v>
      </c>
      <c r="C1625" s="5">
        <v>92.5</v>
      </c>
      <c r="D1625" s="5">
        <v>93.75</v>
      </c>
      <c r="E1625" s="5">
        <v>92.5</v>
      </c>
      <c r="F1625" s="5">
        <v>93</v>
      </c>
      <c r="G1625" s="5">
        <v>1226</v>
      </c>
      <c r="Q1625" s="6">
        <v>40641</v>
      </c>
      <c r="R1625" s="7">
        <v>0.66666666666666663</v>
      </c>
      <c r="S1625" s="5">
        <v>127</v>
      </c>
      <c r="T1625" s="5">
        <v>128.69999999999999</v>
      </c>
      <c r="U1625" s="5">
        <v>127</v>
      </c>
      <c r="V1625" s="5">
        <v>127.74</v>
      </c>
      <c r="W1625" s="5">
        <v>1332023</v>
      </c>
    </row>
    <row r="1626" spans="1:23" x14ac:dyDescent="0.3">
      <c r="A1626" s="6">
        <v>40689</v>
      </c>
      <c r="B1626" s="7">
        <v>0.66666666666666663</v>
      </c>
      <c r="C1626" s="5">
        <v>93</v>
      </c>
      <c r="D1626" s="5">
        <v>94</v>
      </c>
      <c r="E1626" s="5">
        <v>93</v>
      </c>
      <c r="F1626" s="5">
        <v>93.83</v>
      </c>
      <c r="G1626" s="5">
        <v>1183</v>
      </c>
      <c r="Q1626" s="6">
        <v>40644</v>
      </c>
      <c r="R1626" s="7">
        <v>0.66666666666666663</v>
      </c>
      <c r="S1626" s="5">
        <v>127.9</v>
      </c>
      <c r="T1626" s="5">
        <v>129</v>
      </c>
      <c r="U1626" s="5">
        <v>126.65</v>
      </c>
      <c r="V1626" s="5">
        <v>126.89</v>
      </c>
      <c r="W1626" s="5">
        <v>1552395</v>
      </c>
    </row>
    <row r="1627" spans="1:23" x14ac:dyDescent="0.3">
      <c r="A1627" s="6">
        <v>40690</v>
      </c>
      <c r="B1627" s="7">
        <v>0.66666666666666663</v>
      </c>
      <c r="C1627" s="5">
        <v>93.01</v>
      </c>
      <c r="D1627" s="5">
        <v>93.01</v>
      </c>
      <c r="E1627" s="5">
        <v>92.01</v>
      </c>
      <c r="F1627" s="5">
        <v>92.95</v>
      </c>
      <c r="G1627" s="5">
        <v>3290</v>
      </c>
      <c r="Q1627" s="6">
        <v>40645</v>
      </c>
      <c r="R1627" s="7">
        <v>0.66666666666666663</v>
      </c>
      <c r="S1627" s="5">
        <v>127.35</v>
      </c>
      <c r="T1627" s="5">
        <v>127.35</v>
      </c>
      <c r="U1627" s="5">
        <v>125</v>
      </c>
      <c r="V1627" s="5">
        <v>125.2</v>
      </c>
      <c r="W1627" s="5">
        <v>471241</v>
      </c>
    </row>
    <row r="1628" spans="1:23" x14ac:dyDescent="0.3">
      <c r="A1628" s="6">
        <v>40693</v>
      </c>
      <c r="B1628" s="7">
        <v>0.66666666666666663</v>
      </c>
      <c r="C1628" s="5">
        <v>93</v>
      </c>
      <c r="D1628" s="5">
        <v>93.2</v>
      </c>
      <c r="E1628" s="5">
        <v>92.84</v>
      </c>
      <c r="F1628" s="5">
        <v>92.84</v>
      </c>
      <c r="G1628" s="5">
        <v>1307</v>
      </c>
      <c r="Q1628" s="6">
        <v>40646</v>
      </c>
      <c r="R1628" s="7">
        <v>0.66666666666666663</v>
      </c>
      <c r="S1628" s="5">
        <v>126.01</v>
      </c>
      <c r="T1628" s="5">
        <v>126.01</v>
      </c>
      <c r="U1628" s="5">
        <v>123.51</v>
      </c>
      <c r="V1628" s="5">
        <v>124.33</v>
      </c>
      <c r="W1628" s="5">
        <v>422442</v>
      </c>
    </row>
    <row r="1629" spans="1:23" x14ac:dyDescent="0.3">
      <c r="A1629" s="6">
        <v>40694</v>
      </c>
      <c r="B1629" s="7">
        <v>0.66666666666666663</v>
      </c>
      <c r="C1629" s="5">
        <v>92.5</v>
      </c>
      <c r="D1629" s="5">
        <v>93</v>
      </c>
      <c r="E1629" s="5">
        <v>92.5</v>
      </c>
      <c r="F1629" s="5">
        <v>92.52</v>
      </c>
      <c r="G1629" s="5">
        <v>633</v>
      </c>
      <c r="Q1629" s="6">
        <v>40647</v>
      </c>
      <c r="R1629" s="7">
        <v>0.66666666666666663</v>
      </c>
      <c r="S1629" s="5">
        <v>124.33</v>
      </c>
      <c r="T1629" s="5">
        <v>125.75</v>
      </c>
      <c r="U1629" s="5">
        <v>120.65</v>
      </c>
      <c r="V1629" s="5">
        <v>121.74</v>
      </c>
      <c r="W1629" s="5">
        <v>582092</v>
      </c>
    </row>
    <row r="1630" spans="1:23" x14ac:dyDescent="0.3">
      <c r="A1630" s="6">
        <v>40695</v>
      </c>
      <c r="B1630" s="7">
        <v>0.66666666666666663</v>
      </c>
      <c r="C1630" s="5">
        <v>92.61</v>
      </c>
      <c r="D1630" s="5">
        <v>93</v>
      </c>
      <c r="E1630" s="5">
        <v>92.51</v>
      </c>
      <c r="F1630" s="5">
        <v>92.69</v>
      </c>
      <c r="G1630" s="5">
        <v>2948</v>
      </c>
      <c r="Q1630" s="6">
        <v>40648</v>
      </c>
      <c r="R1630" s="7">
        <v>0.66666666666666663</v>
      </c>
      <c r="S1630" s="5">
        <v>121.3</v>
      </c>
      <c r="T1630" s="5">
        <v>122.4</v>
      </c>
      <c r="U1630" s="5">
        <v>119.35</v>
      </c>
      <c r="V1630" s="5">
        <v>122.05</v>
      </c>
      <c r="W1630" s="5">
        <v>865923</v>
      </c>
    </row>
    <row r="1631" spans="1:23" x14ac:dyDescent="0.3">
      <c r="A1631" s="6">
        <v>40696</v>
      </c>
      <c r="B1631" s="7">
        <v>0.66666666666666663</v>
      </c>
      <c r="C1631" s="5">
        <v>93.7</v>
      </c>
      <c r="D1631" s="5">
        <v>93.7</v>
      </c>
      <c r="E1631" s="5">
        <v>92.5</v>
      </c>
      <c r="F1631" s="5">
        <v>92.69</v>
      </c>
      <c r="G1631" s="5">
        <v>266</v>
      </c>
      <c r="Q1631" s="6">
        <v>40651</v>
      </c>
      <c r="R1631" s="7">
        <v>0.66666666666666663</v>
      </c>
      <c r="S1631" s="5">
        <v>122.01</v>
      </c>
      <c r="T1631" s="5">
        <v>125.4</v>
      </c>
      <c r="U1631" s="5">
        <v>122.01</v>
      </c>
      <c r="V1631" s="5">
        <v>124.51</v>
      </c>
      <c r="W1631" s="5">
        <v>1341831</v>
      </c>
    </row>
    <row r="1632" spans="1:23" x14ac:dyDescent="0.3">
      <c r="A1632" s="6">
        <v>40697</v>
      </c>
      <c r="B1632" s="7">
        <v>0.66666666666666663</v>
      </c>
      <c r="C1632" s="5">
        <v>92.5</v>
      </c>
      <c r="D1632" s="5">
        <v>93</v>
      </c>
      <c r="E1632" s="5">
        <v>92.5</v>
      </c>
      <c r="F1632" s="5">
        <v>92.7</v>
      </c>
      <c r="G1632" s="5">
        <v>1700</v>
      </c>
      <c r="Q1632" s="6">
        <v>40652</v>
      </c>
      <c r="R1632" s="7">
        <v>0.66666666666666663</v>
      </c>
      <c r="S1632" s="5">
        <v>125.3</v>
      </c>
      <c r="T1632" s="5">
        <v>126.8</v>
      </c>
      <c r="U1632" s="5">
        <v>123.82</v>
      </c>
      <c r="V1632" s="5">
        <v>125.56</v>
      </c>
      <c r="W1632" s="5">
        <v>1629932</v>
      </c>
    </row>
    <row r="1633" spans="1:23" x14ac:dyDescent="0.3">
      <c r="A1633" s="6">
        <v>40700</v>
      </c>
      <c r="B1633" s="7">
        <v>0.66666666666666663</v>
      </c>
      <c r="C1633" s="5">
        <v>91</v>
      </c>
      <c r="D1633" s="5">
        <v>94</v>
      </c>
      <c r="E1633" s="5">
        <v>91</v>
      </c>
      <c r="F1633" s="5">
        <v>93.89</v>
      </c>
      <c r="G1633" s="5">
        <v>4702</v>
      </c>
      <c r="Q1633" s="6">
        <v>40653</v>
      </c>
      <c r="R1633" s="7">
        <v>0.66666666666666663</v>
      </c>
      <c r="S1633" s="5">
        <v>126.1</v>
      </c>
      <c r="T1633" s="5">
        <v>127.4</v>
      </c>
      <c r="U1633" s="5">
        <v>125</v>
      </c>
      <c r="V1633" s="5">
        <v>126.41</v>
      </c>
      <c r="W1633" s="5">
        <v>1371302</v>
      </c>
    </row>
    <row r="1634" spans="1:23" x14ac:dyDescent="0.3">
      <c r="A1634" s="6">
        <v>40701</v>
      </c>
      <c r="B1634" s="7">
        <v>0.66666666666666663</v>
      </c>
      <c r="C1634" s="5">
        <v>93.95</v>
      </c>
      <c r="D1634" s="5">
        <v>93.95</v>
      </c>
      <c r="E1634" s="5">
        <v>93.01</v>
      </c>
      <c r="F1634" s="5">
        <v>93.04</v>
      </c>
      <c r="G1634" s="5">
        <v>401</v>
      </c>
      <c r="Q1634" s="6">
        <v>40654</v>
      </c>
      <c r="R1634" s="7">
        <v>0.66666666666666663</v>
      </c>
      <c r="S1634" s="5">
        <v>127.01</v>
      </c>
      <c r="T1634" s="5">
        <v>127.48</v>
      </c>
      <c r="U1634" s="5">
        <v>125.5</v>
      </c>
      <c r="V1634" s="5">
        <v>126.16</v>
      </c>
      <c r="W1634" s="5">
        <v>948289</v>
      </c>
    </row>
    <row r="1635" spans="1:23" x14ac:dyDescent="0.3">
      <c r="A1635" s="6">
        <v>40702</v>
      </c>
      <c r="B1635" s="7">
        <v>0.66666666666666663</v>
      </c>
      <c r="C1635" s="5">
        <v>93.06</v>
      </c>
      <c r="D1635" s="5">
        <v>93.7</v>
      </c>
      <c r="E1635" s="5">
        <v>93.05</v>
      </c>
      <c r="F1635" s="5">
        <v>93.15</v>
      </c>
      <c r="G1635" s="5">
        <v>1018</v>
      </c>
      <c r="Q1635" s="6">
        <v>40655</v>
      </c>
      <c r="R1635" s="7">
        <v>0.66666666666666663</v>
      </c>
      <c r="S1635" s="5">
        <v>126.3</v>
      </c>
      <c r="T1635" s="5">
        <v>126.49</v>
      </c>
      <c r="U1635" s="5">
        <v>123.65</v>
      </c>
      <c r="V1635" s="5">
        <v>123.99</v>
      </c>
      <c r="W1635" s="5">
        <v>602396</v>
      </c>
    </row>
    <row r="1636" spans="1:23" x14ac:dyDescent="0.3">
      <c r="A1636" s="6">
        <v>40703</v>
      </c>
      <c r="B1636" s="7">
        <v>0.66666666666666663</v>
      </c>
      <c r="C1636" s="5">
        <v>93.9</v>
      </c>
      <c r="D1636" s="5">
        <v>94.15</v>
      </c>
      <c r="E1636" s="5">
        <v>93.3</v>
      </c>
      <c r="F1636" s="5">
        <v>93.42</v>
      </c>
      <c r="G1636" s="5">
        <v>4479</v>
      </c>
      <c r="Q1636" s="6">
        <v>40658</v>
      </c>
      <c r="R1636" s="7">
        <v>0.66666666666666663</v>
      </c>
      <c r="S1636" s="5">
        <v>123.8</v>
      </c>
      <c r="T1636" s="5">
        <v>123.8</v>
      </c>
      <c r="U1636" s="5">
        <v>121.22</v>
      </c>
      <c r="V1636" s="5">
        <v>121.58</v>
      </c>
      <c r="W1636" s="5">
        <v>311532</v>
      </c>
    </row>
    <row r="1637" spans="1:23" x14ac:dyDescent="0.3">
      <c r="A1637" s="6">
        <v>40704</v>
      </c>
      <c r="B1637" s="7">
        <v>0.66666666666666663</v>
      </c>
      <c r="C1637" s="5">
        <v>94.1</v>
      </c>
      <c r="D1637" s="5">
        <v>94.7</v>
      </c>
      <c r="E1637" s="5">
        <v>94.1</v>
      </c>
      <c r="F1637" s="5">
        <v>94.63</v>
      </c>
      <c r="G1637" s="5">
        <v>1200</v>
      </c>
      <c r="Q1637" s="6">
        <v>40659</v>
      </c>
      <c r="R1637" s="7">
        <v>0.66666666666666663</v>
      </c>
      <c r="S1637" s="5">
        <v>121.25</v>
      </c>
      <c r="T1637" s="5">
        <v>123.4</v>
      </c>
      <c r="U1637" s="5">
        <v>120.8</v>
      </c>
      <c r="V1637" s="5">
        <v>122.78</v>
      </c>
      <c r="W1637" s="5">
        <v>464968</v>
      </c>
    </row>
    <row r="1638" spans="1:23" x14ac:dyDescent="0.3">
      <c r="A1638" s="6">
        <v>40707</v>
      </c>
      <c r="B1638" s="7">
        <v>0.66666666666666663</v>
      </c>
      <c r="C1638" s="5">
        <v>94.63</v>
      </c>
      <c r="D1638" s="5">
        <v>94.63</v>
      </c>
      <c r="E1638" s="5">
        <v>93.1</v>
      </c>
      <c r="F1638" s="5">
        <v>93.64</v>
      </c>
      <c r="G1638" s="5">
        <v>1002</v>
      </c>
      <c r="Q1638" s="6">
        <v>40660</v>
      </c>
      <c r="R1638" s="7">
        <v>0.66666666666666663</v>
      </c>
      <c r="S1638" s="5">
        <v>123.44</v>
      </c>
      <c r="T1638" s="5">
        <v>124.7</v>
      </c>
      <c r="U1638" s="5">
        <v>123.25</v>
      </c>
      <c r="V1638" s="5">
        <v>123.5</v>
      </c>
      <c r="W1638" s="5">
        <v>527141</v>
      </c>
    </row>
    <row r="1639" spans="1:23" x14ac:dyDescent="0.3">
      <c r="A1639" s="6">
        <v>40708</v>
      </c>
      <c r="B1639" s="7">
        <v>0.66666666666666663</v>
      </c>
      <c r="C1639" s="5">
        <v>93.5</v>
      </c>
      <c r="D1639" s="5">
        <v>93.9</v>
      </c>
      <c r="E1639" s="5">
        <v>93.1</v>
      </c>
      <c r="F1639" s="5">
        <v>93.9</v>
      </c>
      <c r="G1639" s="5">
        <v>2325</v>
      </c>
      <c r="Q1639" s="6">
        <v>40665</v>
      </c>
      <c r="R1639" s="7">
        <v>0.66666666666666663</v>
      </c>
      <c r="S1639" s="5">
        <v>126.79</v>
      </c>
      <c r="T1639" s="5">
        <v>127.9</v>
      </c>
      <c r="U1639" s="5">
        <v>125.26</v>
      </c>
      <c r="V1639" s="5">
        <v>125.67</v>
      </c>
      <c r="W1639" s="5">
        <v>415110</v>
      </c>
    </row>
    <row r="1640" spans="1:23" x14ac:dyDescent="0.3">
      <c r="A1640" s="6">
        <v>40709</v>
      </c>
      <c r="B1640" s="7">
        <v>0.66666666666666663</v>
      </c>
      <c r="C1640" s="5">
        <v>93</v>
      </c>
      <c r="D1640" s="5">
        <v>93.1</v>
      </c>
      <c r="E1640" s="5">
        <v>92.8</v>
      </c>
      <c r="F1640" s="5">
        <v>92.8</v>
      </c>
      <c r="G1640" s="5">
        <v>1900</v>
      </c>
      <c r="Q1640" s="6">
        <v>40666</v>
      </c>
      <c r="R1640" s="7">
        <v>0.66666666666666663</v>
      </c>
      <c r="S1640" s="5">
        <v>126</v>
      </c>
      <c r="T1640" s="5">
        <v>126</v>
      </c>
      <c r="U1640" s="5">
        <v>122</v>
      </c>
      <c r="V1640" s="5">
        <v>123.94</v>
      </c>
      <c r="W1640" s="5">
        <v>396247</v>
      </c>
    </row>
    <row r="1641" spans="1:23" x14ac:dyDescent="0.3">
      <c r="A1641" s="6">
        <v>40710</v>
      </c>
      <c r="B1641" s="7">
        <v>0.66666666666666663</v>
      </c>
      <c r="C1641" s="5">
        <v>93</v>
      </c>
      <c r="D1641" s="5">
        <v>93</v>
      </c>
      <c r="E1641" s="5">
        <v>92.99</v>
      </c>
      <c r="F1641" s="5">
        <v>93</v>
      </c>
      <c r="G1641" s="5">
        <v>1094</v>
      </c>
      <c r="Q1641" s="6">
        <v>40667</v>
      </c>
      <c r="R1641" s="7">
        <v>0.66666666666666663</v>
      </c>
      <c r="S1641" s="5">
        <v>124.45</v>
      </c>
      <c r="T1641" s="5">
        <v>126.9</v>
      </c>
      <c r="U1641" s="5">
        <v>122.5</v>
      </c>
      <c r="V1641" s="5">
        <v>123.56</v>
      </c>
      <c r="W1641" s="5">
        <v>1092126</v>
      </c>
    </row>
    <row r="1642" spans="1:23" x14ac:dyDescent="0.3">
      <c r="A1642" s="6">
        <v>40711</v>
      </c>
      <c r="B1642" s="7">
        <v>0.66666666666666663</v>
      </c>
      <c r="C1642" s="5">
        <v>92.9</v>
      </c>
      <c r="D1642" s="5">
        <v>93.9</v>
      </c>
      <c r="E1642" s="5">
        <v>92.05</v>
      </c>
      <c r="F1642" s="5">
        <v>92.27</v>
      </c>
      <c r="G1642" s="5">
        <v>2379</v>
      </c>
      <c r="Q1642" s="6">
        <v>40668</v>
      </c>
      <c r="R1642" s="7">
        <v>0.66666666666666663</v>
      </c>
      <c r="S1642" s="5">
        <v>124.99</v>
      </c>
      <c r="T1642" s="5">
        <v>126.4</v>
      </c>
      <c r="U1642" s="5">
        <v>124</v>
      </c>
      <c r="V1642" s="5">
        <v>125.66</v>
      </c>
      <c r="W1642" s="5">
        <v>660216</v>
      </c>
    </row>
    <row r="1643" spans="1:23" x14ac:dyDescent="0.3">
      <c r="A1643" s="6">
        <v>40714</v>
      </c>
      <c r="B1643" s="7">
        <v>0.66666666666666663</v>
      </c>
      <c r="C1643" s="5">
        <v>93</v>
      </c>
      <c r="D1643" s="5">
        <v>93</v>
      </c>
      <c r="E1643" s="5">
        <v>91</v>
      </c>
      <c r="F1643" s="5">
        <v>91</v>
      </c>
      <c r="G1643" s="5">
        <v>1658</v>
      </c>
      <c r="Q1643" s="6">
        <v>40669</v>
      </c>
      <c r="R1643" s="7">
        <v>0.66666666666666663</v>
      </c>
      <c r="S1643" s="5">
        <v>126.8</v>
      </c>
      <c r="T1643" s="5">
        <v>127</v>
      </c>
      <c r="U1643" s="5">
        <v>123.61</v>
      </c>
      <c r="V1643" s="5">
        <v>124.86</v>
      </c>
      <c r="W1643" s="5">
        <v>415907</v>
      </c>
    </row>
    <row r="1644" spans="1:23" x14ac:dyDescent="0.3">
      <c r="A1644" s="6">
        <v>40715</v>
      </c>
      <c r="B1644" s="7">
        <v>0.66666666666666663</v>
      </c>
      <c r="C1644" s="5">
        <v>91</v>
      </c>
      <c r="D1644" s="5">
        <v>92.45</v>
      </c>
      <c r="E1644" s="5">
        <v>90</v>
      </c>
      <c r="F1644" s="5">
        <v>90.51</v>
      </c>
      <c r="G1644" s="5">
        <v>3432</v>
      </c>
      <c r="Q1644" s="6">
        <v>40672</v>
      </c>
      <c r="R1644" s="7">
        <v>0.66666666666666663</v>
      </c>
      <c r="S1644" s="5">
        <v>125.4</v>
      </c>
      <c r="T1644" s="5">
        <v>125.9</v>
      </c>
      <c r="U1644" s="5">
        <v>124.6</v>
      </c>
      <c r="V1644" s="5">
        <v>124.77</v>
      </c>
      <c r="W1644" s="5">
        <v>397174</v>
      </c>
    </row>
    <row r="1645" spans="1:23" x14ac:dyDescent="0.3">
      <c r="A1645" s="6">
        <v>40716</v>
      </c>
      <c r="B1645" s="7">
        <v>0.66666666666666663</v>
      </c>
      <c r="C1645" s="5">
        <v>91</v>
      </c>
      <c r="D1645" s="5">
        <v>91.5</v>
      </c>
      <c r="E1645" s="5">
        <v>90.25</v>
      </c>
      <c r="F1645" s="5">
        <v>91.07</v>
      </c>
      <c r="G1645" s="5">
        <v>2025</v>
      </c>
      <c r="Q1645" s="6">
        <v>40673</v>
      </c>
      <c r="R1645" s="7">
        <v>0.66666666666666663</v>
      </c>
      <c r="S1645" s="5">
        <v>125.35</v>
      </c>
      <c r="T1645" s="5">
        <v>125.49</v>
      </c>
      <c r="U1645" s="5">
        <v>124.25</v>
      </c>
      <c r="V1645" s="5">
        <v>124.68</v>
      </c>
      <c r="W1645" s="5">
        <v>206095</v>
      </c>
    </row>
    <row r="1646" spans="1:23" x14ac:dyDescent="0.3">
      <c r="A1646" s="6">
        <v>40717</v>
      </c>
      <c r="B1646" s="7">
        <v>0.66666666666666663</v>
      </c>
      <c r="C1646" s="5">
        <v>91.5</v>
      </c>
      <c r="D1646" s="5">
        <v>93.75</v>
      </c>
      <c r="E1646" s="5">
        <v>91.5</v>
      </c>
      <c r="F1646" s="5">
        <v>93.71</v>
      </c>
      <c r="G1646" s="5">
        <v>3525</v>
      </c>
      <c r="Q1646" s="6">
        <v>40674</v>
      </c>
      <c r="R1646" s="7">
        <v>0.66666666666666663</v>
      </c>
      <c r="S1646" s="5">
        <v>124.89</v>
      </c>
      <c r="T1646" s="5">
        <v>126.25</v>
      </c>
      <c r="U1646" s="5">
        <v>124.28</v>
      </c>
      <c r="V1646" s="5">
        <v>125</v>
      </c>
      <c r="W1646" s="5">
        <v>368367</v>
      </c>
    </row>
    <row r="1647" spans="1:23" x14ac:dyDescent="0.3">
      <c r="A1647" s="6">
        <v>40721</v>
      </c>
      <c r="B1647" s="7">
        <v>0.66666666666666663</v>
      </c>
      <c r="C1647" s="5">
        <v>92.01</v>
      </c>
      <c r="D1647" s="5">
        <v>93</v>
      </c>
      <c r="E1647" s="5">
        <v>91.51</v>
      </c>
      <c r="F1647" s="5">
        <v>92.52</v>
      </c>
      <c r="G1647" s="5">
        <v>3654</v>
      </c>
      <c r="Q1647" s="6">
        <v>40676</v>
      </c>
      <c r="R1647" s="7">
        <v>0.66666666666666663</v>
      </c>
      <c r="S1647" s="5">
        <v>124</v>
      </c>
      <c r="T1647" s="5">
        <v>124.99</v>
      </c>
      <c r="U1647" s="5">
        <v>123.9</v>
      </c>
      <c r="V1647" s="5">
        <v>124.11</v>
      </c>
      <c r="W1647" s="5">
        <v>179977</v>
      </c>
    </row>
    <row r="1648" spans="1:23" x14ac:dyDescent="0.3">
      <c r="A1648" s="6">
        <v>40722</v>
      </c>
      <c r="B1648" s="7">
        <v>0.66666666666666663</v>
      </c>
      <c r="C1648" s="5">
        <v>94.2</v>
      </c>
      <c r="D1648" s="5">
        <v>94.2</v>
      </c>
      <c r="E1648" s="5">
        <v>91.1</v>
      </c>
      <c r="F1648" s="5">
        <v>91.21</v>
      </c>
      <c r="G1648" s="5">
        <v>2306</v>
      </c>
      <c r="Q1648" s="6">
        <v>40679</v>
      </c>
      <c r="R1648" s="7">
        <v>0.66666666666666663</v>
      </c>
      <c r="S1648" s="5">
        <v>124.45</v>
      </c>
      <c r="T1648" s="5">
        <v>124.45</v>
      </c>
      <c r="U1648" s="5">
        <v>122.1</v>
      </c>
      <c r="V1648" s="5">
        <v>122.44</v>
      </c>
      <c r="W1648" s="5">
        <v>258188</v>
      </c>
    </row>
    <row r="1649" spans="1:23" x14ac:dyDescent="0.3">
      <c r="A1649" s="6">
        <v>40723</v>
      </c>
      <c r="B1649" s="7">
        <v>0.66666666666666663</v>
      </c>
      <c r="C1649" s="5">
        <v>90.25</v>
      </c>
      <c r="D1649" s="5">
        <v>93.75</v>
      </c>
      <c r="E1649" s="5">
        <v>89.75</v>
      </c>
      <c r="F1649" s="5">
        <v>93.12</v>
      </c>
      <c r="G1649" s="5">
        <v>2837</v>
      </c>
      <c r="Q1649" s="6">
        <v>40680</v>
      </c>
      <c r="R1649" s="7">
        <v>0.66666666666666663</v>
      </c>
      <c r="S1649" s="5">
        <v>123</v>
      </c>
      <c r="T1649" s="5">
        <v>124.35</v>
      </c>
      <c r="U1649" s="5">
        <v>122.56</v>
      </c>
      <c r="V1649" s="5">
        <v>122.81</v>
      </c>
      <c r="W1649" s="5">
        <v>256185</v>
      </c>
    </row>
    <row r="1650" spans="1:23" x14ac:dyDescent="0.3">
      <c r="A1650" s="6">
        <v>40724</v>
      </c>
      <c r="B1650" s="7">
        <v>0.66666666666666663</v>
      </c>
      <c r="C1650" s="5">
        <v>92.5</v>
      </c>
      <c r="D1650" s="5">
        <v>93.5</v>
      </c>
      <c r="E1650" s="5">
        <v>92.5</v>
      </c>
      <c r="F1650" s="5">
        <v>93.49</v>
      </c>
      <c r="G1650" s="5">
        <v>1843</v>
      </c>
      <c r="Q1650" s="6">
        <v>40681</v>
      </c>
      <c r="R1650" s="7">
        <v>0.66666666666666663</v>
      </c>
      <c r="S1650" s="5">
        <v>123.7</v>
      </c>
      <c r="T1650" s="5">
        <v>123.75</v>
      </c>
      <c r="U1650" s="5">
        <v>122.64</v>
      </c>
      <c r="V1650" s="5">
        <v>123.14</v>
      </c>
      <c r="W1650" s="5">
        <v>177271</v>
      </c>
    </row>
    <row r="1651" spans="1:23" x14ac:dyDescent="0.3">
      <c r="A1651" s="6">
        <v>40728</v>
      </c>
      <c r="B1651" s="7">
        <v>0.66666666666666663</v>
      </c>
      <c r="C1651" s="5">
        <v>92.1</v>
      </c>
      <c r="D1651" s="5">
        <v>94</v>
      </c>
      <c r="E1651" s="5">
        <v>92</v>
      </c>
      <c r="F1651" s="5">
        <v>93.99</v>
      </c>
      <c r="G1651" s="5">
        <v>4921</v>
      </c>
      <c r="Q1651" s="6">
        <v>40682</v>
      </c>
      <c r="R1651" s="7">
        <v>0.66666666666666663</v>
      </c>
      <c r="S1651" s="5">
        <v>122.99</v>
      </c>
      <c r="T1651" s="5">
        <v>123.6</v>
      </c>
      <c r="U1651" s="5">
        <v>122</v>
      </c>
      <c r="V1651" s="5">
        <v>122.47</v>
      </c>
      <c r="W1651" s="5">
        <v>172844</v>
      </c>
    </row>
    <row r="1652" spans="1:23" x14ac:dyDescent="0.3">
      <c r="A1652" s="6">
        <v>40729</v>
      </c>
      <c r="B1652" s="7">
        <v>0.66666666666666663</v>
      </c>
      <c r="C1652" s="5">
        <v>94</v>
      </c>
      <c r="D1652" s="5">
        <v>95.49</v>
      </c>
      <c r="E1652" s="5">
        <v>94</v>
      </c>
      <c r="F1652" s="5">
        <v>94.75</v>
      </c>
      <c r="G1652" s="5">
        <v>5392</v>
      </c>
      <c r="Q1652" s="6">
        <v>40683</v>
      </c>
      <c r="R1652" s="7">
        <v>0.66666666666666663</v>
      </c>
      <c r="S1652" s="5">
        <v>122.7</v>
      </c>
      <c r="T1652" s="5">
        <v>123.35</v>
      </c>
      <c r="U1652" s="5">
        <v>121.8</v>
      </c>
      <c r="V1652" s="5">
        <v>122.93</v>
      </c>
      <c r="W1652" s="5">
        <v>165123</v>
      </c>
    </row>
    <row r="1653" spans="1:23" x14ac:dyDescent="0.3">
      <c r="A1653" s="6">
        <v>40730</v>
      </c>
      <c r="B1653" s="7">
        <v>0.66666666666666663</v>
      </c>
      <c r="C1653" s="5">
        <v>94.26</v>
      </c>
      <c r="D1653" s="5">
        <v>95</v>
      </c>
      <c r="E1653" s="5">
        <v>94.26</v>
      </c>
      <c r="F1653" s="5">
        <v>95</v>
      </c>
      <c r="G1653" s="5">
        <v>1121</v>
      </c>
      <c r="Q1653" s="6">
        <v>40686</v>
      </c>
      <c r="R1653" s="7">
        <v>0.66666666666666663</v>
      </c>
      <c r="S1653" s="5">
        <v>122.5</v>
      </c>
      <c r="T1653" s="5">
        <v>123.88</v>
      </c>
      <c r="U1653" s="5">
        <v>122.04</v>
      </c>
      <c r="V1653" s="5">
        <v>122.5</v>
      </c>
      <c r="W1653" s="5">
        <v>183971</v>
      </c>
    </row>
    <row r="1654" spans="1:23" x14ac:dyDescent="0.3">
      <c r="A1654" s="6">
        <v>40731</v>
      </c>
      <c r="B1654" s="7">
        <v>0.66666666666666663</v>
      </c>
      <c r="C1654" s="5">
        <v>95</v>
      </c>
      <c r="D1654" s="5">
        <v>95</v>
      </c>
      <c r="E1654" s="5">
        <v>93.61</v>
      </c>
      <c r="F1654" s="5">
        <v>94.58</v>
      </c>
      <c r="G1654" s="5">
        <v>10700</v>
      </c>
      <c r="Q1654" s="6">
        <v>40687</v>
      </c>
      <c r="R1654" s="7">
        <v>0.66666666666666663</v>
      </c>
      <c r="S1654" s="5">
        <v>122.7</v>
      </c>
      <c r="T1654" s="5">
        <v>125</v>
      </c>
      <c r="U1654" s="5">
        <v>122.6</v>
      </c>
      <c r="V1654" s="5">
        <v>124.41</v>
      </c>
      <c r="W1654" s="5">
        <v>383652</v>
      </c>
    </row>
    <row r="1655" spans="1:23" x14ac:dyDescent="0.3">
      <c r="A1655" s="6">
        <v>40732</v>
      </c>
      <c r="B1655" s="7">
        <v>0.66666666666666663</v>
      </c>
      <c r="C1655" s="5">
        <v>94</v>
      </c>
      <c r="D1655" s="5">
        <v>94.58</v>
      </c>
      <c r="E1655" s="5">
        <v>94</v>
      </c>
      <c r="F1655" s="5">
        <v>94.58</v>
      </c>
      <c r="G1655" s="5">
        <v>60</v>
      </c>
      <c r="Q1655" s="6">
        <v>40688</v>
      </c>
      <c r="R1655" s="7">
        <v>0.66666666666666663</v>
      </c>
      <c r="S1655" s="5">
        <v>125.4</v>
      </c>
      <c r="T1655" s="5">
        <v>126.1</v>
      </c>
      <c r="U1655" s="5">
        <v>124.42</v>
      </c>
      <c r="V1655" s="5">
        <v>125.53</v>
      </c>
      <c r="W1655" s="5">
        <v>637346</v>
      </c>
    </row>
    <row r="1656" spans="1:23" x14ac:dyDescent="0.3">
      <c r="A1656" s="6">
        <v>40735</v>
      </c>
      <c r="B1656" s="7">
        <v>0.66666666666666663</v>
      </c>
      <c r="C1656" s="5">
        <v>94.9</v>
      </c>
      <c r="D1656" s="5">
        <v>95.5</v>
      </c>
      <c r="E1656" s="5">
        <v>94</v>
      </c>
      <c r="F1656" s="5">
        <v>94.88</v>
      </c>
      <c r="G1656" s="5">
        <v>2122</v>
      </c>
      <c r="Q1656" s="6">
        <v>40689</v>
      </c>
      <c r="R1656" s="7">
        <v>0.66666666666666663</v>
      </c>
      <c r="S1656" s="5">
        <v>125.8</v>
      </c>
      <c r="T1656" s="5">
        <v>131.80000000000001</v>
      </c>
      <c r="U1656" s="5">
        <v>125.6</v>
      </c>
      <c r="V1656" s="5">
        <v>131.80000000000001</v>
      </c>
      <c r="W1656" s="5">
        <v>2414668</v>
      </c>
    </row>
    <row r="1657" spans="1:23" x14ac:dyDescent="0.3">
      <c r="A1657" s="6">
        <v>40736</v>
      </c>
      <c r="B1657" s="7">
        <v>0.66666666666666663</v>
      </c>
      <c r="C1657" s="5">
        <v>94</v>
      </c>
      <c r="D1657" s="5">
        <v>95.24</v>
      </c>
      <c r="E1657" s="5">
        <v>94</v>
      </c>
      <c r="F1657" s="5">
        <v>94.25</v>
      </c>
      <c r="G1657" s="5">
        <v>1511</v>
      </c>
      <c r="Q1657" s="6">
        <v>40690</v>
      </c>
      <c r="R1657" s="7">
        <v>0.66666666666666663</v>
      </c>
      <c r="S1657" s="5">
        <v>133.99</v>
      </c>
      <c r="T1657" s="5">
        <v>138.38</v>
      </c>
      <c r="U1657" s="5">
        <v>131.80000000000001</v>
      </c>
      <c r="V1657" s="5">
        <v>133.77000000000001</v>
      </c>
      <c r="W1657" s="5">
        <v>3862663</v>
      </c>
    </row>
    <row r="1658" spans="1:23" x14ac:dyDescent="0.3">
      <c r="A1658" s="6">
        <v>40737</v>
      </c>
      <c r="B1658" s="7">
        <v>0.66666666666666663</v>
      </c>
      <c r="C1658" s="5">
        <v>94.9</v>
      </c>
      <c r="D1658" s="5">
        <v>95.5</v>
      </c>
      <c r="E1658" s="5">
        <v>94.25</v>
      </c>
      <c r="F1658" s="5">
        <v>95.5</v>
      </c>
      <c r="G1658" s="5">
        <v>2753</v>
      </c>
      <c r="Q1658" s="6">
        <v>40693</v>
      </c>
      <c r="R1658" s="7">
        <v>0.66666666666666663</v>
      </c>
      <c r="S1658" s="5">
        <v>134.97999999999999</v>
      </c>
      <c r="T1658" s="5">
        <v>135.80000000000001</v>
      </c>
      <c r="U1658" s="5">
        <v>129.03</v>
      </c>
      <c r="V1658" s="5">
        <v>129.46</v>
      </c>
      <c r="W1658" s="5">
        <v>1255809</v>
      </c>
    </row>
    <row r="1659" spans="1:23" x14ac:dyDescent="0.3">
      <c r="A1659" s="6">
        <v>40738</v>
      </c>
      <c r="B1659" s="7">
        <v>0.66666666666666663</v>
      </c>
      <c r="C1659" s="5">
        <v>95.25</v>
      </c>
      <c r="D1659" s="5">
        <v>95.5</v>
      </c>
      <c r="E1659" s="5">
        <v>94.31</v>
      </c>
      <c r="F1659" s="5">
        <v>94.68</v>
      </c>
      <c r="G1659" s="5">
        <v>360</v>
      </c>
      <c r="Q1659" s="6">
        <v>40694</v>
      </c>
      <c r="R1659" s="7">
        <v>0.66666666666666663</v>
      </c>
      <c r="S1659" s="5">
        <v>129.61000000000001</v>
      </c>
      <c r="T1659" s="5">
        <v>132.24</v>
      </c>
      <c r="U1659" s="5">
        <v>128.71</v>
      </c>
      <c r="V1659" s="5">
        <v>131.05000000000001</v>
      </c>
      <c r="W1659" s="5">
        <v>1419498</v>
      </c>
    </row>
    <row r="1660" spans="1:23" x14ac:dyDescent="0.3">
      <c r="A1660" s="6">
        <v>40739</v>
      </c>
      <c r="B1660" s="7">
        <v>0.66666666666666663</v>
      </c>
      <c r="C1660" s="5">
        <v>95</v>
      </c>
      <c r="D1660" s="5">
        <v>96.25</v>
      </c>
      <c r="E1660" s="5">
        <v>95</v>
      </c>
      <c r="F1660" s="5">
        <v>96.09</v>
      </c>
      <c r="G1660" s="5">
        <v>1925</v>
      </c>
      <c r="Q1660" s="6">
        <v>40695</v>
      </c>
      <c r="R1660" s="7">
        <v>0.66666666666666663</v>
      </c>
      <c r="S1660" s="5">
        <v>131.18</v>
      </c>
      <c r="T1660" s="5">
        <v>137.6</v>
      </c>
      <c r="U1660" s="5">
        <v>130.5</v>
      </c>
      <c r="V1660" s="5">
        <v>137.6</v>
      </c>
      <c r="W1660" s="5">
        <v>3570523</v>
      </c>
    </row>
    <row r="1661" spans="1:23" x14ac:dyDescent="0.3">
      <c r="A1661" s="6">
        <v>40742</v>
      </c>
      <c r="B1661" s="7">
        <v>0.66666666666666663</v>
      </c>
      <c r="C1661" s="5">
        <v>96.31</v>
      </c>
      <c r="D1661" s="5">
        <v>96.31</v>
      </c>
      <c r="E1661" s="5">
        <v>95.5</v>
      </c>
      <c r="F1661" s="5">
        <v>95.72</v>
      </c>
      <c r="G1661" s="5">
        <v>1836</v>
      </c>
      <c r="Q1661" s="6">
        <v>40696</v>
      </c>
      <c r="R1661" s="7">
        <v>0.66666666666666663</v>
      </c>
      <c r="S1661" s="5">
        <v>139.25</v>
      </c>
      <c r="T1661" s="5">
        <v>141.69</v>
      </c>
      <c r="U1661" s="5">
        <v>137.6</v>
      </c>
      <c r="V1661" s="5">
        <v>139.78</v>
      </c>
      <c r="W1661" s="5">
        <v>3845907</v>
      </c>
    </row>
    <row r="1662" spans="1:23" x14ac:dyDescent="0.3">
      <c r="A1662" s="6">
        <v>40743</v>
      </c>
      <c r="B1662" s="7">
        <v>0.66666666666666663</v>
      </c>
      <c r="C1662" s="5">
        <v>96.5</v>
      </c>
      <c r="D1662" s="5">
        <v>96.9</v>
      </c>
      <c r="E1662" s="5">
        <v>95.1</v>
      </c>
      <c r="F1662" s="5">
        <v>95.4</v>
      </c>
      <c r="G1662" s="5">
        <v>2877</v>
      </c>
      <c r="Q1662" s="6">
        <v>40697</v>
      </c>
      <c r="R1662" s="7">
        <v>0.66666666666666663</v>
      </c>
      <c r="S1662" s="5">
        <v>140</v>
      </c>
      <c r="T1662" s="5">
        <v>141.38999999999999</v>
      </c>
      <c r="U1662" s="5">
        <v>138.1</v>
      </c>
      <c r="V1662" s="5">
        <v>139.88999999999999</v>
      </c>
      <c r="W1662" s="5">
        <v>1569566</v>
      </c>
    </row>
    <row r="1663" spans="1:23" x14ac:dyDescent="0.3">
      <c r="A1663" s="6">
        <v>40744</v>
      </c>
      <c r="B1663" s="7">
        <v>0.66666666666666663</v>
      </c>
      <c r="C1663" s="5">
        <v>95.4</v>
      </c>
      <c r="D1663" s="5">
        <v>96.5</v>
      </c>
      <c r="E1663" s="5">
        <v>95.25</v>
      </c>
      <c r="F1663" s="5">
        <v>95.5</v>
      </c>
      <c r="G1663" s="5">
        <v>20109</v>
      </c>
      <c r="Q1663" s="6">
        <v>40700</v>
      </c>
      <c r="R1663" s="7">
        <v>0.66666666666666663</v>
      </c>
      <c r="S1663" s="5">
        <v>137.9</v>
      </c>
      <c r="T1663" s="5">
        <v>141.24</v>
      </c>
      <c r="U1663" s="5">
        <v>136.5</v>
      </c>
      <c r="V1663" s="5">
        <v>138.6</v>
      </c>
      <c r="W1663" s="5">
        <v>1695606</v>
      </c>
    </row>
    <row r="1664" spans="1:23" x14ac:dyDescent="0.3">
      <c r="A1664" s="6">
        <v>40745</v>
      </c>
      <c r="B1664" s="7">
        <v>0.66666666666666663</v>
      </c>
      <c r="C1664" s="5">
        <v>94.5</v>
      </c>
      <c r="D1664" s="5">
        <v>96.5</v>
      </c>
      <c r="E1664" s="5">
        <v>94.5</v>
      </c>
      <c r="F1664" s="5">
        <v>96.1</v>
      </c>
      <c r="G1664" s="5">
        <v>3008</v>
      </c>
      <c r="Q1664" s="6">
        <v>40701</v>
      </c>
      <c r="R1664" s="7">
        <v>0.66666666666666663</v>
      </c>
      <c r="S1664" s="5">
        <v>138.51</v>
      </c>
      <c r="T1664" s="5">
        <v>143.5</v>
      </c>
      <c r="U1664" s="5">
        <v>137.6</v>
      </c>
      <c r="V1664" s="5">
        <v>140.47999999999999</v>
      </c>
      <c r="W1664" s="5">
        <v>3030308</v>
      </c>
    </row>
    <row r="1665" spans="1:23" x14ac:dyDescent="0.3">
      <c r="A1665" s="6">
        <v>40746</v>
      </c>
      <c r="B1665" s="7">
        <v>0.66666666666666663</v>
      </c>
      <c r="C1665" s="5">
        <v>95.01</v>
      </c>
      <c r="D1665" s="5">
        <v>97</v>
      </c>
      <c r="E1665" s="5">
        <v>95.01</v>
      </c>
      <c r="F1665" s="5">
        <v>96.1</v>
      </c>
      <c r="G1665" s="5">
        <v>131</v>
      </c>
      <c r="Q1665" s="6">
        <v>40702</v>
      </c>
      <c r="R1665" s="7">
        <v>0.66666666666666663</v>
      </c>
      <c r="S1665" s="5">
        <v>140.97999999999999</v>
      </c>
      <c r="T1665" s="5">
        <v>142</v>
      </c>
      <c r="U1665" s="5">
        <v>139.1</v>
      </c>
      <c r="V1665" s="5">
        <v>139.33000000000001</v>
      </c>
      <c r="W1665" s="5">
        <v>722100</v>
      </c>
    </row>
    <row r="1666" spans="1:23" x14ac:dyDescent="0.3">
      <c r="A1666" s="6">
        <v>40749</v>
      </c>
      <c r="B1666" s="7">
        <v>0.66666666666666663</v>
      </c>
      <c r="C1666" s="5">
        <v>95.25</v>
      </c>
      <c r="D1666" s="5">
        <v>96.5</v>
      </c>
      <c r="E1666" s="5">
        <v>95.25</v>
      </c>
      <c r="F1666" s="5">
        <v>96.5</v>
      </c>
      <c r="G1666" s="5">
        <v>715</v>
      </c>
      <c r="Q1666" s="6">
        <v>40703</v>
      </c>
      <c r="R1666" s="7">
        <v>0.66666666666666663</v>
      </c>
      <c r="S1666" s="5">
        <v>139.65</v>
      </c>
      <c r="T1666" s="5">
        <v>140.59</v>
      </c>
      <c r="U1666" s="5">
        <v>132.37</v>
      </c>
      <c r="V1666" s="5">
        <v>132.63999999999999</v>
      </c>
      <c r="W1666" s="5">
        <v>2814711</v>
      </c>
    </row>
    <row r="1667" spans="1:23" x14ac:dyDescent="0.3">
      <c r="A1667" s="6">
        <v>40750</v>
      </c>
      <c r="B1667" s="7">
        <v>0.66666666666666663</v>
      </c>
      <c r="C1667" s="5">
        <v>95.65</v>
      </c>
      <c r="D1667" s="5">
        <v>96.25</v>
      </c>
      <c r="E1667" s="5">
        <v>95.51</v>
      </c>
      <c r="F1667" s="5">
        <v>95.91</v>
      </c>
      <c r="G1667" s="5">
        <v>1485</v>
      </c>
      <c r="Q1667" s="6">
        <v>40704</v>
      </c>
      <c r="R1667" s="7">
        <v>0.66666666666666663</v>
      </c>
      <c r="S1667" s="5">
        <v>132</v>
      </c>
      <c r="T1667" s="5">
        <v>134.47999999999999</v>
      </c>
      <c r="U1667" s="5">
        <v>126.5</v>
      </c>
      <c r="V1667" s="5">
        <v>127.51</v>
      </c>
      <c r="W1667" s="5">
        <v>2874590</v>
      </c>
    </row>
    <row r="1668" spans="1:23" x14ac:dyDescent="0.3">
      <c r="A1668" s="6">
        <v>40752</v>
      </c>
      <c r="B1668" s="7">
        <v>0.66666666666666663</v>
      </c>
      <c r="C1668" s="5">
        <v>95</v>
      </c>
      <c r="D1668" s="5">
        <v>95</v>
      </c>
      <c r="E1668" s="5">
        <v>93.71</v>
      </c>
      <c r="F1668" s="5">
        <v>94.09</v>
      </c>
      <c r="G1668" s="5">
        <v>2529</v>
      </c>
      <c r="Q1668" s="6">
        <v>40707</v>
      </c>
      <c r="R1668" s="7">
        <v>0.66666666666666663</v>
      </c>
      <c r="S1668" s="5">
        <v>128.47</v>
      </c>
      <c r="T1668" s="5">
        <v>129.41</v>
      </c>
      <c r="U1668" s="5">
        <v>126.35</v>
      </c>
      <c r="V1668" s="5">
        <v>127.54</v>
      </c>
      <c r="W1668" s="5">
        <v>1006110</v>
      </c>
    </row>
    <row r="1669" spans="1:23" x14ac:dyDescent="0.3">
      <c r="A1669" s="6">
        <v>40753</v>
      </c>
      <c r="B1669" s="7">
        <v>0.66666666666666663</v>
      </c>
      <c r="C1669" s="5">
        <v>93</v>
      </c>
      <c r="D1669" s="5">
        <v>95.99</v>
      </c>
      <c r="E1669" s="5">
        <v>92.5</v>
      </c>
      <c r="F1669" s="5">
        <v>93.26</v>
      </c>
      <c r="G1669" s="5">
        <v>401</v>
      </c>
      <c r="Q1669" s="6">
        <v>40708</v>
      </c>
      <c r="R1669" s="7">
        <v>0.66666666666666663</v>
      </c>
      <c r="S1669" s="5">
        <v>127.55</v>
      </c>
      <c r="T1669" s="5">
        <v>129.79</v>
      </c>
      <c r="U1669" s="5">
        <v>127.55</v>
      </c>
      <c r="V1669" s="5">
        <v>128.99</v>
      </c>
      <c r="W1669" s="5">
        <v>662116</v>
      </c>
    </row>
    <row r="1670" spans="1:23" x14ac:dyDescent="0.3">
      <c r="A1670" s="6">
        <v>40756</v>
      </c>
      <c r="B1670" s="7">
        <v>0.66666666666666663</v>
      </c>
      <c r="C1670" s="5">
        <v>95.75</v>
      </c>
      <c r="D1670" s="5">
        <v>97.8</v>
      </c>
      <c r="E1670" s="5">
        <v>95.75</v>
      </c>
      <c r="F1670" s="5">
        <v>96.61</v>
      </c>
      <c r="G1670" s="5">
        <v>6568</v>
      </c>
      <c r="Q1670" s="6">
        <v>40709</v>
      </c>
      <c r="R1670" s="7">
        <v>0.66666666666666663</v>
      </c>
      <c r="S1670" s="5">
        <v>130</v>
      </c>
      <c r="T1670" s="5">
        <v>130.65</v>
      </c>
      <c r="U1670" s="5">
        <v>128.1</v>
      </c>
      <c r="V1670" s="5">
        <v>128.4</v>
      </c>
      <c r="W1670" s="5">
        <v>1159523</v>
      </c>
    </row>
    <row r="1671" spans="1:23" x14ac:dyDescent="0.3">
      <c r="A1671" s="6">
        <v>40757</v>
      </c>
      <c r="B1671" s="7">
        <v>0.66666666666666663</v>
      </c>
      <c r="C1671" s="5">
        <v>95.4</v>
      </c>
      <c r="D1671" s="5">
        <v>97</v>
      </c>
      <c r="E1671" s="5">
        <v>95.4</v>
      </c>
      <c r="F1671" s="5">
        <v>95.5</v>
      </c>
      <c r="G1671" s="5">
        <v>1364</v>
      </c>
      <c r="Q1671" s="6">
        <v>40710</v>
      </c>
      <c r="R1671" s="7">
        <v>0.66666666666666663</v>
      </c>
      <c r="S1671" s="5">
        <v>128.51</v>
      </c>
      <c r="T1671" s="5">
        <v>128.9</v>
      </c>
      <c r="U1671" s="5">
        <v>126.05</v>
      </c>
      <c r="V1671" s="5">
        <v>126.99</v>
      </c>
      <c r="W1671" s="5">
        <v>886693</v>
      </c>
    </row>
    <row r="1672" spans="1:23" x14ac:dyDescent="0.3">
      <c r="A1672" s="6">
        <v>40758</v>
      </c>
      <c r="B1672" s="7">
        <v>0.66666666666666663</v>
      </c>
      <c r="C1672" s="5">
        <v>95.5</v>
      </c>
      <c r="D1672" s="5">
        <v>95.5</v>
      </c>
      <c r="E1672" s="5">
        <v>94.8</v>
      </c>
      <c r="F1672" s="5">
        <v>94.87</v>
      </c>
      <c r="G1672" s="5">
        <v>302</v>
      </c>
      <c r="Q1672" s="6">
        <v>40711</v>
      </c>
      <c r="R1672" s="7">
        <v>0.66666666666666663</v>
      </c>
      <c r="S1672" s="5">
        <v>127.4</v>
      </c>
      <c r="T1672" s="5">
        <v>128.6</v>
      </c>
      <c r="U1672" s="5">
        <v>126.2</v>
      </c>
      <c r="V1672" s="5">
        <v>126.52</v>
      </c>
      <c r="W1672" s="5">
        <v>556286</v>
      </c>
    </row>
    <row r="1673" spans="1:23" x14ac:dyDescent="0.3">
      <c r="A1673" s="6">
        <v>40759</v>
      </c>
      <c r="B1673" s="7">
        <v>0.66666666666666663</v>
      </c>
      <c r="C1673" s="5">
        <v>94</v>
      </c>
      <c r="D1673" s="5">
        <v>95.5</v>
      </c>
      <c r="E1673" s="5">
        <v>94</v>
      </c>
      <c r="F1673" s="5">
        <v>94.87</v>
      </c>
      <c r="G1673" s="5">
        <v>110</v>
      </c>
      <c r="Q1673" s="6">
        <v>40714</v>
      </c>
      <c r="R1673" s="7">
        <v>0.66666666666666663</v>
      </c>
      <c r="S1673" s="5">
        <v>127</v>
      </c>
      <c r="T1673" s="5">
        <v>127</v>
      </c>
      <c r="U1673" s="5">
        <v>120.4</v>
      </c>
      <c r="V1673" s="5">
        <v>120.73</v>
      </c>
      <c r="W1673" s="5">
        <v>807798</v>
      </c>
    </row>
    <row r="1674" spans="1:23" x14ac:dyDescent="0.3">
      <c r="A1674" s="6">
        <v>40760</v>
      </c>
      <c r="B1674" s="7">
        <v>0.66666666666666663</v>
      </c>
      <c r="C1674" s="5">
        <v>94.87</v>
      </c>
      <c r="D1674" s="5">
        <v>94.87</v>
      </c>
      <c r="E1674" s="5">
        <v>90.13</v>
      </c>
      <c r="F1674" s="5">
        <v>90.15</v>
      </c>
      <c r="G1674" s="5">
        <v>6240</v>
      </c>
      <c r="Q1674" s="6">
        <v>40715</v>
      </c>
      <c r="R1674" s="7">
        <v>0.66666666666666663</v>
      </c>
      <c r="S1674" s="5">
        <v>120.9</v>
      </c>
      <c r="T1674" s="5">
        <v>124.5</v>
      </c>
      <c r="U1674" s="5">
        <v>120.9</v>
      </c>
      <c r="V1674" s="5">
        <v>123.44</v>
      </c>
      <c r="W1674" s="5">
        <v>997664</v>
      </c>
    </row>
    <row r="1675" spans="1:23" x14ac:dyDescent="0.3">
      <c r="A1675" s="6">
        <v>40763</v>
      </c>
      <c r="B1675" s="7">
        <v>0.66666666666666663</v>
      </c>
      <c r="C1675" s="5">
        <v>92</v>
      </c>
      <c r="D1675" s="5">
        <v>92</v>
      </c>
      <c r="E1675" s="5">
        <v>87</v>
      </c>
      <c r="F1675" s="5">
        <v>92</v>
      </c>
      <c r="G1675" s="5">
        <v>7917</v>
      </c>
      <c r="Q1675" s="6">
        <v>40716</v>
      </c>
      <c r="R1675" s="7">
        <v>0.66666666666666663</v>
      </c>
      <c r="S1675" s="5">
        <v>123.95</v>
      </c>
      <c r="T1675" s="5">
        <v>129.61000000000001</v>
      </c>
      <c r="U1675" s="5">
        <v>123.01</v>
      </c>
      <c r="V1675" s="5">
        <v>129.34</v>
      </c>
      <c r="W1675" s="5">
        <v>2857813</v>
      </c>
    </row>
    <row r="1676" spans="1:23" x14ac:dyDescent="0.3">
      <c r="A1676" s="6">
        <v>40764</v>
      </c>
      <c r="B1676" s="7">
        <v>0.66666666666666663</v>
      </c>
      <c r="C1676" s="5">
        <v>93.99</v>
      </c>
      <c r="D1676" s="5">
        <v>93.99</v>
      </c>
      <c r="E1676" s="5">
        <v>90.25</v>
      </c>
      <c r="F1676" s="5">
        <v>92</v>
      </c>
      <c r="G1676" s="5">
        <v>201</v>
      </c>
      <c r="Q1676" s="6">
        <v>40717</v>
      </c>
      <c r="R1676" s="7">
        <v>0.66666666666666663</v>
      </c>
      <c r="S1676" s="5">
        <v>129.30000000000001</v>
      </c>
      <c r="T1676" s="5">
        <v>130.97</v>
      </c>
      <c r="U1676" s="5">
        <v>128.41</v>
      </c>
      <c r="V1676" s="5">
        <v>129.54</v>
      </c>
      <c r="W1676" s="5">
        <v>1978245</v>
      </c>
    </row>
    <row r="1677" spans="1:23" x14ac:dyDescent="0.3">
      <c r="A1677" s="6">
        <v>40765</v>
      </c>
      <c r="B1677" s="7">
        <v>0.66666666666666663</v>
      </c>
      <c r="C1677" s="5">
        <v>94</v>
      </c>
      <c r="D1677" s="5">
        <v>94</v>
      </c>
      <c r="E1677" s="5">
        <v>92</v>
      </c>
      <c r="F1677" s="5">
        <v>92</v>
      </c>
      <c r="G1677" s="5">
        <v>155</v>
      </c>
      <c r="Q1677" s="6">
        <v>40721</v>
      </c>
      <c r="R1677" s="7">
        <v>0.66666666666666663</v>
      </c>
      <c r="S1677" s="5">
        <v>123.21</v>
      </c>
      <c r="T1677" s="5">
        <v>124.79</v>
      </c>
      <c r="U1677" s="5">
        <v>122.2</v>
      </c>
      <c r="V1677" s="5">
        <v>123.89</v>
      </c>
      <c r="W1677" s="5">
        <v>942621</v>
      </c>
    </row>
    <row r="1678" spans="1:23" x14ac:dyDescent="0.3">
      <c r="A1678" s="6">
        <v>40766</v>
      </c>
      <c r="B1678" s="7">
        <v>0.66666666666666663</v>
      </c>
      <c r="C1678" s="5">
        <v>93.5</v>
      </c>
      <c r="D1678" s="5">
        <v>95</v>
      </c>
      <c r="E1678" s="5">
        <v>93</v>
      </c>
      <c r="F1678" s="5">
        <v>94.75</v>
      </c>
      <c r="G1678" s="5">
        <v>2535</v>
      </c>
      <c r="Q1678" s="6">
        <v>40722</v>
      </c>
      <c r="R1678" s="7">
        <v>0.66666666666666663</v>
      </c>
      <c r="S1678" s="5">
        <v>123.89</v>
      </c>
      <c r="T1678" s="5">
        <v>123.89</v>
      </c>
      <c r="U1678" s="5">
        <v>121</v>
      </c>
      <c r="V1678" s="5">
        <v>122.12</v>
      </c>
      <c r="W1678" s="5">
        <v>1017723</v>
      </c>
    </row>
    <row r="1679" spans="1:23" x14ac:dyDescent="0.3">
      <c r="A1679" s="6">
        <v>40767</v>
      </c>
      <c r="B1679" s="7">
        <v>0.66666666666666663</v>
      </c>
      <c r="C1679" s="5">
        <v>95.3</v>
      </c>
      <c r="D1679" s="5">
        <v>96</v>
      </c>
      <c r="E1679" s="5">
        <v>94.4</v>
      </c>
      <c r="F1679" s="5">
        <v>95.05</v>
      </c>
      <c r="G1679" s="5">
        <v>3004</v>
      </c>
      <c r="Q1679" s="6">
        <v>40723</v>
      </c>
      <c r="R1679" s="7">
        <v>0.66666666666666663</v>
      </c>
      <c r="S1679" s="5">
        <v>122.6</v>
      </c>
      <c r="T1679" s="5">
        <v>125.99</v>
      </c>
      <c r="U1679" s="5">
        <v>122.6</v>
      </c>
      <c r="V1679" s="5">
        <v>124.23</v>
      </c>
      <c r="W1679" s="5">
        <v>1309700</v>
      </c>
    </row>
    <row r="1680" spans="1:23" x14ac:dyDescent="0.3">
      <c r="A1680" s="6">
        <v>40770</v>
      </c>
      <c r="B1680" s="7">
        <v>0.66666666666666663</v>
      </c>
      <c r="C1680" s="5">
        <v>96.5</v>
      </c>
      <c r="D1680" s="5">
        <v>96.5</v>
      </c>
      <c r="E1680" s="5">
        <v>94.5</v>
      </c>
      <c r="F1680" s="5">
        <v>94.5</v>
      </c>
      <c r="G1680" s="5">
        <v>2400</v>
      </c>
      <c r="Q1680" s="6">
        <v>40724</v>
      </c>
      <c r="R1680" s="7">
        <v>0.66666666666666663</v>
      </c>
      <c r="S1680" s="5">
        <v>124.61</v>
      </c>
      <c r="T1680" s="5">
        <v>125.1</v>
      </c>
      <c r="U1680" s="5">
        <v>122.5</v>
      </c>
      <c r="V1680" s="5">
        <v>122.73</v>
      </c>
      <c r="W1680" s="5">
        <v>628790</v>
      </c>
    </row>
    <row r="1681" spans="1:23" x14ac:dyDescent="0.3">
      <c r="A1681" s="6">
        <v>40771</v>
      </c>
      <c r="B1681" s="7">
        <v>0.66666666666666663</v>
      </c>
      <c r="C1681" s="5">
        <v>96</v>
      </c>
      <c r="D1681" s="5">
        <v>99.22</v>
      </c>
      <c r="E1681" s="5">
        <v>94</v>
      </c>
      <c r="F1681" s="5">
        <v>99.22</v>
      </c>
      <c r="G1681" s="5">
        <v>28226</v>
      </c>
      <c r="Q1681" s="6">
        <v>40725</v>
      </c>
      <c r="R1681" s="7">
        <v>0.66666666666666663</v>
      </c>
      <c r="S1681" s="5">
        <v>122.95</v>
      </c>
      <c r="T1681" s="5">
        <v>124.49</v>
      </c>
      <c r="U1681" s="5">
        <v>122.95</v>
      </c>
      <c r="V1681" s="5">
        <v>123.51</v>
      </c>
      <c r="W1681" s="5">
        <v>493244</v>
      </c>
    </row>
    <row r="1682" spans="1:23" x14ac:dyDescent="0.3">
      <c r="A1682" s="6">
        <v>40772</v>
      </c>
      <c r="B1682" s="7">
        <v>0.66666666666666663</v>
      </c>
      <c r="C1682" s="5">
        <v>97.5</v>
      </c>
      <c r="D1682" s="5">
        <v>102</v>
      </c>
      <c r="E1682" s="5">
        <v>96</v>
      </c>
      <c r="F1682" s="5">
        <v>96.93</v>
      </c>
      <c r="G1682" s="5">
        <v>58385</v>
      </c>
      <c r="Q1682" s="6">
        <v>40728</v>
      </c>
      <c r="R1682" s="7">
        <v>0.66666666666666663</v>
      </c>
      <c r="S1682" s="5">
        <v>124</v>
      </c>
      <c r="T1682" s="5">
        <v>127.4</v>
      </c>
      <c r="U1682" s="5">
        <v>123.5</v>
      </c>
      <c r="V1682" s="5">
        <v>126.97</v>
      </c>
      <c r="W1682" s="5">
        <v>1995487</v>
      </c>
    </row>
    <row r="1683" spans="1:23" x14ac:dyDescent="0.3">
      <c r="A1683" s="6">
        <v>40773</v>
      </c>
      <c r="B1683" s="7">
        <v>0.66666666666666663</v>
      </c>
      <c r="C1683" s="5">
        <v>96.5</v>
      </c>
      <c r="D1683" s="5">
        <v>98.4</v>
      </c>
      <c r="E1683" s="5">
        <v>96.5</v>
      </c>
      <c r="F1683" s="5">
        <v>96.9</v>
      </c>
      <c r="G1683" s="5">
        <v>3174</v>
      </c>
      <c r="Q1683" s="6">
        <v>40729</v>
      </c>
      <c r="R1683" s="7">
        <v>0.66666666666666663</v>
      </c>
      <c r="S1683" s="5">
        <v>127.5</v>
      </c>
      <c r="T1683" s="5">
        <v>128.25</v>
      </c>
      <c r="U1683" s="5">
        <v>126.55</v>
      </c>
      <c r="V1683" s="5">
        <v>127.31</v>
      </c>
      <c r="W1683" s="5">
        <v>1258644</v>
      </c>
    </row>
    <row r="1684" spans="1:23" x14ac:dyDescent="0.3">
      <c r="A1684" s="6">
        <v>40774</v>
      </c>
      <c r="B1684" s="7">
        <v>0.66666666666666663</v>
      </c>
      <c r="C1684" s="5">
        <v>97.5</v>
      </c>
      <c r="D1684" s="5">
        <v>97.5</v>
      </c>
      <c r="E1684" s="5">
        <v>92.06</v>
      </c>
      <c r="F1684" s="5">
        <v>95.59</v>
      </c>
      <c r="G1684" s="5">
        <v>7769</v>
      </c>
      <c r="Q1684" s="6">
        <v>40730</v>
      </c>
      <c r="R1684" s="7">
        <v>0.66666666666666663</v>
      </c>
      <c r="S1684" s="5">
        <v>127.31</v>
      </c>
      <c r="T1684" s="5">
        <v>129.49</v>
      </c>
      <c r="U1684" s="5">
        <v>127.31</v>
      </c>
      <c r="V1684" s="5">
        <v>127.61</v>
      </c>
      <c r="W1684" s="5">
        <v>1050546</v>
      </c>
    </row>
    <row r="1685" spans="1:23" x14ac:dyDescent="0.3">
      <c r="A1685" s="6">
        <v>40777</v>
      </c>
      <c r="B1685" s="7">
        <v>0.66666666666666663</v>
      </c>
      <c r="C1685" s="5">
        <v>95</v>
      </c>
      <c r="D1685" s="5">
        <v>97.5</v>
      </c>
      <c r="E1685" s="5">
        <v>95</v>
      </c>
      <c r="F1685" s="5">
        <v>97.4</v>
      </c>
      <c r="G1685" s="5">
        <v>1742</v>
      </c>
      <c r="Q1685" s="6">
        <v>40731</v>
      </c>
      <c r="R1685" s="7">
        <v>0.66666666666666663</v>
      </c>
      <c r="S1685" s="5">
        <v>127.98</v>
      </c>
      <c r="T1685" s="5">
        <v>129.41999999999999</v>
      </c>
      <c r="U1685" s="5">
        <v>127</v>
      </c>
      <c r="V1685" s="5">
        <v>127.29</v>
      </c>
      <c r="W1685" s="5">
        <v>774493</v>
      </c>
    </row>
    <row r="1686" spans="1:23" x14ac:dyDescent="0.3">
      <c r="A1686" s="6">
        <v>40778</v>
      </c>
      <c r="B1686" s="7">
        <v>0.66666666666666663</v>
      </c>
      <c r="C1686" s="5">
        <v>97.5</v>
      </c>
      <c r="D1686" s="5">
        <v>97.5</v>
      </c>
      <c r="E1686" s="5">
        <v>96.5</v>
      </c>
      <c r="F1686" s="5">
        <v>96.5</v>
      </c>
      <c r="G1686" s="5">
        <v>400</v>
      </c>
      <c r="Q1686" s="6">
        <v>40732</v>
      </c>
      <c r="R1686" s="7">
        <v>0.66666666666666663</v>
      </c>
      <c r="S1686" s="5">
        <v>127.6</v>
      </c>
      <c r="T1686" s="5">
        <v>127.61</v>
      </c>
      <c r="U1686" s="5">
        <v>126.5</v>
      </c>
      <c r="V1686" s="5">
        <v>126.93</v>
      </c>
      <c r="W1686" s="5">
        <v>218654</v>
      </c>
    </row>
    <row r="1687" spans="1:23" x14ac:dyDescent="0.3">
      <c r="A1687" s="6">
        <v>40779</v>
      </c>
      <c r="B1687" s="7">
        <v>0.66666666666666663</v>
      </c>
      <c r="C1687" s="5">
        <v>97.5</v>
      </c>
      <c r="D1687" s="5">
        <v>101.32</v>
      </c>
      <c r="E1687" s="5">
        <v>97.5</v>
      </c>
      <c r="F1687" s="5">
        <v>101.2</v>
      </c>
      <c r="G1687" s="5">
        <v>17805</v>
      </c>
      <c r="Q1687" s="6">
        <v>40735</v>
      </c>
      <c r="R1687" s="7">
        <v>0.66666666666666663</v>
      </c>
      <c r="S1687" s="5">
        <v>127</v>
      </c>
      <c r="T1687" s="5">
        <v>127.9</v>
      </c>
      <c r="U1687" s="5">
        <v>126.02</v>
      </c>
      <c r="V1687" s="5">
        <v>126.45</v>
      </c>
      <c r="W1687" s="5">
        <v>299938</v>
      </c>
    </row>
    <row r="1688" spans="1:23" x14ac:dyDescent="0.3">
      <c r="A1688" s="6">
        <v>40780</v>
      </c>
      <c r="B1688" s="7">
        <v>0.66666666666666663</v>
      </c>
      <c r="C1688" s="5">
        <v>101.7</v>
      </c>
      <c r="D1688" s="5">
        <v>102</v>
      </c>
      <c r="E1688" s="5">
        <v>98</v>
      </c>
      <c r="F1688" s="5">
        <v>98.01</v>
      </c>
      <c r="G1688" s="5">
        <v>6516</v>
      </c>
      <c r="Q1688" s="6">
        <v>40736</v>
      </c>
      <c r="R1688" s="7">
        <v>0.66666666666666663</v>
      </c>
      <c r="S1688" s="5">
        <v>126.75</v>
      </c>
      <c r="T1688" s="5">
        <v>127.05</v>
      </c>
      <c r="U1688" s="5">
        <v>125.5</v>
      </c>
      <c r="V1688" s="5">
        <v>126.06</v>
      </c>
      <c r="W1688" s="5">
        <v>359004</v>
      </c>
    </row>
    <row r="1689" spans="1:23" x14ac:dyDescent="0.3">
      <c r="A1689" s="6">
        <v>40784</v>
      </c>
      <c r="B1689" s="7">
        <v>0.66666666666666663</v>
      </c>
      <c r="C1689" s="5">
        <v>98</v>
      </c>
      <c r="D1689" s="5">
        <v>99</v>
      </c>
      <c r="E1689" s="5">
        <v>96.15</v>
      </c>
      <c r="F1689" s="5">
        <v>97.01</v>
      </c>
      <c r="G1689" s="5">
        <v>5414</v>
      </c>
      <c r="Q1689" s="6">
        <v>40737</v>
      </c>
      <c r="R1689" s="7">
        <v>0.66666666666666663</v>
      </c>
      <c r="S1689" s="5">
        <v>126.59</v>
      </c>
      <c r="T1689" s="5">
        <v>127.5</v>
      </c>
      <c r="U1689" s="5">
        <v>126.4</v>
      </c>
      <c r="V1689" s="5">
        <v>127.16</v>
      </c>
      <c r="W1689" s="5">
        <v>607325</v>
      </c>
    </row>
    <row r="1690" spans="1:23" x14ac:dyDescent="0.3">
      <c r="A1690" s="6">
        <v>40785</v>
      </c>
      <c r="B1690" s="7">
        <v>0.66666666666666663</v>
      </c>
      <c r="C1690" s="5">
        <v>99</v>
      </c>
      <c r="D1690" s="5">
        <v>99</v>
      </c>
      <c r="E1690" s="5">
        <v>92.22</v>
      </c>
      <c r="F1690" s="5">
        <v>97.02</v>
      </c>
      <c r="G1690" s="5">
        <v>7909</v>
      </c>
      <c r="Q1690" s="6">
        <v>40738</v>
      </c>
      <c r="R1690" s="7">
        <v>0.66666666666666663</v>
      </c>
      <c r="S1690" s="5">
        <v>126.8</v>
      </c>
      <c r="T1690" s="5">
        <v>127.2</v>
      </c>
      <c r="U1690" s="5">
        <v>126.5</v>
      </c>
      <c r="V1690" s="5">
        <v>126.79</v>
      </c>
      <c r="W1690" s="5">
        <v>164557</v>
      </c>
    </row>
    <row r="1691" spans="1:23" x14ac:dyDescent="0.3">
      <c r="A1691" s="6">
        <v>40791</v>
      </c>
      <c r="B1691" s="7">
        <v>0.66666666666666663</v>
      </c>
      <c r="C1691" s="5">
        <v>96.2</v>
      </c>
      <c r="D1691" s="5">
        <v>98</v>
      </c>
      <c r="E1691" s="5">
        <v>96.2</v>
      </c>
      <c r="F1691" s="5">
        <v>97</v>
      </c>
      <c r="G1691" s="5">
        <v>4501</v>
      </c>
      <c r="Q1691" s="6">
        <v>40739</v>
      </c>
      <c r="R1691" s="7">
        <v>0.66666666666666663</v>
      </c>
      <c r="S1691" s="5">
        <v>127.49</v>
      </c>
      <c r="T1691" s="5">
        <v>130.33000000000001</v>
      </c>
      <c r="U1691" s="5">
        <v>127.49</v>
      </c>
      <c r="V1691" s="5">
        <v>128.79</v>
      </c>
      <c r="W1691" s="5">
        <v>1529431</v>
      </c>
    </row>
    <row r="1692" spans="1:23" x14ac:dyDescent="0.3">
      <c r="A1692" s="6">
        <v>40792</v>
      </c>
      <c r="B1692" s="7">
        <v>0.66666666666666663</v>
      </c>
      <c r="C1692" s="5">
        <v>96</v>
      </c>
      <c r="D1692" s="5">
        <v>96.05</v>
      </c>
      <c r="E1692" s="5">
        <v>96</v>
      </c>
      <c r="F1692" s="5">
        <v>96.03</v>
      </c>
      <c r="G1692" s="5">
        <v>1101</v>
      </c>
      <c r="Q1692" s="6">
        <v>40742</v>
      </c>
      <c r="R1692" s="7">
        <v>0.66666666666666663</v>
      </c>
      <c r="S1692" s="5">
        <v>129.35</v>
      </c>
      <c r="T1692" s="5">
        <v>130.38999999999999</v>
      </c>
      <c r="U1692" s="5">
        <v>124.75</v>
      </c>
      <c r="V1692" s="5">
        <v>125.76</v>
      </c>
      <c r="W1692" s="5">
        <v>1770041</v>
      </c>
    </row>
    <row r="1693" spans="1:23" x14ac:dyDescent="0.3">
      <c r="A1693" s="6">
        <v>40793</v>
      </c>
      <c r="B1693" s="7">
        <v>0.66666666666666663</v>
      </c>
      <c r="C1693" s="5">
        <v>96</v>
      </c>
      <c r="D1693" s="5">
        <v>97</v>
      </c>
      <c r="E1693" s="5">
        <v>96</v>
      </c>
      <c r="F1693" s="5">
        <v>97</v>
      </c>
      <c r="G1693" s="5">
        <v>863</v>
      </c>
      <c r="Q1693" s="6">
        <v>40743</v>
      </c>
      <c r="R1693" s="7">
        <v>0.66666666666666663</v>
      </c>
      <c r="S1693" s="5">
        <v>126.5</v>
      </c>
      <c r="T1693" s="5">
        <v>132.04</v>
      </c>
      <c r="U1693" s="5">
        <v>124.8</v>
      </c>
      <c r="V1693" s="5">
        <v>132.04</v>
      </c>
      <c r="W1693" s="5">
        <v>2406068</v>
      </c>
    </row>
    <row r="1694" spans="1:23" x14ac:dyDescent="0.3">
      <c r="A1694" s="6">
        <v>40794</v>
      </c>
      <c r="B1694" s="7">
        <v>0.66666666666666663</v>
      </c>
      <c r="C1694" s="5">
        <v>97</v>
      </c>
      <c r="D1694" s="5">
        <v>97</v>
      </c>
      <c r="E1694" s="5">
        <v>96</v>
      </c>
      <c r="F1694" s="5">
        <v>96.98</v>
      </c>
      <c r="G1694" s="5">
        <v>1600</v>
      </c>
      <c r="Q1694" s="6">
        <v>40744</v>
      </c>
      <c r="R1694" s="7">
        <v>0.66666666666666663</v>
      </c>
      <c r="S1694" s="5">
        <v>133.79</v>
      </c>
      <c r="T1694" s="5">
        <v>135.13999999999999</v>
      </c>
      <c r="U1694" s="5">
        <v>129.5</v>
      </c>
      <c r="V1694" s="5">
        <v>130.34</v>
      </c>
      <c r="W1694" s="5">
        <v>2637549</v>
      </c>
    </row>
    <row r="1695" spans="1:23" x14ac:dyDescent="0.3">
      <c r="A1695" s="6">
        <v>40795</v>
      </c>
      <c r="B1695" s="7">
        <v>0.66666666666666663</v>
      </c>
      <c r="C1695" s="5">
        <v>96.01</v>
      </c>
      <c r="D1695" s="5">
        <v>97</v>
      </c>
      <c r="E1695" s="5">
        <v>96</v>
      </c>
      <c r="F1695" s="5">
        <v>97</v>
      </c>
      <c r="G1695" s="5">
        <v>1082</v>
      </c>
      <c r="Q1695" s="6">
        <v>40745</v>
      </c>
      <c r="R1695" s="7">
        <v>0.66666666666666663</v>
      </c>
      <c r="S1695" s="5">
        <v>130.4</v>
      </c>
      <c r="T1695" s="5">
        <v>133.25</v>
      </c>
      <c r="U1695" s="5">
        <v>129.80000000000001</v>
      </c>
      <c r="V1695" s="5">
        <v>132.13999999999999</v>
      </c>
      <c r="W1695" s="5">
        <v>1295451</v>
      </c>
    </row>
    <row r="1696" spans="1:23" x14ac:dyDescent="0.3">
      <c r="A1696" s="6">
        <v>40798</v>
      </c>
      <c r="B1696" s="7">
        <v>0.66666666666666663</v>
      </c>
      <c r="C1696" s="5">
        <v>96</v>
      </c>
      <c r="D1696" s="5">
        <v>101.85</v>
      </c>
      <c r="E1696" s="5">
        <v>96</v>
      </c>
      <c r="F1696" s="5">
        <v>101.31</v>
      </c>
      <c r="G1696" s="5">
        <v>47711</v>
      </c>
      <c r="Q1696" s="6">
        <v>40746</v>
      </c>
      <c r="R1696" s="7">
        <v>0.66666666666666663</v>
      </c>
      <c r="S1696" s="5">
        <v>133.19</v>
      </c>
      <c r="T1696" s="5">
        <v>134.99</v>
      </c>
      <c r="U1696" s="5">
        <v>131.51</v>
      </c>
      <c r="V1696" s="5">
        <v>131.91999999999999</v>
      </c>
      <c r="W1696" s="5">
        <v>1767621</v>
      </c>
    </row>
    <row r="1697" spans="1:23" x14ac:dyDescent="0.3">
      <c r="A1697" s="6">
        <v>40799</v>
      </c>
      <c r="B1697" s="7">
        <v>0.66666666666666663</v>
      </c>
      <c r="C1697" s="5">
        <v>100</v>
      </c>
      <c r="D1697" s="5">
        <v>103.49</v>
      </c>
      <c r="E1697" s="5">
        <v>98</v>
      </c>
      <c r="F1697" s="5">
        <v>103.1</v>
      </c>
      <c r="G1697" s="5">
        <v>3085</v>
      </c>
      <c r="Q1697" s="6">
        <v>40749</v>
      </c>
      <c r="R1697" s="7">
        <v>0.66666666666666663</v>
      </c>
      <c r="S1697" s="5">
        <v>132.4</v>
      </c>
      <c r="T1697" s="5">
        <v>132.6</v>
      </c>
      <c r="U1697" s="5">
        <v>130.80000000000001</v>
      </c>
      <c r="V1697" s="5">
        <v>131.56</v>
      </c>
      <c r="W1697" s="5">
        <v>209644</v>
      </c>
    </row>
    <row r="1698" spans="1:23" x14ac:dyDescent="0.3">
      <c r="A1698" s="6">
        <v>40800</v>
      </c>
      <c r="B1698" s="7">
        <v>0.66666666666666663</v>
      </c>
      <c r="C1698" s="5">
        <v>103.85</v>
      </c>
      <c r="D1698" s="5">
        <v>103.85</v>
      </c>
      <c r="E1698" s="5">
        <v>101</v>
      </c>
      <c r="F1698" s="5">
        <v>101.83</v>
      </c>
      <c r="G1698" s="5">
        <v>4917</v>
      </c>
      <c r="Q1698" s="6">
        <v>40750</v>
      </c>
      <c r="R1698" s="7">
        <v>0.66666666666666663</v>
      </c>
      <c r="S1698" s="5">
        <v>131.5</v>
      </c>
      <c r="T1698" s="5">
        <v>133.18</v>
      </c>
      <c r="U1698" s="5">
        <v>131.5</v>
      </c>
      <c r="V1698" s="5">
        <v>131.78</v>
      </c>
      <c r="W1698" s="5">
        <v>332368</v>
      </c>
    </row>
    <row r="1699" spans="1:23" x14ac:dyDescent="0.3">
      <c r="A1699" s="6">
        <v>40801</v>
      </c>
      <c r="B1699" s="7">
        <v>0.66666666666666663</v>
      </c>
      <c r="C1699" s="5">
        <v>104.88</v>
      </c>
      <c r="D1699" s="5">
        <v>104.89</v>
      </c>
      <c r="E1699" s="5">
        <v>102</v>
      </c>
      <c r="F1699" s="5">
        <v>103</v>
      </c>
      <c r="G1699" s="5">
        <v>2305</v>
      </c>
      <c r="Q1699" s="6">
        <v>40751</v>
      </c>
      <c r="R1699" s="7">
        <v>0.66666666666666663</v>
      </c>
      <c r="S1699" s="5">
        <v>131.69999999999999</v>
      </c>
      <c r="T1699" s="5">
        <v>132.35</v>
      </c>
      <c r="U1699" s="5">
        <v>125.2</v>
      </c>
      <c r="V1699" s="5">
        <v>125.67</v>
      </c>
      <c r="W1699" s="5">
        <v>1069916</v>
      </c>
    </row>
    <row r="1700" spans="1:23" x14ac:dyDescent="0.3">
      <c r="A1700" s="6">
        <v>40802</v>
      </c>
      <c r="B1700" s="7">
        <v>0.66666666666666663</v>
      </c>
      <c r="C1700" s="5">
        <v>105</v>
      </c>
      <c r="D1700" s="5">
        <v>105</v>
      </c>
      <c r="E1700" s="5">
        <v>102.1</v>
      </c>
      <c r="F1700" s="5">
        <v>102.99</v>
      </c>
      <c r="G1700" s="5">
        <v>2450</v>
      </c>
      <c r="Q1700" s="6">
        <v>40752</v>
      </c>
      <c r="R1700" s="7">
        <v>0.66666666666666663</v>
      </c>
      <c r="S1700" s="5">
        <v>126</v>
      </c>
      <c r="T1700" s="5">
        <v>126.9</v>
      </c>
      <c r="U1700" s="5">
        <v>122.25</v>
      </c>
      <c r="V1700" s="5">
        <v>124.53</v>
      </c>
      <c r="W1700" s="5">
        <v>1011945</v>
      </c>
    </row>
    <row r="1701" spans="1:23" x14ac:dyDescent="0.3">
      <c r="A1701" s="6">
        <v>40805</v>
      </c>
      <c r="B1701" s="7">
        <v>0.66666666666666663</v>
      </c>
      <c r="C1701" s="5">
        <v>102.99</v>
      </c>
      <c r="D1701" s="5">
        <v>102.99</v>
      </c>
      <c r="E1701" s="5">
        <v>100.1</v>
      </c>
      <c r="F1701" s="5">
        <v>101.1</v>
      </c>
      <c r="G1701" s="5">
        <v>2472</v>
      </c>
      <c r="Q1701" s="6">
        <v>40753</v>
      </c>
      <c r="R1701" s="7">
        <v>0.66666666666666663</v>
      </c>
      <c r="S1701" s="5">
        <v>125.1</v>
      </c>
      <c r="T1701" s="5">
        <v>126</v>
      </c>
      <c r="U1701" s="5">
        <v>124.26</v>
      </c>
      <c r="V1701" s="5">
        <v>125.26</v>
      </c>
      <c r="W1701" s="5">
        <v>546383</v>
      </c>
    </row>
    <row r="1702" spans="1:23" x14ac:dyDescent="0.3">
      <c r="A1702" s="6">
        <v>40806</v>
      </c>
      <c r="B1702" s="7">
        <v>0.66666666666666663</v>
      </c>
      <c r="C1702" s="5">
        <v>103</v>
      </c>
      <c r="D1702" s="5">
        <v>103</v>
      </c>
      <c r="E1702" s="5">
        <v>101</v>
      </c>
      <c r="F1702" s="5">
        <v>101.62</v>
      </c>
      <c r="G1702" s="5">
        <v>7052</v>
      </c>
      <c r="Q1702" s="6">
        <v>40756</v>
      </c>
      <c r="R1702" s="7">
        <v>0.66666666666666663</v>
      </c>
      <c r="S1702" s="5">
        <v>127.25</v>
      </c>
      <c r="T1702" s="5">
        <v>128</v>
      </c>
      <c r="U1702" s="5">
        <v>125.6</v>
      </c>
      <c r="V1702" s="5">
        <v>126.53</v>
      </c>
      <c r="W1702" s="5">
        <v>397911</v>
      </c>
    </row>
    <row r="1703" spans="1:23" x14ac:dyDescent="0.3">
      <c r="A1703" s="6">
        <v>40807</v>
      </c>
      <c r="B1703" s="7">
        <v>0.66666666666666663</v>
      </c>
      <c r="C1703" s="5">
        <v>102</v>
      </c>
      <c r="D1703" s="5">
        <v>103.5</v>
      </c>
      <c r="E1703" s="5">
        <v>102</v>
      </c>
      <c r="F1703" s="5">
        <v>103.21</v>
      </c>
      <c r="G1703" s="5">
        <v>6644</v>
      </c>
      <c r="Q1703" s="6">
        <v>40757</v>
      </c>
      <c r="R1703" s="7">
        <v>0.66666666666666663</v>
      </c>
      <c r="S1703" s="5">
        <v>126.89</v>
      </c>
      <c r="T1703" s="5">
        <v>126.89</v>
      </c>
      <c r="U1703" s="5">
        <v>124.95</v>
      </c>
      <c r="V1703" s="5">
        <v>125.23</v>
      </c>
      <c r="W1703" s="5">
        <v>124790</v>
      </c>
    </row>
    <row r="1704" spans="1:23" x14ac:dyDescent="0.3">
      <c r="A1704" s="6">
        <v>40809</v>
      </c>
      <c r="B1704" s="7">
        <v>0.66666666666666663</v>
      </c>
      <c r="C1704" s="5">
        <v>101</v>
      </c>
      <c r="D1704" s="5">
        <v>101.75</v>
      </c>
      <c r="E1704" s="5">
        <v>100.31</v>
      </c>
      <c r="F1704" s="5">
        <v>101.08</v>
      </c>
      <c r="G1704" s="5">
        <v>4400</v>
      </c>
      <c r="Q1704" s="6">
        <v>40758</v>
      </c>
      <c r="R1704" s="7">
        <v>0.66666666666666663</v>
      </c>
      <c r="S1704" s="5">
        <v>123.78</v>
      </c>
      <c r="T1704" s="5">
        <v>124.59</v>
      </c>
      <c r="U1704" s="5">
        <v>118.97</v>
      </c>
      <c r="V1704" s="5">
        <v>119.54</v>
      </c>
      <c r="W1704" s="5">
        <v>818602</v>
      </c>
    </row>
    <row r="1705" spans="1:23" x14ac:dyDescent="0.3">
      <c r="A1705" s="6">
        <v>40812</v>
      </c>
      <c r="B1705" s="7">
        <v>0.66666666666666663</v>
      </c>
      <c r="C1705" s="5">
        <v>99</v>
      </c>
      <c r="D1705" s="5">
        <v>99</v>
      </c>
      <c r="E1705" s="5">
        <v>96.1</v>
      </c>
      <c r="F1705" s="5">
        <v>96.56</v>
      </c>
      <c r="G1705" s="5">
        <v>19418</v>
      </c>
      <c r="Q1705" s="6">
        <v>40759</v>
      </c>
      <c r="R1705" s="7">
        <v>0.66666666666666663</v>
      </c>
      <c r="S1705" s="5">
        <v>121</v>
      </c>
      <c r="T1705" s="5">
        <v>121.21</v>
      </c>
      <c r="U1705" s="5">
        <v>115</v>
      </c>
      <c r="V1705" s="5">
        <v>118.35</v>
      </c>
      <c r="W1705" s="5">
        <v>878712</v>
      </c>
    </row>
    <row r="1706" spans="1:23" x14ac:dyDescent="0.3">
      <c r="A1706" s="6">
        <v>40813</v>
      </c>
      <c r="B1706" s="7">
        <v>0.66666666666666663</v>
      </c>
      <c r="C1706" s="5">
        <v>96.5</v>
      </c>
      <c r="D1706" s="5">
        <v>99.96</v>
      </c>
      <c r="E1706" s="5">
        <v>96.5</v>
      </c>
      <c r="F1706" s="5">
        <v>99</v>
      </c>
      <c r="G1706" s="5">
        <v>3750</v>
      </c>
      <c r="Q1706" s="6">
        <v>40760</v>
      </c>
      <c r="R1706" s="7">
        <v>0.66666666666666663</v>
      </c>
      <c r="S1706" s="5">
        <v>117.01</v>
      </c>
      <c r="T1706" s="5">
        <v>117.01</v>
      </c>
      <c r="U1706" s="5">
        <v>112.44</v>
      </c>
      <c r="V1706" s="5">
        <v>112.53</v>
      </c>
      <c r="W1706" s="5">
        <v>800325</v>
      </c>
    </row>
    <row r="1707" spans="1:23" x14ac:dyDescent="0.3">
      <c r="A1707" s="6">
        <v>40814</v>
      </c>
      <c r="B1707" s="7">
        <v>0.66666666666666663</v>
      </c>
      <c r="C1707" s="5">
        <v>98.3</v>
      </c>
      <c r="D1707" s="5">
        <v>99.85</v>
      </c>
      <c r="E1707" s="5">
        <v>98</v>
      </c>
      <c r="F1707" s="5">
        <v>98.01</v>
      </c>
      <c r="G1707" s="5">
        <v>3733</v>
      </c>
      <c r="Q1707" s="6">
        <v>40763</v>
      </c>
      <c r="R1707" s="7">
        <v>0.66666666666666663</v>
      </c>
      <c r="S1707" s="5">
        <v>110</v>
      </c>
      <c r="T1707" s="5">
        <v>111.99</v>
      </c>
      <c r="U1707" s="5">
        <v>106.91</v>
      </c>
      <c r="V1707" s="5">
        <v>110.79</v>
      </c>
      <c r="W1707" s="5">
        <v>1708386</v>
      </c>
    </row>
    <row r="1708" spans="1:23" x14ac:dyDescent="0.3">
      <c r="A1708" s="6">
        <v>40815</v>
      </c>
      <c r="B1708" s="7">
        <v>0.66666666666666663</v>
      </c>
      <c r="C1708" s="5">
        <v>98.51</v>
      </c>
      <c r="D1708" s="5">
        <v>99.98</v>
      </c>
      <c r="E1708" s="5">
        <v>98.5</v>
      </c>
      <c r="F1708" s="5">
        <v>98.96</v>
      </c>
      <c r="G1708" s="5">
        <v>6500</v>
      </c>
      <c r="Q1708" s="6">
        <v>40764</v>
      </c>
      <c r="R1708" s="7">
        <v>0.66666666666666663</v>
      </c>
      <c r="S1708" s="5">
        <v>106.01</v>
      </c>
      <c r="T1708" s="5">
        <v>109</v>
      </c>
      <c r="U1708" s="5">
        <v>105.3</v>
      </c>
      <c r="V1708" s="5">
        <v>105.92</v>
      </c>
      <c r="W1708" s="5">
        <v>766040</v>
      </c>
    </row>
    <row r="1709" spans="1:23" x14ac:dyDescent="0.3">
      <c r="A1709" s="6">
        <v>40816</v>
      </c>
      <c r="B1709" s="7">
        <v>0.66666666666666663</v>
      </c>
      <c r="C1709" s="5">
        <v>100</v>
      </c>
      <c r="D1709" s="5">
        <v>100.9</v>
      </c>
      <c r="E1709" s="5">
        <v>99.01</v>
      </c>
      <c r="F1709" s="5">
        <v>100.2</v>
      </c>
      <c r="G1709" s="5">
        <v>12265</v>
      </c>
      <c r="Q1709" s="6">
        <v>40765</v>
      </c>
      <c r="R1709" s="7">
        <v>0.66666666666666663</v>
      </c>
      <c r="S1709" s="5">
        <v>110</v>
      </c>
      <c r="T1709" s="5">
        <v>111.2</v>
      </c>
      <c r="U1709" s="5">
        <v>108.1</v>
      </c>
      <c r="V1709" s="5">
        <v>109.8</v>
      </c>
      <c r="W1709" s="5">
        <v>1008766</v>
      </c>
    </row>
    <row r="1710" spans="1:23" x14ac:dyDescent="0.3">
      <c r="A1710" s="6">
        <v>40819</v>
      </c>
      <c r="B1710" s="7">
        <v>0.66666666666666663</v>
      </c>
      <c r="C1710" s="5">
        <v>101.98</v>
      </c>
      <c r="D1710" s="5">
        <v>101.99</v>
      </c>
      <c r="E1710" s="5">
        <v>98.35</v>
      </c>
      <c r="F1710" s="5">
        <v>98.81</v>
      </c>
      <c r="G1710" s="5">
        <v>1605</v>
      </c>
      <c r="Q1710" s="6">
        <v>40766</v>
      </c>
      <c r="R1710" s="7">
        <v>0.66666666666666663</v>
      </c>
      <c r="S1710" s="5">
        <v>107.45</v>
      </c>
      <c r="T1710" s="5">
        <v>111.75</v>
      </c>
      <c r="U1710" s="5">
        <v>105.8</v>
      </c>
      <c r="V1710" s="5">
        <v>110.62</v>
      </c>
      <c r="W1710" s="5">
        <v>1322750</v>
      </c>
    </row>
    <row r="1711" spans="1:23" x14ac:dyDescent="0.3">
      <c r="A1711" s="6">
        <v>40820</v>
      </c>
      <c r="B1711" s="7">
        <v>0.66666666666666663</v>
      </c>
      <c r="C1711" s="5">
        <v>99</v>
      </c>
      <c r="D1711" s="5">
        <v>99.01</v>
      </c>
      <c r="E1711" s="5">
        <v>99</v>
      </c>
      <c r="F1711" s="5">
        <v>99</v>
      </c>
      <c r="G1711" s="5">
        <v>1531</v>
      </c>
      <c r="Q1711" s="6">
        <v>40767</v>
      </c>
      <c r="R1711" s="7">
        <v>0.66666666666666663</v>
      </c>
      <c r="S1711" s="5">
        <v>113</v>
      </c>
      <c r="T1711" s="5">
        <v>115.09</v>
      </c>
      <c r="U1711" s="5">
        <v>111.46</v>
      </c>
      <c r="V1711" s="5">
        <v>112.52</v>
      </c>
      <c r="W1711" s="5">
        <v>1009242</v>
      </c>
    </row>
    <row r="1712" spans="1:23" x14ac:dyDescent="0.3">
      <c r="A1712" s="6">
        <v>40822</v>
      </c>
      <c r="B1712" s="7">
        <v>0.66666666666666663</v>
      </c>
      <c r="C1712" s="5">
        <v>98</v>
      </c>
      <c r="D1712" s="5">
        <v>100</v>
      </c>
      <c r="E1712" s="5">
        <v>98</v>
      </c>
      <c r="F1712" s="5">
        <v>100</v>
      </c>
      <c r="G1712" s="5">
        <v>3469</v>
      </c>
      <c r="Q1712" s="6">
        <v>40770</v>
      </c>
      <c r="R1712" s="7">
        <v>0.66666666666666663</v>
      </c>
      <c r="S1712" s="5">
        <v>113.02</v>
      </c>
      <c r="T1712" s="5">
        <v>114.3</v>
      </c>
      <c r="U1712" s="5">
        <v>112.05</v>
      </c>
      <c r="V1712" s="5">
        <v>112.93</v>
      </c>
      <c r="W1712" s="5">
        <v>588225</v>
      </c>
    </row>
    <row r="1713" spans="1:23" x14ac:dyDescent="0.3">
      <c r="A1713" s="6">
        <v>40823</v>
      </c>
      <c r="B1713" s="7">
        <v>0.66666666666666663</v>
      </c>
      <c r="C1713" s="5">
        <v>99</v>
      </c>
      <c r="D1713" s="5">
        <v>103</v>
      </c>
      <c r="E1713" s="5">
        <v>99</v>
      </c>
      <c r="F1713" s="5">
        <v>101.86</v>
      </c>
      <c r="G1713" s="5">
        <v>2327</v>
      </c>
      <c r="Q1713" s="6">
        <v>40771</v>
      </c>
      <c r="R1713" s="7">
        <v>0.66666666666666663</v>
      </c>
      <c r="S1713" s="5">
        <v>113.39</v>
      </c>
      <c r="T1713" s="5">
        <v>115.77</v>
      </c>
      <c r="U1713" s="5">
        <v>112.9</v>
      </c>
      <c r="V1713" s="5">
        <v>114.79</v>
      </c>
      <c r="W1713" s="5">
        <v>820732</v>
      </c>
    </row>
    <row r="1714" spans="1:23" x14ac:dyDescent="0.3">
      <c r="A1714" s="6">
        <v>40826</v>
      </c>
      <c r="B1714" s="7">
        <v>0.66666666666666663</v>
      </c>
      <c r="C1714" s="5">
        <v>102</v>
      </c>
      <c r="D1714" s="5">
        <v>105</v>
      </c>
      <c r="E1714" s="5">
        <v>101.5</v>
      </c>
      <c r="F1714" s="5">
        <v>102.15</v>
      </c>
      <c r="G1714" s="5">
        <v>10775</v>
      </c>
      <c r="Q1714" s="6">
        <v>40772</v>
      </c>
      <c r="R1714" s="7">
        <v>0.66666666666666663</v>
      </c>
      <c r="S1714" s="5">
        <v>115.49</v>
      </c>
      <c r="T1714" s="5">
        <v>120.47</v>
      </c>
      <c r="U1714" s="5">
        <v>115.15</v>
      </c>
      <c r="V1714" s="5">
        <v>119.86</v>
      </c>
      <c r="W1714" s="5">
        <v>2313169</v>
      </c>
    </row>
    <row r="1715" spans="1:23" x14ac:dyDescent="0.3">
      <c r="A1715" s="6">
        <v>40827</v>
      </c>
      <c r="B1715" s="7">
        <v>0.66666666666666663</v>
      </c>
      <c r="C1715" s="5">
        <v>101.5</v>
      </c>
      <c r="D1715" s="5">
        <v>102</v>
      </c>
      <c r="E1715" s="5">
        <v>101.5</v>
      </c>
      <c r="F1715" s="5">
        <v>101.98</v>
      </c>
      <c r="G1715" s="5">
        <v>2100</v>
      </c>
      <c r="Q1715" s="6">
        <v>40773</v>
      </c>
      <c r="R1715" s="7">
        <v>0.66666666666666663</v>
      </c>
      <c r="S1715" s="5">
        <v>120.49</v>
      </c>
      <c r="T1715" s="5">
        <v>120.49</v>
      </c>
      <c r="U1715" s="5">
        <v>116.7</v>
      </c>
      <c r="V1715" s="5">
        <v>117.36</v>
      </c>
      <c r="W1715" s="5">
        <v>804099</v>
      </c>
    </row>
    <row r="1716" spans="1:23" x14ac:dyDescent="0.3">
      <c r="A1716" s="6">
        <v>40828</v>
      </c>
      <c r="B1716" s="7">
        <v>0.66666666666666663</v>
      </c>
      <c r="C1716" s="5">
        <v>101.9</v>
      </c>
      <c r="D1716" s="5">
        <v>103.5</v>
      </c>
      <c r="E1716" s="5">
        <v>101.9</v>
      </c>
      <c r="F1716" s="5">
        <v>103</v>
      </c>
      <c r="G1716" s="5">
        <v>5114</v>
      </c>
      <c r="Q1716" s="6">
        <v>40774</v>
      </c>
      <c r="R1716" s="7">
        <v>0.66666666666666663</v>
      </c>
      <c r="S1716" s="5">
        <v>114.2</v>
      </c>
      <c r="T1716" s="5">
        <v>115</v>
      </c>
      <c r="U1716" s="5">
        <v>111.5</v>
      </c>
      <c r="V1716" s="5">
        <v>113.88</v>
      </c>
      <c r="W1716" s="5">
        <v>795081</v>
      </c>
    </row>
    <row r="1717" spans="1:23" x14ac:dyDescent="0.3">
      <c r="A1717" s="6">
        <v>40829</v>
      </c>
      <c r="B1717" s="7">
        <v>0.66666666666666663</v>
      </c>
      <c r="C1717" s="5">
        <v>103</v>
      </c>
      <c r="D1717" s="5">
        <v>103</v>
      </c>
      <c r="E1717" s="5">
        <v>101.51</v>
      </c>
      <c r="F1717" s="5">
        <v>103</v>
      </c>
      <c r="G1717" s="5">
        <v>1841</v>
      </c>
      <c r="Q1717" s="6">
        <v>40777</v>
      </c>
      <c r="R1717" s="7">
        <v>0.66666666666666663</v>
      </c>
      <c r="S1717" s="5">
        <v>114</v>
      </c>
      <c r="T1717" s="5">
        <v>117.79</v>
      </c>
      <c r="U1717" s="5">
        <v>113.95</v>
      </c>
      <c r="V1717" s="5">
        <v>117.39</v>
      </c>
      <c r="W1717" s="5">
        <v>865830</v>
      </c>
    </row>
    <row r="1718" spans="1:23" x14ac:dyDescent="0.3">
      <c r="A1718" s="6">
        <v>40830</v>
      </c>
      <c r="B1718" s="7">
        <v>0.66666666666666663</v>
      </c>
      <c r="C1718" s="5">
        <v>102</v>
      </c>
      <c r="D1718" s="5">
        <v>104</v>
      </c>
      <c r="E1718" s="5">
        <v>102</v>
      </c>
      <c r="F1718" s="5">
        <v>102.99</v>
      </c>
      <c r="G1718" s="5">
        <v>12095</v>
      </c>
      <c r="Q1718" s="6">
        <v>40778</v>
      </c>
      <c r="R1718" s="7">
        <v>0.66666666666666663</v>
      </c>
      <c r="S1718" s="5">
        <v>117.24</v>
      </c>
      <c r="T1718" s="5">
        <v>118.5</v>
      </c>
      <c r="U1718" s="5">
        <v>115.55</v>
      </c>
      <c r="V1718" s="5">
        <v>117.86</v>
      </c>
      <c r="W1718" s="5">
        <v>381691</v>
      </c>
    </row>
    <row r="1719" spans="1:23" x14ac:dyDescent="0.3">
      <c r="A1719" s="6">
        <v>40833</v>
      </c>
      <c r="B1719" s="7">
        <v>0.66666666666666663</v>
      </c>
      <c r="C1719" s="5">
        <v>103</v>
      </c>
      <c r="D1719" s="5">
        <v>103</v>
      </c>
      <c r="E1719" s="5">
        <v>102</v>
      </c>
      <c r="F1719" s="5">
        <v>102.99</v>
      </c>
      <c r="G1719" s="5">
        <v>3846</v>
      </c>
      <c r="Q1719" s="6">
        <v>40779</v>
      </c>
      <c r="R1719" s="7">
        <v>0.66666666666666663</v>
      </c>
      <c r="S1719" s="5">
        <v>119.1</v>
      </c>
      <c r="T1719" s="5">
        <v>120.69</v>
      </c>
      <c r="U1719" s="5">
        <v>117.15</v>
      </c>
      <c r="V1719" s="5">
        <v>118.37</v>
      </c>
      <c r="W1719" s="5">
        <v>980175</v>
      </c>
    </row>
    <row r="1720" spans="1:23" x14ac:dyDescent="0.3">
      <c r="A1720" s="6">
        <v>40834</v>
      </c>
      <c r="B1720" s="7">
        <v>0.66666666666666663</v>
      </c>
      <c r="C1720" s="5">
        <v>101</v>
      </c>
      <c r="D1720" s="5">
        <v>103</v>
      </c>
      <c r="E1720" s="5">
        <v>101</v>
      </c>
      <c r="F1720" s="5">
        <v>103</v>
      </c>
      <c r="G1720" s="5">
        <v>14801</v>
      </c>
      <c r="Q1720" s="6">
        <v>40780</v>
      </c>
      <c r="R1720" s="7">
        <v>0.66666666666666663</v>
      </c>
      <c r="S1720" s="5">
        <v>118.5</v>
      </c>
      <c r="T1720" s="5">
        <v>118.65</v>
      </c>
      <c r="U1720" s="5">
        <v>115.01</v>
      </c>
      <c r="V1720" s="5">
        <v>115.93</v>
      </c>
      <c r="W1720" s="5">
        <v>658411</v>
      </c>
    </row>
    <row r="1721" spans="1:23" x14ac:dyDescent="0.3">
      <c r="A1721" s="6">
        <v>40835</v>
      </c>
      <c r="B1721" s="7">
        <v>0.66666666666666663</v>
      </c>
      <c r="C1721" s="5">
        <v>103</v>
      </c>
      <c r="D1721" s="5">
        <v>105.9</v>
      </c>
      <c r="E1721" s="5">
        <v>102.79</v>
      </c>
      <c r="F1721" s="5">
        <v>104.1</v>
      </c>
      <c r="G1721" s="5">
        <v>27006</v>
      </c>
      <c r="Q1721" s="6">
        <v>40784</v>
      </c>
      <c r="R1721" s="7">
        <v>0.66666666666666663</v>
      </c>
      <c r="S1721" s="5">
        <v>115.9</v>
      </c>
      <c r="T1721" s="5">
        <v>115.9</v>
      </c>
      <c r="U1721" s="5">
        <v>113.5</v>
      </c>
      <c r="V1721" s="5">
        <v>114.5</v>
      </c>
      <c r="W1721" s="5">
        <v>377115</v>
      </c>
    </row>
    <row r="1722" spans="1:23" x14ac:dyDescent="0.3">
      <c r="A1722" s="6">
        <v>40836</v>
      </c>
      <c r="B1722" s="7">
        <v>0.66666666666666663</v>
      </c>
      <c r="C1722" s="5">
        <v>104.1</v>
      </c>
      <c r="D1722" s="5">
        <v>104.2</v>
      </c>
      <c r="E1722" s="5">
        <v>103.25</v>
      </c>
      <c r="F1722" s="5">
        <v>104.13</v>
      </c>
      <c r="G1722" s="5">
        <v>5206</v>
      </c>
      <c r="Q1722" s="6">
        <v>40785</v>
      </c>
      <c r="R1722" s="7">
        <v>0.66666666666666663</v>
      </c>
      <c r="S1722" s="5">
        <v>114.9</v>
      </c>
      <c r="T1722" s="5">
        <v>117.99</v>
      </c>
      <c r="U1722" s="5">
        <v>114.9</v>
      </c>
      <c r="V1722" s="5">
        <v>117.4</v>
      </c>
      <c r="W1722" s="5">
        <v>717325</v>
      </c>
    </row>
    <row r="1723" spans="1:23" x14ac:dyDescent="0.3">
      <c r="A1723" s="6">
        <v>40837</v>
      </c>
      <c r="B1723" s="7">
        <v>0.66666666666666663</v>
      </c>
      <c r="C1723" s="5">
        <v>104.13</v>
      </c>
      <c r="D1723" s="5">
        <v>104.13</v>
      </c>
      <c r="E1723" s="5">
        <v>102.65</v>
      </c>
      <c r="F1723" s="5">
        <v>103.01</v>
      </c>
      <c r="G1723" s="5">
        <v>5359</v>
      </c>
      <c r="Q1723" s="6">
        <v>40791</v>
      </c>
      <c r="R1723" s="7">
        <v>0.66666666666666663</v>
      </c>
      <c r="S1723" s="5">
        <v>118.01</v>
      </c>
      <c r="T1723" s="5">
        <v>120.34</v>
      </c>
      <c r="U1723" s="5">
        <v>113.15</v>
      </c>
      <c r="V1723" s="5">
        <v>115.48</v>
      </c>
      <c r="W1723" s="5">
        <v>2007946</v>
      </c>
    </row>
    <row r="1724" spans="1:23" x14ac:dyDescent="0.3">
      <c r="A1724" s="6">
        <v>40841</v>
      </c>
      <c r="B1724" s="7">
        <v>0.66666666666666663</v>
      </c>
      <c r="C1724" s="5">
        <v>102.5</v>
      </c>
      <c r="D1724" s="5">
        <v>102.99</v>
      </c>
      <c r="E1724" s="5">
        <v>102.01</v>
      </c>
      <c r="F1724" s="5">
        <v>102.49</v>
      </c>
      <c r="G1724" s="5">
        <v>3073</v>
      </c>
      <c r="Q1724" s="6">
        <v>40792</v>
      </c>
      <c r="R1724" s="7">
        <v>0.66666666666666663</v>
      </c>
      <c r="S1724" s="5">
        <v>115</v>
      </c>
      <c r="T1724" s="5">
        <v>116.9</v>
      </c>
      <c r="U1724" s="5">
        <v>113.6</v>
      </c>
      <c r="V1724" s="5">
        <v>116.41</v>
      </c>
      <c r="W1724" s="5">
        <v>1226672</v>
      </c>
    </row>
    <row r="1725" spans="1:23" x14ac:dyDescent="0.3">
      <c r="A1725" s="6">
        <v>40842</v>
      </c>
      <c r="B1725" s="7">
        <v>0.66666666666666663</v>
      </c>
      <c r="C1725" s="5">
        <v>102.3</v>
      </c>
      <c r="D1725" s="5">
        <v>103</v>
      </c>
      <c r="E1725" s="5">
        <v>101</v>
      </c>
      <c r="F1725" s="5">
        <v>102.1</v>
      </c>
      <c r="G1725" s="5">
        <v>1283</v>
      </c>
      <c r="Q1725" s="6">
        <v>40793</v>
      </c>
      <c r="R1725" s="7">
        <v>0.66666666666666663</v>
      </c>
      <c r="S1725" s="5">
        <v>117</v>
      </c>
      <c r="T1725" s="5">
        <v>120.39</v>
      </c>
      <c r="U1725" s="5">
        <v>117</v>
      </c>
      <c r="V1725" s="5">
        <v>119.15</v>
      </c>
      <c r="W1725" s="5">
        <v>2224657</v>
      </c>
    </row>
    <row r="1726" spans="1:23" x14ac:dyDescent="0.3">
      <c r="A1726" s="6">
        <v>40843</v>
      </c>
      <c r="B1726" s="7">
        <v>0.66666666666666663</v>
      </c>
      <c r="C1726" s="5">
        <v>101.4</v>
      </c>
      <c r="D1726" s="5">
        <v>102.8</v>
      </c>
      <c r="E1726" s="5">
        <v>101.4</v>
      </c>
      <c r="F1726" s="5">
        <v>102.8</v>
      </c>
      <c r="G1726" s="5">
        <v>2180</v>
      </c>
      <c r="Q1726" s="6">
        <v>40794</v>
      </c>
      <c r="R1726" s="7">
        <v>0.66666666666666663</v>
      </c>
      <c r="S1726" s="5">
        <v>120.95</v>
      </c>
      <c r="T1726" s="5">
        <v>124.5</v>
      </c>
      <c r="U1726" s="5">
        <v>120.55</v>
      </c>
      <c r="V1726" s="5">
        <v>123.73</v>
      </c>
      <c r="W1726" s="5">
        <v>2330339</v>
      </c>
    </row>
    <row r="1727" spans="1:23" x14ac:dyDescent="0.3">
      <c r="A1727" s="6">
        <v>40844</v>
      </c>
      <c r="B1727" s="7">
        <v>0.66666666666666663</v>
      </c>
      <c r="C1727" s="5">
        <v>103</v>
      </c>
      <c r="D1727" s="5">
        <v>103.9</v>
      </c>
      <c r="E1727" s="5">
        <v>102.1</v>
      </c>
      <c r="F1727" s="5">
        <v>102.5</v>
      </c>
      <c r="G1727" s="5">
        <v>3154</v>
      </c>
      <c r="Q1727" s="6">
        <v>40795</v>
      </c>
      <c r="R1727" s="7">
        <v>0.66666666666666663</v>
      </c>
      <c r="S1727" s="5">
        <v>124.4</v>
      </c>
      <c r="T1727" s="5">
        <v>125.5</v>
      </c>
      <c r="U1727" s="5">
        <v>121.4</v>
      </c>
      <c r="V1727" s="5">
        <v>121.94</v>
      </c>
      <c r="W1727" s="5">
        <v>1889637</v>
      </c>
    </row>
    <row r="1728" spans="1:23" x14ac:dyDescent="0.3">
      <c r="A1728" s="6">
        <v>40847</v>
      </c>
      <c r="B1728" s="7">
        <v>0.66666666666666663</v>
      </c>
      <c r="C1728" s="5">
        <v>103</v>
      </c>
      <c r="D1728" s="5">
        <v>103</v>
      </c>
      <c r="E1728" s="5">
        <v>102</v>
      </c>
      <c r="F1728" s="5">
        <v>102.9</v>
      </c>
      <c r="G1728" s="5">
        <v>4110</v>
      </c>
      <c r="Q1728" s="6">
        <v>40798</v>
      </c>
      <c r="R1728" s="7">
        <v>0.66666666666666663</v>
      </c>
      <c r="S1728" s="5">
        <v>115.85</v>
      </c>
      <c r="T1728" s="5">
        <v>115.85</v>
      </c>
      <c r="U1728" s="5">
        <v>115.85</v>
      </c>
      <c r="V1728" s="5">
        <v>115.85</v>
      </c>
      <c r="W1728" s="5">
        <v>283630</v>
      </c>
    </row>
    <row r="1729" spans="1:23" x14ac:dyDescent="0.3">
      <c r="A1729" s="6">
        <v>40848</v>
      </c>
      <c r="B1729" s="7">
        <v>0.66666666666666663</v>
      </c>
      <c r="C1729" s="5">
        <v>102.5</v>
      </c>
      <c r="D1729" s="5">
        <v>102.5</v>
      </c>
      <c r="E1729" s="5">
        <v>101.51</v>
      </c>
      <c r="F1729" s="5">
        <v>102.17</v>
      </c>
      <c r="G1729" s="5">
        <v>719</v>
      </c>
      <c r="Q1729" s="6">
        <v>40799</v>
      </c>
      <c r="R1729" s="7">
        <v>0.66666666666666663</v>
      </c>
      <c r="S1729" s="5">
        <v>110.06</v>
      </c>
      <c r="T1729" s="5">
        <v>110.06</v>
      </c>
      <c r="U1729" s="5">
        <v>110.06</v>
      </c>
      <c r="V1729" s="5">
        <v>110.06</v>
      </c>
      <c r="W1729" s="5">
        <v>103681</v>
      </c>
    </row>
    <row r="1730" spans="1:23" x14ac:dyDescent="0.3">
      <c r="A1730" s="6">
        <v>40849</v>
      </c>
      <c r="B1730" s="7">
        <v>0.66666666666666663</v>
      </c>
      <c r="C1730" s="5">
        <v>101.3</v>
      </c>
      <c r="D1730" s="5">
        <v>102.49</v>
      </c>
      <c r="E1730" s="5">
        <v>100.5</v>
      </c>
      <c r="F1730" s="5">
        <v>102</v>
      </c>
      <c r="G1730" s="5">
        <v>1777</v>
      </c>
      <c r="Q1730" s="6">
        <v>40800</v>
      </c>
      <c r="R1730" s="7">
        <v>0.66666666666666663</v>
      </c>
      <c r="S1730" s="5">
        <v>108.52</v>
      </c>
      <c r="T1730" s="5">
        <v>114.46</v>
      </c>
      <c r="U1730" s="5">
        <v>108.52</v>
      </c>
      <c r="V1730" s="5">
        <v>112.41</v>
      </c>
      <c r="W1730" s="5">
        <v>3041246</v>
      </c>
    </row>
    <row r="1731" spans="1:23" x14ac:dyDescent="0.3">
      <c r="A1731" s="6">
        <v>40850</v>
      </c>
      <c r="B1731" s="7">
        <v>0.66666666666666663</v>
      </c>
      <c r="C1731" s="5">
        <v>102</v>
      </c>
      <c r="D1731" s="5">
        <v>102.89</v>
      </c>
      <c r="E1731" s="5">
        <v>101.75</v>
      </c>
      <c r="F1731" s="5">
        <v>101.92</v>
      </c>
      <c r="G1731" s="5">
        <v>1225</v>
      </c>
      <c r="Q1731" s="6">
        <v>40801</v>
      </c>
      <c r="R1731" s="7">
        <v>0.66666666666666663</v>
      </c>
      <c r="S1731" s="5">
        <v>113.38</v>
      </c>
      <c r="T1731" s="5">
        <v>113.7</v>
      </c>
      <c r="U1731" s="5">
        <v>110.65</v>
      </c>
      <c r="V1731" s="5">
        <v>111.01</v>
      </c>
      <c r="W1731" s="5">
        <v>1063472</v>
      </c>
    </row>
    <row r="1732" spans="1:23" x14ac:dyDescent="0.3">
      <c r="A1732" s="6">
        <v>40851</v>
      </c>
      <c r="B1732" s="7">
        <v>0.66666666666666663</v>
      </c>
      <c r="C1732" s="5">
        <v>102</v>
      </c>
      <c r="D1732" s="5">
        <v>104.99</v>
      </c>
      <c r="E1732" s="5">
        <v>102</v>
      </c>
      <c r="F1732" s="5">
        <v>104.97</v>
      </c>
      <c r="G1732" s="5">
        <v>11189</v>
      </c>
      <c r="Q1732" s="6">
        <v>40802</v>
      </c>
      <c r="R1732" s="7">
        <v>0.66666666666666663</v>
      </c>
      <c r="S1732" s="5">
        <v>110.5</v>
      </c>
      <c r="T1732" s="5">
        <v>111.8</v>
      </c>
      <c r="U1732" s="5">
        <v>109.26</v>
      </c>
      <c r="V1732" s="5">
        <v>109.89</v>
      </c>
      <c r="W1732" s="5">
        <v>704658</v>
      </c>
    </row>
    <row r="1733" spans="1:23" x14ac:dyDescent="0.3">
      <c r="A1733" s="6">
        <v>40857</v>
      </c>
      <c r="B1733" s="7">
        <v>0.66666666666666663</v>
      </c>
      <c r="C1733" s="5">
        <v>103.95</v>
      </c>
      <c r="D1733" s="5">
        <v>104</v>
      </c>
      <c r="E1733" s="5">
        <v>103</v>
      </c>
      <c r="F1733" s="5">
        <v>103.95</v>
      </c>
      <c r="G1733" s="5">
        <v>1139</v>
      </c>
      <c r="Q1733" s="6">
        <v>40805</v>
      </c>
      <c r="R1733" s="7">
        <v>0.66666666666666663</v>
      </c>
      <c r="S1733" s="5">
        <v>110.29</v>
      </c>
      <c r="T1733" s="5">
        <v>111</v>
      </c>
      <c r="U1733" s="5">
        <v>109.01</v>
      </c>
      <c r="V1733" s="5">
        <v>109.15</v>
      </c>
      <c r="W1733" s="5">
        <v>441055</v>
      </c>
    </row>
    <row r="1734" spans="1:23" x14ac:dyDescent="0.3">
      <c r="A1734" s="6">
        <v>40858</v>
      </c>
      <c r="B1734" s="7">
        <v>0.66666666666666663</v>
      </c>
      <c r="C1734" s="5">
        <v>103.95</v>
      </c>
      <c r="D1734" s="5">
        <v>104</v>
      </c>
      <c r="E1734" s="5">
        <v>102.5</v>
      </c>
      <c r="F1734" s="5">
        <v>103.99</v>
      </c>
      <c r="G1734" s="5">
        <v>505</v>
      </c>
      <c r="Q1734" s="6">
        <v>40806</v>
      </c>
      <c r="R1734" s="7">
        <v>0.66666666666666663</v>
      </c>
      <c r="S1734" s="5">
        <v>109.48</v>
      </c>
      <c r="T1734" s="5">
        <v>110.75</v>
      </c>
      <c r="U1734" s="5">
        <v>107.52</v>
      </c>
      <c r="V1734" s="5">
        <v>110.42</v>
      </c>
      <c r="W1734" s="5">
        <v>1195113</v>
      </c>
    </row>
    <row r="1735" spans="1:23" x14ac:dyDescent="0.3">
      <c r="A1735" s="6">
        <v>40861</v>
      </c>
      <c r="B1735" s="7">
        <v>0.66666666666666663</v>
      </c>
      <c r="C1735" s="5">
        <v>102.75</v>
      </c>
      <c r="D1735" s="5">
        <v>102.75</v>
      </c>
      <c r="E1735" s="5">
        <v>102</v>
      </c>
      <c r="F1735" s="5">
        <v>102.05</v>
      </c>
      <c r="G1735" s="5">
        <v>1050</v>
      </c>
      <c r="Q1735" s="6">
        <v>40807</v>
      </c>
      <c r="R1735" s="7">
        <v>0.66666666666666663</v>
      </c>
      <c r="S1735" s="5">
        <v>111.25</v>
      </c>
      <c r="T1735" s="5">
        <v>114.3</v>
      </c>
      <c r="U1735" s="5">
        <v>111.25</v>
      </c>
      <c r="V1735" s="5">
        <v>112.95</v>
      </c>
      <c r="W1735" s="5">
        <v>2099830</v>
      </c>
    </row>
    <row r="1736" spans="1:23" x14ac:dyDescent="0.3">
      <c r="A1736" s="6">
        <v>40862</v>
      </c>
      <c r="B1736" s="7">
        <v>0.66666666666666663</v>
      </c>
      <c r="C1736" s="5">
        <v>102.5</v>
      </c>
      <c r="D1736" s="5">
        <v>102.5</v>
      </c>
      <c r="E1736" s="5">
        <v>102.05</v>
      </c>
      <c r="F1736" s="5">
        <v>102.05</v>
      </c>
      <c r="G1736" s="5">
        <v>139</v>
      </c>
      <c r="Q1736" s="6">
        <v>40809</v>
      </c>
      <c r="R1736" s="7">
        <v>0.66666666666666663</v>
      </c>
      <c r="S1736" s="5">
        <v>109</v>
      </c>
      <c r="T1736" s="5">
        <v>110.5</v>
      </c>
      <c r="U1736" s="5">
        <v>108.25</v>
      </c>
      <c r="V1736" s="5">
        <v>109.32</v>
      </c>
      <c r="W1736" s="5">
        <v>896203</v>
      </c>
    </row>
    <row r="1737" spans="1:23" x14ac:dyDescent="0.3">
      <c r="A1737" s="6">
        <v>40863</v>
      </c>
      <c r="B1737" s="7">
        <v>0.66666666666666663</v>
      </c>
      <c r="C1737" s="5">
        <v>102.3</v>
      </c>
      <c r="D1737" s="5">
        <v>104</v>
      </c>
      <c r="E1737" s="5">
        <v>102.3</v>
      </c>
      <c r="F1737" s="5">
        <v>103.78</v>
      </c>
      <c r="G1737" s="5">
        <v>1333</v>
      </c>
      <c r="Q1737" s="6">
        <v>40812</v>
      </c>
      <c r="R1737" s="7">
        <v>0.66666666666666663</v>
      </c>
      <c r="S1737" s="5">
        <v>107</v>
      </c>
      <c r="T1737" s="5">
        <v>107.49</v>
      </c>
      <c r="U1737" s="5">
        <v>103.86</v>
      </c>
      <c r="V1737" s="5">
        <v>104.42</v>
      </c>
      <c r="W1737" s="5">
        <v>1105451</v>
      </c>
    </row>
    <row r="1738" spans="1:23" x14ac:dyDescent="0.3">
      <c r="A1738" s="6">
        <v>40864</v>
      </c>
      <c r="B1738" s="7">
        <v>0.66666666666666663</v>
      </c>
      <c r="C1738" s="5">
        <v>103</v>
      </c>
      <c r="D1738" s="5">
        <v>103</v>
      </c>
      <c r="E1738" s="5">
        <v>103</v>
      </c>
      <c r="F1738" s="5">
        <v>103</v>
      </c>
      <c r="G1738" s="5">
        <v>2400</v>
      </c>
      <c r="Q1738" s="6">
        <v>40813</v>
      </c>
      <c r="R1738" s="7">
        <v>0.66666666666666663</v>
      </c>
      <c r="S1738" s="5">
        <v>106.25</v>
      </c>
      <c r="T1738" s="5">
        <v>107.85</v>
      </c>
      <c r="U1738" s="5">
        <v>106.25</v>
      </c>
      <c r="V1738" s="5">
        <v>107.57</v>
      </c>
      <c r="W1738" s="5">
        <v>818029</v>
      </c>
    </row>
    <row r="1739" spans="1:23" x14ac:dyDescent="0.3">
      <c r="A1739" s="6">
        <v>40865</v>
      </c>
      <c r="B1739" s="7">
        <v>0.66666666666666663</v>
      </c>
      <c r="C1739" s="5">
        <v>104</v>
      </c>
      <c r="D1739" s="5">
        <v>104</v>
      </c>
      <c r="E1739" s="5">
        <v>102.51</v>
      </c>
      <c r="F1739" s="5">
        <v>102.51</v>
      </c>
      <c r="G1739" s="5">
        <v>506</v>
      </c>
      <c r="Q1739" s="6">
        <v>40814</v>
      </c>
      <c r="R1739" s="7">
        <v>0.66666666666666663</v>
      </c>
      <c r="S1739" s="5">
        <v>108.6</v>
      </c>
      <c r="T1739" s="5">
        <v>112.25</v>
      </c>
      <c r="U1739" s="5">
        <v>108.25</v>
      </c>
      <c r="V1739" s="5">
        <v>111.74</v>
      </c>
      <c r="W1739" s="5">
        <v>2000899</v>
      </c>
    </row>
    <row r="1740" spans="1:23" x14ac:dyDescent="0.3">
      <c r="A1740" s="6">
        <v>40868</v>
      </c>
      <c r="B1740" s="7">
        <v>0.66666666666666663</v>
      </c>
      <c r="C1740" s="5">
        <v>103.1</v>
      </c>
      <c r="D1740" s="5">
        <v>103.2</v>
      </c>
      <c r="E1740" s="5">
        <v>102.5</v>
      </c>
      <c r="F1740" s="5">
        <v>102.74</v>
      </c>
      <c r="G1740" s="5">
        <v>6920</v>
      </c>
      <c r="Q1740" s="6">
        <v>40815</v>
      </c>
      <c r="R1740" s="7">
        <v>0.66666666666666663</v>
      </c>
      <c r="S1740" s="5">
        <v>110.75</v>
      </c>
      <c r="T1740" s="5">
        <v>111.75</v>
      </c>
      <c r="U1740" s="5">
        <v>109.1</v>
      </c>
      <c r="V1740" s="5">
        <v>109.61</v>
      </c>
      <c r="W1740" s="5">
        <v>618660</v>
      </c>
    </row>
    <row r="1741" spans="1:23" x14ac:dyDescent="0.3">
      <c r="A1741" s="6">
        <v>40869</v>
      </c>
      <c r="B1741" s="7">
        <v>0.66666666666666663</v>
      </c>
      <c r="C1741" s="5">
        <v>103.24</v>
      </c>
      <c r="D1741" s="5">
        <v>103.24</v>
      </c>
      <c r="E1741" s="5">
        <v>102</v>
      </c>
      <c r="F1741" s="5">
        <v>102</v>
      </c>
      <c r="G1741" s="5">
        <v>4855</v>
      </c>
      <c r="Q1741" s="6">
        <v>40816</v>
      </c>
      <c r="R1741" s="7">
        <v>0.66666666666666663</v>
      </c>
      <c r="S1741" s="5">
        <v>109.94</v>
      </c>
      <c r="T1741" s="5">
        <v>112.65</v>
      </c>
      <c r="U1741" s="5">
        <v>109.94</v>
      </c>
      <c r="V1741" s="5">
        <v>111.1</v>
      </c>
      <c r="W1741" s="5">
        <v>1295014</v>
      </c>
    </row>
    <row r="1742" spans="1:23" x14ac:dyDescent="0.3">
      <c r="A1742" s="6">
        <v>40870</v>
      </c>
      <c r="B1742" s="7">
        <v>0.66666666666666663</v>
      </c>
      <c r="C1742" s="5">
        <v>102</v>
      </c>
      <c r="D1742" s="5">
        <v>102.01</v>
      </c>
      <c r="E1742" s="5">
        <v>100.75</v>
      </c>
      <c r="F1742" s="5">
        <v>101.24</v>
      </c>
      <c r="G1742" s="5">
        <v>7479</v>
      </c>
      <c r="Q1742" s="6">
        <v>40819</v>
      </c>
      <c r="R1742" s="7">
        <v>0.66666666666666663</v>
      </c>
      <c r="S1742" s="5">
        <v>111</v>
      </c>
      <c r="T1742" s="5">
        <v>112.2</v>
      </c>
      <c r="U1742" s="5">
        <v>110.35</v>
      </c>
      <c r="V1742" s="5">
        <v>110.96</v>
      </c>
      <c r="W1742" s="5">
        <v>671907</v>
      </c>
    </row>
    <row r="1743" spans="1:23" x14ac:dyDescent="0.3">
      <c r="A1743" s="6">
        <v>40871</v>
      </c>
      <c r="B1743" s="7">
        <v>0.66666666666666663</v>
      </c>
      <c r="C1743" s="5">
        <v>102.5</v>
      </c>
      <c r="D1743" s="5">
        <v>102.5</v>
      </c>
      <c r="E1743" s="5">
        <v>100.25</v>
      </c>
      <c r="F1743" s="5">
        <v>100.31</v>
      </c>
      <c r="G1743" s="5">
        <v>2654</v>
      </c>
      <c r="Q1743" s="6">
        <v>40820</v>
      </c>
      <c r="R1743" s="7">
        <v>0.66666666666666663</v>
      </c>
      <c r="S1743" s="5">
        <v>111.79</v>
      </c>
      <c r="T1743" s="5">
        <v>112.99</v>
      </c>
      <c r="U1743" s="5">
        <v>111.2</v>
      </c>
      <c r="V1743" s="5">
        <v>111.66</v>
      </c>
      <c r="W1743" s="5">
        <v>975000</v>
      </c>
    </row>
    <row r="1744" spans="1:23" x14ac:dyDescent="0.3">
      <c r="A1744" s="6">
        <v>40872</v>
      </c>
      <c r="B1744" s="7">
        <v>0.66666666666666663</v>
      </c>
      <c r="C1744" s="5">
        <v>100.3</v>
      </c>
      <c r="D1744" s="5">
        <v>102</v>
      </c>
      <c r="E1744" s="5">
        <v>100.25</v>
      </c>
      <c r="F1744" s="5">
        <v>100.37</v>
      </c>
      <c r="G1744" s="5">
        <v>1677</v>
      </c>
      <c r="Q1744" s="6">
        <v>40821</v>
      </c>
      <c r="R1744" s="7">
        <v>0.66666666666666663</v>
      </c>
      <c r="S1744" s="5">
        <v>111.7</v>
      </c>
      <c r="T1744" s="5">
        <v>112.6</v>
      </c>
      <c r="U1744" s="5">
        <v>110.51</v>
      </c>
      <c r="V1744" s="5">
        <v>111.02</v>
      </c>
      <c r="W1744" s="5">
        <v>336942</v>
      </c>
    </row>
    <row r="1745" spans="1:23" x14ac:dyDescent="0.3">
      <c r="A1745" s="6">
        <v>40875</v>
      </c>
      <c r="B1745" s="7">
        <v>0.66666666666666663</v>
      </c>
      <c r="C1745" s="5">
        <v>101.6</v>
      </c>
      <c r="D1745" s="5">
        <v>101.6</v>
      </c>
      <c r="E1745" s="5">
        <v>100</v>
      </c>
      <c r="F1745" s="5">
        <v>100</v>
      </c>
      <c r="G1745" s="5">
        <v>2094</v>
      </c>
      <c r="Q1745" s="6">
        <v>40822</v>
      </c>
      <c r="R1745" s="7">
        <v>0.66666666666666663</v>
      </c>
      <c r="S1745" s="5">
        <v>112.69</v>
      </c>
      <c r="T1745" s="5">
        <v>112.69</v>
      </c>
      <c r="U1745" s="5">
        <v>110.9</v>
      </c>
      <c r="V1745" s="5">
        <v>111.07</v>
      </c>
      <c r="W1745" s="5">
        <v>373548</v>
      </c>
    </row>
    <row r="1746" spans="1:23" x14ac:dyDescent="0.3">
      <c r="A1746" s="6">
        <v>40876</v>
      </c>
      <c r="B1746" s="7">
        <v>0.66666666666666663</v>
      </c>
      <c r="C1746" s="5">
        <v>100</v>
      </c>
      <c r="D1746" s="5">
        <v>100</v>
      </c>
      <c r="E1746" s="5">
        <v>99.25</v>
      </c>
      <c r="F1746" s="5">
        <v>99.52</v>
      </c>
      <c r="G1746" s="5">
        <v>6483</v>
      </c>
      <c r="Q1746" s="6">
        <v>40823</v>
      </c>
      <c r="R1746" s="7">
        <v>0.66666666666666663</v>
      </c>
      <c r="S1746" s="5">
        <v>111.39</v>
      </c>
      <c r="T1746" s="5">
        <v>112</v>
      </c>
      <c r="U1746" s="5">
        <v>110.5</v>
      </c>
      <c r="V1746" s="5">
        <v>110.98</v>
      </c>
      <c r="W1746" s="5">
        <v>517479</v>
      </c>
    </row>
    <row r="1747" spans="1:23" x14ac:dyDescent="0.3">
      <c r="A1747" s="6">
        <v>40877</v>
      </c>
      <c r="B1747" s="7">
        <v>0.66666666666666663</v>
      </c>
      <c r="C1747" s="5">
        <v>99.75</v>
      </c>
      <c r="D1747" s="5">
        <v>102.99</v>
      </c>
      <c r="E1747" s="5">
        <v>99.75</v>
      </c>
      <c r="F1747" s="5">
        <v>102.5</v>
      </c>
      <c r="G1747" s="5">
        <v>20946</v>
      </c>
      <c r="Q1747" s="6">
        <v>40826</v>
      </c>
      <c r="R1747" s="7">
        <v>0.66666666666666663</v>
      </c>
      <c r="S1747" s="5">
        <v>113.5</v>
      </c>
      <c r="T1747" s="5">
        <v>113.5</v>
      </c>
      <c r="U1747" s="5">
        <v>110.83</v>
      </c>
      <c r="V1747" s="5">
        <v>111.19</v>
      </c>
      <c r="W1747" s="5">
        <v>1121546</v>
      </c>
    </row>
    <row r="1748" spans="1:23" x14ac:dyDescent="0.3">
      <c r="A1748" s="6">
        <v>40878</v>
      </c>
      <c r="B1748" s="7">
        <v>0.66666666666666663</v>
      </c>
      <c r="C1748" s="5">
        <v>103</v>
      </c>
      <c r="D1748" s="5">
        <v>103</v>
      </c>
      <c r="E1748" s="5">
        <v>100.25</v>
      </c>
      <c r="F1748" s="5">
        <v>100.75</v>
      </c>
      <c r="G1748" s="5">
        <v>16700</v>
      </c>
      <c r="Q1748" s="6">
        <v>40827</v>
      </c>
      <c r="R1748" s="7">
        <v>0.66666666666666663</v>
      </c>
      <c r="S1748" s="5">
        <v>111</v>
      </c>
      <c r="T1748" s="5">
        <v>116.74</v>
      </c>
      <c r="U1748" s="5">
        <v>110.71</v>
      </c>
      <c r="V1748" s="5">
        <v>116.66</v>
      </c>
      <c r="W1748" s="5">
        <v>4332646</v>
      </c>
    </row>
    <row r="1749" spans="1:23" x14ac:dyDescent="0.3">
      <c r="A1749" s="6">
        <v>40879</v>
      </c>
      <c r="B1749" s="7">
        <v>0.66666666666666663</v>
      </c>
      <c r="C1749" s="5">
        <v>104</v>
      </c>
      <c r="D1749" s="5">
        <v>104</v>
      </c>
      <c r="E1749" s="5">
        <v>99.01</v>
      </c>
      <c r="F1749" s="5">
        <v>100.63</v>
      </c>
      <c r="G1749" s="5">
        <v>2052</v>
      </c>
      <c r="Q1749" s="6">
        <v>40828</v>
      </c>
      <c r="R1749" s="7">
        <v>0.66666666666666663</v>
      </c>
      <c r="S1749" s="5">
        <v>117.99</v>
      </c>
      <c r="T1749" s="5">
        <v>119.25</v>
      </c>
      <c r="U1749" s="5">
        <v>116.71</v>
      </c>
      <c r="V1749" s="5">
        <v>117.35</v>
      </c>
      <c r="W1749" s="5">
        <v>2162761</v>
      </c>
    </row>
    <row r="1750" spans="1:23" x14ac:dyDescent="0.3">
      <c r="A1750" s="6">
        <v>40884</v>
      </c>
      <c r="B1750" s="7">
        <v>0.66666666666666663</v>
      </c>
      <c r="C1750" s="5">
        <v>100.5</v>
      </c>
      <c r="D1750" s="5">
        <v>101.9</v>
      </c>
      <c r="E1750" s="5">
        <v>100.5</v>
      </c>
      <c r="F1750" s="5">
        <v>100.63</v>
      </c>
      <c r="G1750" s="5">
        <v>201</v>
      </c>
      <c r="Q1750" s="6">
        <v>40829</v>
      </c>
      <c r="R1750" s="7">
        <v>0.66666666666666663</v>
      </c>
      <c r="S1750" s="5">
        <v>116.55</v>
      </c>
      <c r="T1750" s="5">
        <v>116.98</v>
      </c>
      <c r="U1750" s="5">
        <v>111.6</v>
      </c>
      <c r="V1750" s="5">
        <v>112.1</v>
      </c>
      <c r="W1750" s="5">
        <v>1807300</v>
      </c>
    </row>
    <row r="1751" spans="1:23" x14ac:dyDescent="0.3">
      <c r="A1751" s="6">
        <v>40885</v>
      </c>
      <c r="B1751" s="7">
        <v>0.66666666666666663</v>
      </c>
      <c r="C1751" s="5">
        <v>101</v>
      </c>
      <c r="D1751" s="5">
        <v>101.45</v>
      </c>
      <c r="E1751" s="5">
        <v>100.99</v>
      </c>
      <c r="F1751" s="5">
        <v>101.11</v>
      </c>
      <c r="G1751" s="5">
        <v>400</v>
      </c>
      <c r="Q1751" s="6">
        <v>40830</v>
      </c>
      <c r="R1751" s="7">
        <v>0.66666666666666663</v>
      </c>
      <c r="S1751" s="5">
        <v>113.2</v>
      </c>
      <c r="T1751" s="5">
        <v>115.2</v>
      </c>
      <c r="U1751" s="5">
        <v>112.51</v>
      </c>
      <c r="V1751" s="5">
        <v>113.66</v>
      </c>
      <c r="W1751" s="5">
        <v>1042464</v>
      </c>
    </row>
    <row r="1752" spans="1:23" x14ac:dyDescent="0.3">
      <c r="A1752" s="6">
        <v>40886</v>
      </c>
      <c r="B1752" s="7">
        <v>0.66666666666666663</v>
      </c>
      <c r="C1752" s="5">
        <v>101.11</v>
      </c>
      <c r="D1752" s="5">
        <v>101.5</v>
      </c>
      <c r="E1752" s="5">
        <v>101.11</v>
      </c>
      <c r="F1752" s="5">
        <v>101.11</v>
      </c>
      <c r="G1752" s="5">
        <v>200</v>
      </c>
      <c r="Q1752" s="6">
        <v>40833</v>
      </c>
      <c r="R1752" s="7">
        <v>0.66666666666666663</v>
      </c>
      <c r="S1752" s="5">
        <v>113.99</v>
      </c>
      <c r="T1752" s="5">
        <v>119.34</v>
      </c>
      <c r="U1752" s="5">
        <v>112.25</v>
      </c>
      <c r="V1752" s="5">
        <v>119.34</v>
      </c>
      <c r="W1752" s="5">
        <v>2608280</v>
      </c>
    </row>
    <row r="1753" spans="1:23" x14ac:dyDescent="0.3">
      <c r="A1753" s="6">
        <v>40889</v>
      </c>
      <c r="B1753" s="7">
        <v>0.66666666666666663</v>
      </c>
      <c r="C1753" s="5">
        <v>102</v>
      </c>
      <c r="D1753" s="5">
        <v>102</v>
      </c>
      <c r="E1753" s="5">
        <v>101</v>
      </c>
      <c r="F1753" s="5">
        <v>101.11</v>
      </c>
      <c r="G1753" s="5">
        <v>227</v>
      </c>
      <c r="Q1753" s="6">
        <v>40834</v>
      </c>
      <c r="R1753" s="7">
        <v>0.66666666666666663</v>
      </c>
      <c r="S1753" s="5">
        <v>119.34</v>
      </c>
      <c r="T1753" s="5">
        <v>125</v>
      </c>
      <c r="U1753" s="5">
        <v>119.34</v>
      </c>
      <c r="V1753" s="5">
        <v>124.2</v>
      </c>
      <c r="W1753" s="5">
        <v>3510906</v>
      </c>
    </row>
    <row r="1754" spans="1:23" x14ac:dyDescent="0.3">
      <c r="A1754" s="6">
        <v>40891</v>
      </c>
      <c r="B1754" s="7">
        <v>0.66666666666666663</v>
      </c>
      <c r="C1754" s="5">
        <v>102</v>
      </c>
      <c r="D1754" s="5">
        <v>102</v>
      </c>
      <c r="E1754" s="5">
        <v>100.5</v>
      </c>
      <c r="F1754" s="5">
        <v>100.83</v>
      </c>
      <c r="G1754" s="5">
        <v>903</v>
      </c>
      <c r="Q1754" s="6">
        <v>40835</v>
      </c>
      <c r="R1754" s="7">
        <v>0.66666666666666663</v>
      </c>
      <c r="S1754" s="5">
        <v>124.5</v>
      </c>
      <c r="T1754" s="5">
        <v>125</v>
      </c>
      <c r="U1754" s="5">
        <v>117.99</v>
      </c>
      <c r="V1754" s="5">
        <v>120.92</v>
      </c>
      <c r="W1754" s="5">
        <v>1917737</v>
      </c>
    </row>
    <row r="1755" spans="1:23" x14ac:dyDescent="0.3">
      <c r="A1755" s="6">
        <v>40892</v>
      </c>
      <c r="B1755" s="7">
        <v>0.66666666666666663</v>
      </c>
      <c r="C1755" s="5">
        <v>100</v>
      </c>
      <c r="D1755" s="5">
        <v>101.48</v>
      </c>
      <c r="E1755" s="5">
        <v>98.5</v>
      </c>
      <c r="F1755" s="5">
        <v>99.3</v>
      </c>
      <c r="G1755" s="5">
        <v>4200</v>
      </c>
      <c r="Q1755" s="6">
        <v>40836</v>
      </c>
      <c r="R1755" s="7">
        <v>0.66666666666666663</v>
      </c>
      <c r="S1755" s="5">
        <v>121.59</v>
      </c>
      <c r="T1755" s="5">
        <v>123.59</v>
      </c>
      <c r="U1755" s="5">
        <v>121.1</v>
      </c>
      <c r="V1755" s="5">
        <v>121.5</v>
      </c>
      <c r="W1755" s="5">
        <v>1270973</v>
      </c>
    </row>
    <row r="1756" spans="1:23" x14ac:dyDescent="0.3">
      <c r="A1756" s="6">
        <v>40893</v>
      </c>
      <c r="B1756" s="7">
        <v>0.66666666666666663</v>
      </c>
      <c r="C1756" s="5">
        <v>100</v>
      </c>
      <c r="D1756" s="5">
        <v>100</v>
      </c>
      <c r="E1756" s="5">
        <v>99.85</v>
      </c>
      <c r="F1756" s="5">
        <v>99.97</v>
      </c>
      <c r="G1756" s="5">
        <v>1015</v>
      </c>
      <c r="Q1756" s="6">
        <v>40837</v>
      </c>
      <c r="R1756" s="7">
        <v>0.66666666666666663</v>
      </c>
      <c r="S1756" s="5">
        <v>121.75</v>
      </c>
      <c r="T1756" s="5">
        <v>122.35</v>
      </c>
      <c r="U1756" s="5">
        <v>118.02</v>
      </c>
      <c r="V1756" s="5">
        <v>118.9</v>
      </c>
      <c r="W1756" s="5">
        <v>911530</v>
      </c>
    </row>
    <row r="1757" spans="1:23" x14ac:dyDescent="0.3">
      <c r="A1757" s="6">
        <v>40896</v>
      </c>
      <c r="B1757" s="7">
        <v>0.66666666666666663</v>
      </c>
      <c r="C1757" s="5">
        <v>101</v>
      </c>
      <c r="D1757" s="5">
        <v>101</v>
      </c>
      <c r="E1757" s="5">
        <v>100.5</v>
      </c>
      <c r="F1757" s="5">
        <v>100.8</v>
      </c>
      <c r="G1757" s="5">
        <v>324</v>
      </c>
      <c r="Q1757" s="6">
        <v>40841</v>
      </c>
      <c r="R1757" s="7">
        <v>0.66666666666666663</v>
      </c>
      <c r="S1757" s="5">
        <v>119.9</v>
      </c>
      <c r="T1757" s="5">
        <v>121.2</v>
      </c>
      <c r="U1757" s="5">
        <v>118.12</v>
      </c>
      <c r="V1757" s="5">
        <v>118.78</v>
      </c>
      <c r="W1757" s="5">
        <v>704071</v>
      </c>
    </row>
    <row r="1758" spans="1:23" x14ac:dyDescent="0.3">
      <c r="A1758" s="6">
        <v>40897</v>
      </c>
      <c r="B1758" s="7">
        <v>0.66666666666666663</v>
      </c>
      <c r="C1758" s="5">
        <v>100.5</v>
      </c>
      <c r="D1758" s="5">
        <v>100.5</v>
      </c>
      <c r="E1758" s="5">
        <v>99</v>
      </c>
      <c r="F1758" s="5">
        <v>99</v>
      </c>
      <c r="G1758" s="5">
        <v>5010</v>
      </c>
      <c r="Q1758" s="6">
        <v>40842</v>
      </c>
      <c r="R1758" s="7">
        <v>0.66666666666666663</v>
      </c>
      <c r="S1758" s="5">
        <v>119.8</v>
      </c>
      <c r="T1758" s="5">
        <v>120.4</v>
      </c>
      <c r="U1758" s="5">
        <v>116.1</v>
      </c>
      <c r="V1758" s="5">
        <v>117.57</v>
      </c>
      <c r="W1758" s="5">
        <v>833559</v>
      </c>
    </row>
    <row r="1759" spans="1:23" x14ac:dyDescent="0.3">
      <c r="A1759" s="6">
        <v>40898</v>
      </c>
      <c r="B1759" s="7">
        <v>0.66666666666666663</v>
      </c>
      <c r="C1759" s="5">
        <v>99</v>
      </c>
      <c r="D1759" s="5">
        <v>100</v>
      </c>
      <c r="E1759" s="5">
        <v>98.5</v>
      </c>
      <c r="F1759" s="5">
        <v>99.54</v>
      </c>
      <c r="G1759" s="5">
        <v>426</v>
      </c>
      <c r="Q1759" s="6">
        <v>40843</v>
      </c>
      <c r="R1759" s="7">
        <v>0.66666666666666663</v>
      </c>
      <c r="S1759" s="5">
        <v>117.55</v>
      </c>
      <c r="T1759" s="5">
        <v>118.9</v>
      </c>
      <c r="U1759" s="5">
        <v>114.5</v>
      </c>
      <c r="V1759" s="5">
        <v>115.18</v>
      </c>
      <c r="W1759" s="5">
        <v>712185</v>
      </c>
    </row>
    <row r="1760" spans="1:23" x14ac:dyDescent="0.3">
      <c r="A1760" s="6">
        <v>40899</v>
      </c>
      <c r="B1760" s="7">
        <v>0.66666666666666663</v>
      </c>
      <c r="C1760" s="5">
        <v>99.54</v>
      </c>
      <c r="D1760" s="5">
        <v>100</v>
      </c>
      <c r="E1760" s="5">
        <v>99.54</v>
      </c>
      <c r="F1760" s="5">
        <v>99.54</v>
      </c>
      <c r="G1760" s="5">
        <v>164</v>
      </c>
      <c r="Q1760" s="6">
        <v>40844</v>
      </c>
      <c r="R1760" s="7">
        <v>0.66666666666666663</v>
      </c>
      <c r="S1760" s="5">
        <v>116.5</v>
      </c>
      <c r="T1760" s="5">
        <v>119.8</v>
      </c>
      <c r="U1760" s="5">
        <v>115.61</v>
      </c>
      <c r="V1760" s="5">
        <v>118.93</v>
      </c>
      <c r="W1760" s="5">
        <v>893360</v>
      </c>
    </row>
    <row r="1761" spans="1:23" x14ac:dyDescent="0.3">
      <c r="A1761" s="6">
        <v>40900</v>
      </c>
      <c r="B1761" s="7">
        <v>0.66666666666666663</v>
      </c>
      <c r="C1761" s="5">
        <v>100</v>
      </c>
      <c r="D1761" s="5">
        <v>100</v>
      </c>
      <c r="E1761" s="5">
        <v>99.7</v>
      </c>
      <c r="F1761" s="5">
        <v>99.77</v>
      </c>
      <c r="G1761" s="5">
        <v>1212</v>
      </c>
      <c r="Q1761" s="6">
        <v>40847</v>
      </c>
      <c r="R1761" s="7">
        <v>0.66666666666666663</v>
      </c>
      <c r="S1761" s="5">
        <v>120.6</v>
      </c>
      <c r="T1761" s="5">
        <v>124.87</v>
      </c>
      <c r="U1761" s="5">
        <v>120.15</v>
      </c>
      <c r="V1761" s="5">
        <v>124.87</v>
      </c>
      <c r="W1761" s="5">
        <v>1722612</v>
      </c>
    </row>
    <row r="1762" spans="1:23" x14ac:dyDescent="0.3">
      <c r="A1762" s="6">
        <v>40903</v>
      </c>
      <c r="B1762" s="7">
        <v>0.66666666666666663</v>
      </c>
      <c r="C1762" s="5">
        <v>99.96</v>
      </c>
      <c r="D1762" s="5">
        <v>100.9</v>
      </c>
      <c r="E1762" s="5">
        <v>99.95</v>
      </c>
      <c r="F1762" s="5">
        <v>99.95</v>
      </c>
      <c r="G1762" s="5">
        <v>864</v>
      </c>
      <c r="Q1762" s="6">
        <v>40848</v>
      </c>
      <c r="R1762" s="7">
        <v>0.66666666666666663</v>
      </c>
      <c r="S1762" s="5">
        <v>126</v>
      </c>
      <c r="T1762" s="5">
        <v>126.2</v>
      </c>
      <c r="U1762" s="5">
        <v>122.11</v>
      </c>
      <c r="V1762" s="5">
        <v>122.59</v>
      </c>
      <c r="W1762" s="5">
        <v>1083889</v>
      </c>
    </row>
    <row r="1763" spans="1:23" x14ac:dyDescent="0.3">
      <c r="A1763" s="6">
        <v>40904</v>
      </c>
      <c r="B1763" s="7">
        <v>0.66666666666666663</v>
      </c>
      <c r="C1763" s="5">
        <v>100</v>
      </c>
      <c r="D1763" s="5">
        <v>100</v>
      </c>
      <c r="E1763" s="5">
        <v>99.5</v>
      </c>
      <c r="F1763" s="5">
        <v>100</v>
      </c>
      <c r="G1763" s="5">
        <v>1361</v>
      </c>
      <c r="Q1763" s="6">
        <v>40849</v>
      </c>
      <c r="R1763" s="7">
        <v>0.66666666666666663</v>
      </c>
      <c r="S1763" s="5">
        <v>121</v>
      </c>
      <c r="T1763" s="5">
        <v>125.65</v>
      </c>
      <c r="U1763" s="5">
        <v>121</v>
      </c>
      <c r="V1763" s="5">
        <v>123.87</v>
      </c>
      <c r="W1763" s="5">
        <v>1213204</v>
      </c>
    </row>
    <row r="1764" spans="1:23" x14ac:dyDescent="0.3">
      <c r="A1764" s="6">
        <v>40905</v>
      </c>
      <c r="B1764" s="7">
        <v>0.66666666666666663</v>
      </c>
      <c r="C1764" s="5">
        <v>99.9</v>
      </c>
      <c r="D1764" s="5">
        <v>99.97</v>
      </c>
      <c r="E1764" s="5">
        <v>98.02</v>
      </c>
      <c r="F1764" s="5">
        <v>98.1</v>
      </c>
      <c r="G1764" s="5">
        <v>919</v>
      </c>
      <c r="Q1764" s="6">
        <v>40850</v>
      </c>
      <c r="R1764" s="7">
        <v>0.66666666666666663</v>
      </c>
      <c r="S1764" s="5">
        <v>123.25</v>
      </c>
      <c r="T1764" s="5">
        <v>126</v>
      </c>
      <c r="U1764" s="5">
        <v>123.25</v>
      </c>
      <c r="V1764" s="5">
        <v>125.33</v>
      </c>
      <c r="W1764" s="5">
        <v>962264</v>
      </c>
    </row>
    <row r="1765" spans="1:23" x14ac:dyDescent="0.3">
      <c r="A1765" s="6">
        <v>40907</v>
      </c>
      <c r="B1765" s="7">
        <v>0.66666666666666663</v>
      </c>
      <c r="C1765" s="5">
        <v>99.98</v>
      </c>
      <c r="D1765" s="5">
        <v>100.1</v>
      </c>
      <c r="E1765" s="5">
        <v>99.5</v>
      </c>
      <c r="F1765" s="5">
        <v>99.79</v>
      </c>
      <c r="G1765" s="5">
        <v>5850</v>
      </c>
      <c r="Q1765" s="6">
        <v>40851</v>
      </c>
      <c r="R1765" s="7">
        <v>0.66666666666666663</v>
      </c>
      <c r="S1765" s="5">
        <v>125.99</v>
      </c>
      <c r="T1765" s="5">
        <v>131.46</v>
      </c>
      <c r="U1765" s="5">
        <v>125.9</v>
      </c>
      <c r="V1765" s="5">
        <v>130.88</v>
      </c>
      <c r="W1765" s="5">
        <v>2565614</v>
      </c>
    </row>
    <row r="1766" spans="1:23" x14ac:dyDescent="0.3">
      <c r="A1766" s="6">
        <v>40910</v>
      </c>
      <c r="B1766" s="7">
        <v>0.66666666666666663</v>
      </c>
      <c r="C1766" s="5">
        <v>101</v>
      </c>
      <c r="D1766" s="5">
        <v>101</v>
      </c>
      <c r="E1766" s="5">
        <v>99</v>
      </c>
      <c r="F1766" s="5">
        <v>99.73</v>
      </c>
      <c r="G1766" s="5">
        <v>5070</v>
      </c>
      <c r="Q1766" s="6">
        <v>40857</v>
      </c>
      <c r="R1766" s="7">
        <v>0.66666666666666663</v>
      </c>
      <c r="S1766" s="5">
        <v>130.4</v>
      </c>
      <c r="T1766" s="5">
        <v>130.85</v>
      </c>
      <c r="U1766" s="5">
        <v>126.36</v>
      </c>
      <c r="V1766" s="5">
        <v>128.16</v>
      </c>
      <c r="W1766" s="5">
        <v>1363192</v>
      </c>
    </row>
    <row r="1767" spans="1:23" x14ac:dyDescent="0.3">
      <c r="A1767" s="6">
        <v>40911</v>
      </c>
      <c r="B1767" s="7">
        <v>0.66666666666666663</v>
      </c>
      <c r="C1767" s="5">
        <v>94.75</v>
      </c>
      <c r="D1767" s="5">
        <v>100.5</v>
      </c>
      <c r="E1767" s="5">
        <v>94.75</v>
      </c>
      <c r="F1767" s="5">
        <v>100.12</v>
      </c>
      <c r="G1767" s="5">
        <v>7893</v>
      </c>
      <c r="Q1767" s="6">
        <v>40858</v>
      </c>
      <c r="R1767" s="7">
        <v>0.66666666666666663</v>
      </c>
      <c r="S1767" s="5">
        <v>128.16</v>
      </c>
      <c r="T1767" s="5">
        <v>130.6</v>
      </c>
      <c r="U1767" s="5">
        <v>128.25</v>
      </c>
      <c r="V1767" s="5">
        <v>128.55000000000001</v>
      </c>
      <c r="W1767" s="5">
        <v>753589</v>
      </c>
    </row>
    <row r="1768" spans="1:23" x14ac:dyDescent="0.3">
      <c r="A1768" s="6">
        <v>40912</v>
      </c>
      <c r="B1768" s="7">
        <v>0.66666666666666663</v>
      </c>
      <c r="C1768" s="5">
        <v>99.85</v>
      </c>
      <c r="D1768" s="5">
        <v>100</v>
      </c>
      <c r="E1768" s="5">
        <v>99.85</v>
      </c>
      <c r="F1768" s="5">
        <v>100</v>
      </c>
      <c r="G1768" s="5">
        <v>409</v>
      </c>
      <c r="Q1768" s="6">
        <v>40861</v>
      </c>
      <c r="R1768" s="7">
        <v>0.66666666666666663</v>
      </c>
      <c r="S1768" s="5">
        <v>129.44999999999999</v>
      </c>
      <c r="T1768" s="5">
        <v>130</v>
      </c>
      <c r="U1768" s="5">
        <v>127</v>
      </c>
      <c r="V1768" s="5">
        <v>127.23</v>
      </c>
      <c r="W1768" s="5">
        <v>547571</v>
      </c>
    </row>
    <row r="1769" spans="1:23" x14ac:dyDescent="0.3">
      <c r="A1769" s="6">
        <v>40913</v>
      </c>
      <c r="B1769" s="7">
        <v>0.66666666666666663</v>
      </c>
      <c r="C1769" s="5">
        <v>100</v>
      </c>
      <c r="D1769" s="5">
        <v>101.75</v>
      </c>
      <c r="E1769" s="5">
        <v>100</v>
      </c>
      <c r="F1769" s="5">
        <v>101.5</v>
      </c>
      <c r="G1769" s="5">
        <v>4326</v>
      </c>
      <c r="Q1769" s="6">
        <v>40862</v>
      </c>
      <c r="R1769" s="7">
        <v>0.66666666666666663</v>
      </c>
      <c r="S1769" s="5">
        <v>127.29</v>
      </c>
      <c r="T1769" s="5">
        <v>128.55000000000001</v>
      </c>
      <c r="U1769" s="5">
        <v>126.18</v>
      </c>
      <c r="V1769" s="5">
        <v>126.55</v>
      </c>
      <c r="W1769" s="5">
        <v>844796</v>
      </c>
    </row>
    <row r="1770" spans="1:23" x14ac:dyDescent="0.3">
      <c r="A1770" s="6">
        <v>40914</v>
      </c>
      <c r="B1770" s="7">
        <v>0.66666666666666663</v>
      </c>
      <c r="C1770" s="5">
        <v>102</v>
      </c>
      <c r="D1770" s="5">
        <v>102</v>
      </c>
      <c r="E1770" s="5">
        <v>102</v>
      </c>
      <c r="F1770" s="5">
        <v>102</v>
      </c>
      <c r="G1770" s="5">
        <v>755</v>
      </c>
      <c r="Q1770" s="6">
        <v>40863</v>
      </c>
      <c r="R1770" s="7">
        <v>0.66666666666666663</v>
      </c>
      <c r="S1770" s="5">
        <v>127.3</v>
      </c>
      <c r="T1770" s="5">
        <v>129</v>
      </c>
      <c r="U1770" s="5">
        <v>126.6</v>
      </c>
      <c r="V1770" s="5">
        <v>127.1</v>
      </c>
      <c r="W1770" s="5">
        <v>891923</v>
      </c>
    </row>
    <row r="1771" spans="1:23" x14ac:dyDescent="0.3">
      <c r="A1771" s="6">
        <v>40917</v>
      </c>
      <c r="B1771" s="7">
        <v>0.66666666666666663</v>
      </c>
      <c r="C1771" s="5">
        <v>101.99</v>
      </c>
      <c r="D1771" s="5">
        <v>102</v>
      </c>
      <c r="E1771" s="5">
        <v>101</v>
      </c>
      <c r="F1771" s="5">
        <v>101.02</v>
      </c>
      <c r="G1771" s="5">
        <v>1461</v>
      </c>
      <c r="Q1771" s="6">
        <v>40864</v>
      </c>
      <c r="R1771" s="7">
        <v>0.66666666666666663</v>
      </c>
      <c r="S1771" s="5">
        <v>127.26</v>
      </c>
      <c r="T1771" s="5">
        <v>127.96</v>
      </c>
      <c r="U1771" s="5">
        <v>125.25</v>
      </c>
      <c r="V1771" s="5">
        <v>125.63</v>
      </c>
      <c r="W1771" s="5">
        <v>618083</v>
      </c>
    </row>
    <row r="1772" spans="1:23" x14ac:dyDescent="0.3">
      <c r="A1772" s="6">
        <v>40918</v>
      </c>
      <c r="B1772" s="7">
        <v>0.66666666666666663</v>
      </c>
      <c r="C1772" s="5">
        <v>100.5</v>
      </c>
      <c r="D1772" s="5">
        <v>101</v>
      </c>
      <c r="E1772" s="5">
        <v>100</v>
      </c>
      <c r="F1772" s="5">
        <v>100.32</v>
      </c>
      <c r="G1772" s="5">
        <v>444</v>
      </c>
      <c r="Q1772" s="6">
        <v>40865</v>
      </c>
      <c r="R1772" s="7">
        <v>0.66666666666666663</v>
      </c>
      <c r="S1772" s="5">
        <v>126.5</v>
      </c>
      <c r="T1772" s="5">
        <v>127.25</v>
      </c>
      <c r="U1772" s="5">
        <v>125.25</v>
      </c>
      <c r="V1772" s="5">
        <v>126.72</v>
      </c>
      <c r="W1772" s="5">
        <v>352126</v>
      </c>
    </row>
    <row r="1773" spans="1:23" x14ac:dyDescent="0.3">
      <c r="A1773" s="6">
        <v>40919</v>
      </c>
      <c r="B1773" s="7">
        <v>0.66666666666666663</v>
      </c>
      <c r="C1773" s="5">
        <v>100.99</v>
      </c>
      <c r="D1773" s="5">
        <v>101.5</v>
      </c>
      <c r="E1773" s="5">
        <v>100.99</v>
      </c>
      <c r="F1773" s="5">
        <v>101.5</v>
      </c>
      <c r="G1773" s="5">
        <v>4010</v>
      </c>
      <c r="Q1773" s="6">
        <v>40868</v>
      </c>
      <c r="R1773" s="7">
        <v>0.66666666666666663</v>
      </c>
      <c r="S1773" s="5">
        <v>126.2</v>
      </c>
      <c r="T1773" s="5">
        <v>127.68</v>
      </c>
      <c r="U1773" s="5">
        <v>125.01</v>
      </c>
      <c r="V1773" s="5">
        <v>125.37</v>
      </c>
      <c r="W1773" s="5">
        <v>226908</v>
      </c>
    </row>
    <row r="1774" spans="1:23" x14ac:dyDescent="0.3">
      <c r="A1774" s="6">
        <v>40920</v>
      </c>
      <c r="B1774" s="7">
        <v>0.66666666666666663</v>
      </c>
      <c r="C1774" s="5">
        <v>101</v>
      </c>
      <c r="D1774" s="5">
        <v>101</v>
      </c>
      <c r="E1774" s="5">
        <v>100.5</v>
      </c>
      <c r="F1774" s="5">
        <v>101</v>
      </c>
      <c r="G1774" s="5">
        <v>1400</v>
      </c>
      <c r="Q1774" s="6">
        <v>40869</v>
      </c>
      <c r="R1774" s="7">
        <v>0.66666666666666663</v>
      </c>
      <c r="S1774" s="5">
        <v>125.5</v>
      </c>
      <c r="T1774" s="5">
        <v>125.58</v>
      </c>
      <c r="U1774" s="5">
        <v>122.15</v>
      </c>
      <c r="V1774" s="5">
        <v>122.61</v>
      </c>
      <c r="W1774" s="5">
        <v>391906</v>
      </c>
    </row>
    <row r="1775" spans="1:23" x14ac:dyDescent="0.3">
      <c r="A1775" s="6">
        <v>40924</v>
      </c>
      <c r="B1775" s="7">
        <v>0.66666666666666663</v>
      </c>
      <c r="C1775" s="5">
        <v>100.5</v>
      </c>
      <c r="D1775" s="5">
        <v>101</v>
      </c>
      <c r="E1775" s="5">
        <v>99.1</v>
      </c>
      <c r="F1775" s="5">
        <v>99.48</v>
      </c>
      <c r="G1775" s="5">
        <v>3568</v>
      </c>
      <c r="Q1775" s="6">
        <v>40870</v>
      </c>
      <c r="R1775" s="7">
        <v>0.66666666666666663</v>
      </c>
      <c r="S1775" s="5">
        <v>122.61</v>
      </c>
      <c r="T1775" s="5">
        <v>123.99</v>
      </c>
      <c r="U1775" s="5">
        <v>119.2</v>
      </c>
      <c r="V1775" s="5">
        <v>119.97</v>
      </c>
      <c r="W1775" s="5">
        <v>372315</v>
      </c>
    </row>
    <row r="1776" spans="1:23" x14ac:dyDescent="0.3">
      <c r="A1776" s="6">
        <v>40925</v>
      </c>
      <c r="B1776" s="7">
        <v>0.66666666666666663</v>
      </c>
      <c r="C1776" s="5">
        <v>101</v>
      </c>
      <c r="D1776" s="5">
        <v>101.74</v>
      </c>
      <c r="E1776" s="5">
        <v>100</v>
      </c>
      <c r="F1776" s="5">
        <v>100</v>
      </c>
      <c r="G1776" s="5">
        <v>2607</v>
      </c>
      <c r="Q1776" s="6">
        <v>40871</v>
      </c>
      <c r="R1776" s="7">
        <v>0.66666666666666663</v>
      </c>
      <c r="S1776" s="5">
        <v>120</v>
      </c>
      <c r="T1776" s="5">
        <v>124</v>
      </c>
      <c r="U1776" s="5">
        <v>118.6</v>
      </c>
      <c r="V1776" s="5">
        <v>123.03</v>
      </c>
      <c r="W1776" s="5">
        <v>855426</v>
      </c>
    </row>
    <row r="1777" spans="1:23" x14ac:dyDescent="0.3">
      <c r="A1777" s="6">
        <v>40926</v>
      </c>
      <c r="B1777" s="7">
        <v>0.66666666666666663</v>
      </c>
      <c r="C1777" s="5">
        <v>100.05</v>
      </c>
      <c r="D1777" s="5">
        <v>102</v>
      </c>
      <c r="E1777" s="5">
        <v>100</v>
      </c>
      <c r="F1777" s="5">
        <v>101.47</v>
      </c>
      <c r="G1777" s="5">
        <v>4187</v>
      </c>
      <c r="Q1777" s="6">
        <v>40872</v>
      </c>
      <c r="R1777" s="7">
        <v>0.66666666666666663</v>
      </c>
      <c r="S1777" s="5">
        <v>123.99</v>
      </c>
      <c r="T1777" s="5">
        <v>124.75</v>
      </c>
      <c r="U1777" s="5">
        <v>119.62</v>
      </c>
      <c r="V1777" s="5">
        <v>120.13</v>
      </c>
      <c r="W1777" s="5">
        <v>770895</v>
      </c>
    </row>
    <row r="1778" spans="1:23" x14ac:dyDescent="0.3">
      <c r="A1778" s="6">
        <v>40927</v>
      </c>
      <c r="B1778" s="7">
        <v>0.66666666666666663</v>
      </c>
      <c r="C1778" s="5">
        <v>100.5</v>
      </c>
      <c r="D1778" s="5">
        <v>101.5</v>
      </c>
      <c r="E1778" s="5">
        <v>100.15</v>
      </c>
      <c r="F1778" s="5">
        <v>101.5</v>
      </c>
      <c r="G1778" s="5">
        <v>3190</v>
      </c>
      <c r="Q1778" s="6">
        <v>40875</v>
      </c>
      <c r="R1778" s="7">
        <v>0.66666666666666663</v>
      </c>
      <c r="S1778" s="5">
        <v>117.2</v>
      </c>
      <c r="T1778" s="5">
        <v>118</v>
      </c>
      <c r="U1778" s="5">
        <v>115.05</v>
      </c>
      <c r="V1778" s="5">
        <v>115.99</v>
      </c>
      <c r="W1778" s="5">
        <v>730487</v>
      </c>
    </row>
    <row r="1779" spans="1:23" x14ac:dyDescent="0.3">
      <c r="A1779" s="6">
        <v>40928</v>
      </c>
      <c r="B1779" s="7">
        <v>0.66666666666666663</v>
      </c>
      <c r="C1779" s="5">
        <v>101.75</v>
      </c>
      <c r="D1779" s="5">
        <v>102</v>
      </c>
      <c r="E1779" s="5">
        <v>101</v>
      </c>
      <c r="F1779" s="5">
        <v>101.51</v>
      </c>
      <c r="G1779" s="5">
        <v>2558</v>
      </c>
      <c r="Q1779" s="6">
        <v>40876</v>
      </c>
      <c r="R1779" s="7">
        <v>0.66666666666666663</v>
      </c>
      <c r="S1779" s="5">
        <v>117.35</v>
      </c>
      <c r="T1779" s="5">
        <v>119.9</v>
      </c>
      <c r="U1779" s="5">
        <v>115.4</v>
      </c>
      <c r="V1779" s="5">
        <v>119.18</v>
      </c>
      <c r="W1779" s="5">
        <v>1798600</v>
      </c>
    </row>
    <row r="1780" spans="1:23" x14ac:dyDescent="0.3">
      <c r="A1780" s="6">
        <v>40931</v>
      </c>
      <c r="B1780" s="7">
        <v>0.66666666666666663</v>
      </c>
      <c r="C1780" s="5">
        <v>102.5</v>
      </c>
      <c r="D1780" s="5">
        <v>106.58</v>
      </c>
      <c r="E1780" s="5">
        <v>101.8</v>
      </c>
      <c r="F1780" s="5">
        <v>105</v>
      </c>
      <c r="G1780" s="5">
        <v>39837</v>
      </c>
      <c r="Q1780" s="6">
        <v>40877</v>
      </c>
      <c r="R1780" s="7">
        <v>0.66666666666666663</v>
      </c>
      <c r="S1780" s="5">
        <v>119.51</v>
      </c>
      <c r="T1780" s="5">
        <v>121.45</v>
      </c>
      <c r="U1780" s="5">
        <v>118.6</v>
      </c>
      <c r="V1780" s="5">
        <v>119.32</v>
      </c>
      <c r="W1780" s="5">
        <v>1107763</v>
      </c>
    </row>
    <row r="1781" spans="1:23" x14ac:dyDescent="0.3">
      <c r="A1781" s="6">
        <v>40932</v>
      </c>
      <c r="B1781" s="7">
        <v>0.66666666666666663</v>
      </c>
      <c r="C1781" s="5">
        <v>102</v>
      </c>
      <c r="D1781" s="5">
        <v>105.79</v>
      </c>
      <c r="E1781" s="5">
        <v>102</v>
      </c>
      <c r="F1781" s="5">
        <v>104</v>
      </c>
      <c r="G1781" s="5">
        <v>12018</v>
      </c>
      <c r="Q1781" s="6">
        <v>40878</v>
      </c>
      <c r="R1781" s="7">
        <v>0.66666666666666663</v>
      </c>
      <c r="S1781" s="5">
        <v>120</v>
      </c>
      <c r="T1781" s="5">
        <v>120.5</v>
      </c>
      <c r="U1781" s="5">
        <v>118.01</v>
      </c>
      <c r="V1781" s="5">
        <v>118.26</v>
      </c>
      <c r="W1781" s="5">
        <v>501319</v>
      </c>
    </row>
    <row r="1782" spans="1:23" x14ac:dyDescent="0.3">
      <c r="A1782" s="6">
        <v>40933</v>
      </c>
      <c r="B1782" s="7">
        <v>0.66666666666666663</v>
      </c>
      <c r="C1782" s="5">
        <v>104.95</v>
      </c>
      <c r="D1782" s="5">
        <v>105</v>
      </c>
      <c r="E1782" s="5">
        <v>104.95</v>
      </c>
      <c r="F1782" s="5">
        <v>104.95</v>
      </c>
      <c r="G1782" s="5">
        <v>1001</v>
      </c>
      <c r="Q1782" s="6">
        <v>40879</v>
      </c>
      <c r="R1782" s="7">
        <v>0.66666666666666663</v>
      </c>
      <c r="S1782" s="5">
        <v>118.2</v>
      </c>
      <c r="T1782" s="5">
        <v>118.2</v>
      </c>
      <c r="U1782" s="5">
        <v>114.15</v>
      </c>
      <c r="V1782" s="5">
        <v>115.44</v>
      </c>
      <c r="W1782" s="5">
        <v>689656</v>
      </c>
    </row>
    <row r="1783" spans="1:23" x14ac:dyDescent="0.3">
      <c r="A1783" s="6">
        <v>40934</v>
      </c>
      <c r="B1783" s="7">
        <v>0.66666666666666663</v>
      </c>
      <c r="C1783" s="5">
        <v>104</v>
      </c>
      <c r="D1783" s="5">
        <v>104.5</v>
      </c>
      <c r="E1783" s="5">
        <v>104</v>
      </c>
      <c r="F1783" s="5">
        <v>104.38</v>
      </c>
      <c r="G1783" s="5">
        <v>1227</v>
      </c>
      <c r="Q1783" s="6">
        <v>40884</v>
      </c>
      <c r="R1783" s="7">
        <v>0.66666666666666663</v>
      </c>
      <c r="S1783" s="5">
        <v>116.48</v>
      </c>
      <c r="T1783" s="5">
        <v>117.49</v>
      </c>
      <c r="U1783" s="5">
        <v>109.67</v>
      </c>
      <c r="V1783" s="5">
        <v>110.95</v>
      </c>
      <c r="W1783" s="5">
        <v>1226255</v>
      </c>
    </row>
    <row r="1784" spans="1:23" x14ac:dyDescent="0.3">
      <c r="A1784" s="6">
        <v>40935</v>
      </c>
      <c r="B1784" s="7">
        <v>0.66666666666666663</v>
      </c>
      <c r="C1784" s="5">
        <v>102.01</v>
      </c>
      <c r="D1784" s="5">
        <v>103.98</v>
      </c>
      <c r="E1784" s="5">
        <v>102</v>
      </c>
      <c r="F1784" s="5">
        <v>102.06</v>
      </c>
      <c r="G1784" s="5">
        <v>289</v>
      </c>
      <c r="Q1784" s="6">
        <v>40885</v>
      </c>
      <c r="R1784" s="7">
        <v>0.66666666666666663</v>
      </c>
      <c r="S1784" s="5">
        <v>111.31</v>
      </c>
      <c r="T1784" s="5">
        <v>116.49</v>
      </c>
      <c r="U1784" s="5">
        <v>109.85</v>
      </c>
      <c r="V1784" s="5">
        <v>115.68</v>
      </c>
      <c r="W1784" s="5">
        <v>1393882</v>
      </c>
    </row>
    <row r="1785" spans="1:23" x14ac:dyDescent="0.3">
      <c r="A1785" s="6">
        <v>40938</v>
      </c>
      <c r="B1785" s="7">
        <v>0.66666666666666663</v>
      </c>
      <c r="C1785" s="5">
        <v>102.5</v>
      </c>
      <c r="D1785" s="5">
        <v>102.5</v>
      </c>
      <c r="E1785" s="5">
        <v>102</v>
      </c>
      <c r="F1785" s="5">
        <v>102</v>
      </c>
      <c r="G1785" s="5">
        <v>8818</v>
      </c>
      <c r="Q1785" s="6">
        <v>40886</v>
      </c>
      <c r="R1785" s="7">
        <v>0.66666666666666663</v>
      </c>
      <c r="S1785" s="5">
        <v>115.89</v>
      </c>
      <c r="T1785" s="5">
        <v>116.79</v>
      </c>
      <c r="U1785" s="5">
        <v>114.1</v>
      </c>
      <c r="V1785" s="5">
        <v>115.05</v>
      </c>
      <c r="W1785" s="5">
        <v>822369</v>
      </c>
    </row>
    <row r="1786" spans="1:23" x14ac:dyDescent="0.3">
      <c r="A1786" s="6">
        <v>40939</v>
      </c>
      <c r="B1786" s="7">
        <v>0.66666666666666663</v>
      </c>
      <c r="C1786" s="5">
        <v>102.5</v>
      </c>
      <c r="D1786" s="5">
        <v>102.5</v>
      </c>
      <c r="E1786" s="5">
        <v>100.95</v>
      </c>
      <c r="F1786" s="5">
        <v>101.33</v>
      </c>
      <c r="G1786" s="5">
        <v>9617</v>
      </c>
      <c r="Q1786" s="6">
        <v>40889</v>
      </c>
      <c r="R1786" s="7">
        <v>0.66666666666666663</v>
      </c>
      <c r="S1786" s="5">
        <v>115.3</v>
      </c>
      <c r="T1786" s="5">
        <v>116.9</v>
      </c>
      <c r="U1786" s="5">
        <v>112.5</v>
      </c>
      <c r="V1786" s="5">
        <v>113.11</v>
      </c>
      <c r="W1786" s="5">
        <v>463796</v>
      </c>
    </row>
    <row r="1787" spans="1:23" x14ac:dyDescent="0.3">
      <c r="A1787" s="6">
        <v>40940</v>
      </c>
      <c r="B1787" s="7">
        <v>0.66666666666666663</v>
      </c>
      <c r="C1787" s="5">
        <v>100.81</v>
      </c>
      <c r="D1787" s="5">
        <v>102</v>
      </c>
      <c r="E1787" s="5">
        <v>100.81</v>
      </c>
      <c r="F1787" s="5">
        <v>102</v>
      </c>
      <c r="G1787" s="5">
        <v>1870</v>
      </c>
      <c r="Q1787" s="6">
        <v>40890</v>
      </c>
      <c r="R1787" s="7">
        <v>0.66666666666666663</v>
      </c>
      <c r="S1787" s="5">
        <v>113.8</v>
      </c>
      <c r="T1787" s="5">
        <v>114.68</v>
      </c>
      <c r="U1787" s="5">
        <v>112</v>
      </c>
      <c r="V1787" s="5">
        <v>112.51</v>
      </c>
      <c r="W1787" s="5">
        <v>610203</v>
      </c>
    </row>
    <row r="1788" spans="1:23" x14ac:dyDescent="0.3">
      <c r="A1788" s="6">
        <v>40941</v>
      </c>
      <c r="B1788" s="7">
        <v>0.66666666666666663</v>
      </c>
      <c r="C1788" s="5">
        <v>101.02</v>
      </c>
      <c r="D1788" s="5">
        <v>106</v>
      </c>
      <c r="E1788" s="5">
        <v>101.02</v>
      </c>
      <c r="F1788" s="5">
        <v>101.88</v>
      </c>
      <c r="G1788" s="5">
        <v>3702</v>
      </c>
      <c r="Q1788" s="6">
        <v>40891</v>
      </c>
      <c r="R1788" s="7">
        <v>0.66666666666666663</v>
      </c>
      <c r="S1788" s="5">
        <v>113.26</v>
      </c>
      <c r="T1788" s="5">
        <v>114.5</v>
      </c>
      <c r="U1788" s="5">
        <v>109.5</v>
      </c>
      <c r="V1788" s="5">
        <v>111.08</v>
      </c>
      <c r="W1788" s="5">
        <v>1247370</v>
      </c>
    </row>
    <row r="1789" spans="1:23" x14ac:dyDescent="0.3">
      <c r="A1789" s="6">
        <v>40942</v>
      </c>
      <c r="B1789" s="7">
        <v>0.66666666666666663</v>
      </c>
      <c r="C1789" s="5">
        <v>101</v>
      </c>
      <c r="D1789" s="5">
        <v>102.99</v>
      </c>
      <c r="E1789" s="5">
        <v>101</v>
      </c>
      <c r="F1789" s="5">
        <v>101.14</v>
      </c>
      <c r="G1789" s="5">
        <v>4992</v>
      </c>
      <c r="Q1789" s="6">
        <v>40892</v>
      </c>
      <c r="R1789" s="7">
        <v>0.66666666666666663</v>
      </c>
      <c r="S1789" s="5">
        <v>111.4</v>
      </c>
      <c r="T1789" s="5">
        <v>111.4</v>
      </c>
      <c r="U1789" s="5">
        <v>107.3</v>
      </c>
      <c r="V1789" s="5">
        <v>107.86</v>
      </c>
      <c r="W1789" s="5">
        <v>604464</v>
      </c>
    </row>
    <row r="1790" spans="1:23" x14ac:dyDescent="0.3">
      <c r="A1790" s="6">
        <v>40945</v>
      </c>
      <c r="B1790" s="7">
        <v>0.66666666666666663</v>
      </c>
      <c r="C1790" s="5">
        <v>101.01</v>
      </c>
      <c r="D1790" s="5">
        <v>101.55</v>
      </c>
      <c r="E1790" s="5">
        <v>101</v>
      </c>
      <c r="F1790" s="5">
        <v>101.5</v>
      </c>
      <c r="G1790" s="5">
        <v>3997</v>
      </c>
      <c r="Q1790" s="6">
        <v>40893</v>
      </c>
      <c r="R1790" s="7">
        <v>0.66666666666666663</v>
      </c>
      <c r="S1790" s="5">
        <v>104.5</v>
      </c>
      <c r="T1790" s="5">
        <v>107.6</v>
      </c>
      <c r="U1790" s="5">
        <v>104.08</v>
      </c>
      <c r="V1790" s="5">
        <v>106.21</v>
      </c>
      <c r="W1790" s="5">
        <v>844912</v>
      </c>
    </row>
    <row r="1791" spans="1:23" x14ac:dyDescent="0.3">
      <c r="A1791" s="6">
        <v>40946</v>
      </c>
      <c r="B1791" s="7">
        <v>0.66666666666666663</v>
      </c>
      <c r="C1791" s="5">
        <v>102</v>
      </c>
      <c r="D1791" s="5">
        <v>105.49</v>
      </c>
      <c r="E1791" s="5">
        <v>102</v>
      </c>
      <c r="F1791" s="5">
        <v>105.47</v>
      </c>
      <c r="G1791" s="5">
        <v>21594</v>
      </c>
      <c r="Q1791" s="6">
        <v>40896</v>
      </c>
      <c r="R1791" s="7">
        <v>0.66666666666666663</v>
      </c>
      <c r="S1791" s="5">
        <v>108.49</v>
      </c>
      <c r="T1791" s="5">
        <v>109.89</v>
      </c>
      <c r="U1791" s="5">
        <v>107.41</v>
      </c>
      <c r="V1791" s="5">
        <v>107.92</v>
      </c>
      <c r="W1791" s="5">
        <v>409551</v>
      </c>
    </row>
    <row r="1792" spans="1:23" x14ac:dyDescent="0.3">
      <c r="A1792" s="6">
        <v>40947</v>
      </c>
      <c r="B1792" s="7">
        <v>0.66666666666666663</v>
      </c>
      <c r="C1792" s="5">
        <v>106.5</v>
      </c>
      <c r="D1792" s="5">
        <v>107</v>
      </c>
      <c r="E1792" s="5">
        <v>103.16</v>
      </c>
      <c r="F1792" s="5">
        <v>103.54</v>
      </c>
      <c r="G1792" s="5">
        <v>8625</v>
      </c>
      <c r="Q1792" s="6">
        <v>40897</v>
      </c>
      <c r="R1792" s="7">
        <v>0.66666666666666663</v>
      </c>
      <c r="S1792" s="5">
        <v>108</v>
      </c>
      <c r="T1792" s="5">
        <v>112.24</v>
      </c>
      <c r="U1792" s="5">
        <v>107.6</v>
      </c>
      <c r="V1792" s="5">
        <v>111.52</v>
      </c>
      <c r="W1792" s="5">
        <v>1429930</v>
      </c>
    </row>
    <row r="1793" spans="1:23" x14ac:dyDescent="0.3">
      <c r="A1793" s="6">
        <v>40948</v>
      </c>
      <c r="B1793" s="7">
        <v>0.66666666666666663</v>
      </c>
      <c r="C1793" s="5">
        <v>102.25</v>
      </c>
      <c r="D1793" s="5">
        <v>104.5</v>
      </c>
      <c r="E1793" s="5">
        <v>102.25</v>
      </c>
      <c r="F1793" s="5">
        <v>104.02</v>
      </c>
      <c r="G1793" s="5">
        <v>7067</v>
      </c>
      <c r="Q1793" s="6">
        <v>40898</v>
      </c>
      <c r="R1793" s="7">
        <v>0.66666666666666663</v>
      </c>
      <c r="S1793" s="5">
        <v>111.51</v>
      </c>
      <c r="T1793" s="5">
        <v>111.89</v>
      </c>
      <c r="U1793" s="5">
        <v>109.3</v>
      </c>
      <c r="V1793" s="5">
        <v>109.78</v>
      </c>
      <c r="W1793" s="5">
        <v>676554</v>
      </c>
    </row>
    <row r="1794" spans="1:23" x14ac:dyDescent="0.3">
      <c r="A1794" s="6">
        <v>40949</v>
      </c>
      <c r="B1794" s="7">
        <v>0.66666666666666663</v>
      </c>
      <c r="C1794" s="5">
        <v>104</v>
      </c>
      <c r="D1794" s="5">
        <v>104.75</v>
      </c>
      <c r="E1794" s="5">
        <v>103.26</v>
      </c>
      <c r="F1794" s="5">
        <v>103.54</v>
      </c>
      <c r="G1794" s="5">
        <v>7301</v>
      </c>
      <c r="Q1794" s="6">
        <v>40899</v>
      </c>
      <c r="R1794" s="7">
        <v>0.66666666666666663</v>
      </c>
      <c r="S1794" s="5">
        <v>110</v>
      </c>
      <c r="T1794" s="5">
        <v>111.45</v>
      </c>
      <c r="U1794" s="5">
        <v>109.4</v>
      </c>
      <c r="V1794" s="5">
        <v>110.08</v>
      </c>
      <c r="W1794" s="5">
        <v>1063794</v>
      </c>
    </row>
    <row r="1795" spans="1:23" x14ac:dyDescent="0.3">
      <c r="A1795" s="6">
        <v>40952</v>
      </c>
      <c r="B1795" s="7">
        <v>0.66666666666666663</v>
      </c>
      <c r="C1795" s="5">
        <v>103.95</v>
      </c>
      <c r="D1795" s="5">
        <v>104</v>
      </c>
      <c r="E1795" s="5">
        <v>102.51</v>
      </c>
      <c r="F1795" s="5">
        <v>103.99</v>
      </c>
      <c r="G1795" s="5">
        <v>17878</v>
      </c>
      <c r="Q1795" s="6">
        <v>40900</v>
      </c>
      <c r="R1795" s="7">
        <v>0.66666666666666663</v>
      </c>
      <c r="S1795" s="5">
        <v>110.49</v>
      </c>
      <c r="T1795" s="5">
        <v>110.69</v>
      </c>
      <c r="U1795" s="5">
        <v>109.01</v>
      </c>
      <c r="V1795" s="5">
        <v>109.2</v>
      </c>
      <c r="W1795" s="5">
        <v>413994</v>
      </c>
    </row>
    <row r="1796" spans="1:23" x14ac:dyDescent="0.3">
      <c r="A1796" s="6">
        <v>40953</v>
      </c>
      <c r="B1796" s="7">
        <v>0.66666666666666663</v>
      </c>
      <c r="C1796" s="5">
        <v>104</v>
      </c>
      <c r="D1796" s="5">
        <v>105.99</v>
      </c>
      <c r="E1796" s="5">
        <v>98.8</v>
      </c>
      <c r="F1796" s="5">
        <v>100.92</v>
      </c>
      <c r="G1796" s="5">
        <v>22056</v>
      </c>
      <c r="Q1796" s="6">
        <v>40903</v>
      </c>
      <c r="R1796" s="7">
        <v>0.66666666666666663</v>
      </c>
      <c r="S1796" s="5">
        <v>110.24</v>
      </c>
      <c r="T1796" s="5">
        <v>110.65</v>
      </c>
      <c r="U1796" s="5">
        <v>108.8</v>
      </c>
      <c r="V1796" s="5">
        <v>109.17</v>
      </c>
      <c r="W1796" s="5">
        <v>249894</v>
      </c>
    </row>
    <row r="1797" spans="1:23" x14ac:dyDescent="0.3">
      <c r="A1797" s="6">
        <v>40954</v>
      </c>
      <c r="B1797" s="7">
        <v>0.66666666666666663</v>
      </c>
      <c r="C1797" s="5">
        <v>95.88</v>
      </c>
      <c r="D1797" s="5">
        <v>95.88</v>
      </c>
      <c r="E1797" s="5">
        <v>95.88</v>
      </c>
      <c r="F1797" s="5">
        <v>95.88</v>
      </c>
      <c r="G1797" s="5">
        <v>2191</v>
      </c>
      <c r="Q1797" s="6">
        <v>40904</v>
      </c>
      <c r="R1797" s="7">
        <v>0.66666666666666663</v>
      </c>
      <c r="S1797" s="5">
        <v>109.4</v>
      </c>
      <c r="T1797" s="5">
        <v>109.55</v>
      </c>
      <c r="U1797" s="5">
        <v>108</v>
      </c>
      <c r="V1797" s="5">
        <v>108.56</v>
      </c>
      <c r="W1797" s="5">
        <v>152085</v>
      </c>
    </row>
    <row r="1798" spans="1:23" x14ac:dyDescent="0.3">
      <c r="A1798" s="6">
        <v>40955</v>
      </c>
      <c r="B1798" s="7">
        <v>0.66666666666666663</v>
      </c>
      <c r="C1798" s="5">
        <v>91.09</v>
      </c>
      <c r="D1798" s="5">
        <v>93.5</v>
      </c>
      <c r="E1798" s="5">
        <v>91.09</v>
      </c>
      <c r="F1798" s="5">
        <v>91.59</v>
      </c>
      <c r="G1798" s="5">
        <v>36082</v>
      </c>
      <c r="Q1798" s="6">
        <v>40905</v>
      </c>
      <c r="R1798" s="7">
        <v>0.66666666666666663</v>
      </c>
      <c r="S1798" s="5">
        <v>108.6</v>
      </c>
      <c r="T1798" s="5">
        <v>109.65</v>
      </c>
      <c r="U1798" s="5">
        <v>108.36</v>
      </c>
      <c r="V1798" s="5">
        <v>109.12</v>
      </c>
      <c r="W1798" s="5">
        <v>338520</v>
      </c>
    </row>
    <row r="1799" spans="1:23" x14ac:dyDescent="0.3">
      <c r="A1799" s="6">
        <v>40956</v>
      </c>
      <c r="B1799" s="7">
        <v>0.66666666666666663</v>
      </c>
      <c r="C1799" s="5">
        <v>90</v>
      </c>
      <c r="D1799" s="5">
        <v>94.5</v>
      </c>
      <c r="E1799" s="5">
        <v>90</v>
      </c>
      <c r="F1799" s="5">
        <v>93.31</v>
      </c>
      <c r="G1799" s="5">
        <v>21204</v>
      </c>
      <c r="Q1799" s="6">
        <v>40907</v>
      </c>
      <c r="R1799" s="7">
        <v>0.66666666666666663</v>
      </c>
      <c r="S1799" s="5">
        <v>110.49</v>
      </c>
      <c r="T1799" s="5">
        <v>110.49</v>
      </c>
      <c r="U1799" s="5">
        <v>106.55</v>
      </c>
      <c r="V1799" s="5">
        <v>107.65</v>
      </c>
      <c r="W1799" s="5">
        <v>351332</v>
      </c>
    </row>
    <row r="1800" spans="1:23" x14ac:dyDescent="0.3">
      <c r="A1800" s="6">
        <v>40959</v>
      </c>
      <c r="B1800" s="7">
        <v>0.66666666666666663</v>
      </c>
      <c r="C1800" s="5">
        <v>92.15</v>
      </c>
      <c r="D1800" s="5">
        <v>93.9</v>
      </c>
      <c r="E1800" s="5">
        <v>90.1</v>
      </c>
      <c r="F1800" s="5">
        <v>91.1</v>
      </c>
      <c r="G1800" s="5">
        <v>34241</v>
      </c>
      <c r="Q1800" s="6">
        <v>40910</v>
      </c>
      <c r="R1800" s="7">
        <v>0.66666666666666663</v>
      </c>
      <c r="S1800" s="5">
        <v>108</v>
      </c>
      <c r="T1800" s="5">
        <v>108.58</v>
      </c>
      <c r="U1800" s="5">
        <v>106.51</v>
      </c>
      <c r="V1800" s="5">
        <v>107.72</v>
      </c>
      <c r="W1800" s="5">
        <v>244929</v>
      </c>
    </row>
    <row r="1801" spans="1:23" x14ac:dyDescent="0.3">
      <c r="A1801" s="6">
        <v>40960</v>
      </c>
      <c r="B1801" s="7">
        <v>0.66666666666666663</v>
      </c>
      <c r="C1801" s="5">
        <v>90.51</v>
      </c>
      <c r="D1801" s="5">
        <v>92.2</v>
      </c>
      <c r="E1801" s="5">
        <v>90.51</v>
      </c>
      <c r="F1801" s="5">
        <v>92</v>
      </c>
      <c r="G1801" s="5">
        <v>4765</v>
      </c>
      <c r="Q1801" s="6">
        <v>40911</v>
      </c>
      <c r="R1801" s="7">
        <v>0.66666666666666663</v>
      </c>
      <c r="S1801" s="5">
        <v>108</v>
      </c>
      <c r="T1801" s="5">
        <v>112</v>
      </c>
      <c r="U1801" s="5">
        <v>107.8</v>
      </c>
      <c r="V1801" s="5">
        <v>111.37</v>
      </c>
      <c r="W1801" s="5">
        <v>938559</v>
      </c>
    </row>
    <row r="1802" spans="1:23" x14ac:dyDescent="0.3">
      <c r="A1802" s="6">
        <v>40961</v>
      </c>
      <c r="B1802" s="7">
        <v>0.66666666666666663</v>
      </c>
      <c r="C1802" s="5">
        <v>92.1</v>
      </c>
      <c r="D1802" s="5">
        <v>93</v>
      </c>
      <c r="E1802" s="5">
        <v>92.1</v>
      </c>
      <c r="F1802" s="5">
        <v>92.61</v>
      </c>
      <c r="G1802" s="5">
        <v>13352</v>
      </c>
      <c r="Q1802" s="6">
        <v>40912</v>
      </c>
      <c r="R1802" s="7">
        <v>0.66666666666666663</v>
      </c>
      <c r="S1802" s="5">
        <v>112</v>
      </c>
      <c r="T1802" s="5">
        <v>113.48</v>
      </c>
      <c r="U1802" s="5">
        <v>111.01</v>
      </c>
      <c r="V1802" s="5">
        <v>111.59</v>
      </c>
      <c r="W1802" s="5">
        <v>868241</v>
      </c>
    </row>
    <row r="1803" spans="1:23" x14ac:dyDescent="0.3">
      <c r="A1803" s="6">
        <v>40962</v>
      </c>
      <c r="B1803" s="7">
        <v>0.66666666666666663</v>
      </c>
      <c r="C1803" s="5">
        <v>92.5</v>
      </c>
      <c r="D1803" s="5">
        <v>93.5</v>
      </c>
      <c r="E1803" s="5">
        <v>92.25</v>
      </c>
      <c r="F1803" s="5">
        <v>92.37</v>
      </c>
      <c r="G1803" s="5">
        <v>4056</v>
      </c>
      <c r="Q1803" s="6">
        <v>40913</v>
      </c>
      <c r="R1803" s="7">
        <v>0.66666666666666663</v>
      </c>
      <c r="S1803" s="5">
        <v>111.99</v>
      </c>
      <c r="T1803" s="5">
        <v>111.99</v>
      </c>
      <c r="U1803" s="5">
        <v>109.6</v>
      </c>
      <c r="V1803" s="5">
        <v>110.01</v>
      </c>
      <c r="W1803" s="5">
        <v>473619</v>
      </c>
    </row>
    <row r="1804" spans="1:23" x14ac:dyDescent="0.3">
      <c r="A1804" s="6">
        <v>40963</v>
      </c>
      <c r="B1804" s="7">
        <v>0.66666666666666663</v>
      </c>
      <c r="C1804" s="5">
        <v>90.75</v>
      </c>
      <c r="D1804" s="5">
        <v>92.8</v>
      </c>
      <c r="E1804" s="5">
        <v>90.75</v>
      </c>
      <c r="F1804" s="5">
        <v>92.29</v>
      </c>
      <c r="G1804" s="5">
        <v>1524</v>
      </c>
      <c r="Q1804" s="6">
        <v>40914</v>
      </c>
      <c r="R1804" s="7">
        <v>0.66666666666666663</v>
      </c>
      <c r="S1804" s="5">
        <v>109.5</v>
      </c>
      <c r="T1804" s="5">
        <v>110.9</v>
      </c>
      <c r="U1804" s="5">
        <v>108.02</v>
      </c>
      <c r="V1804" s="5">
        <v>108.99</v>
      </c>
      <c r="W1804" s="5">
        <v>491975</v>
      </c>
    </row>
    <row r="1805" spans="1:23" x14ac:dyDescent="0.3">
      <c r="A1805" s="6">
        <v>40966</v>
      </c>
      <c r="B1805" s="7">
        <v>0.66666666666666663</v>
      </c>
      <c r="C1805" s="5">
        <v>92.25</v>
      </c>
      <c r="D1805" s="5">
        <v>93</v>
      </c>
      <c r="E1805" s="5">
        <v>92</v>
      </c>
      <c r="F1805" s="5">
        <v>92.29</v>
      </c>
      <c r="G1805" s="5">
        <v>12908</v>
      </c>
      <c r="Q1805" s="6">
        <v>40917</v>
      </c>
      <c r="R1805" s="7">
        <v>0.66666666666666663</v>
      </c>
      <c r="S1805" s="5">
        <v>109.45</v>
      </c>
      <c r="T1805" s="5">
        <v>110.49</v>
      </c>
      <c r="U1805" s="5">
        <v>108.25</v>
      </c>
      <c r="V1805" s="5">
        <v>108.88</v>
      </c>
      <c r="W1805" s="5">
        <v>290024</v>
      </c>
    </row>
    <row r="1806" spans="1:23" x14ac:dyDescent="0.3">
      <c r="A1806" s="6">
        <v>40967</v>
      </c>
      <c r="B1806" s="7">
        <v>0.66666666666666663</v>
      </c>
      <c r="C1806" s="5">
        <v>92.01</v>
      </c>
      <c r="D1806" s="5">
        <v>94</v>
      </c>
      <c r="E1806" s="5">
        <v>91.12</v>
      </c>
      <c r="F1806" s="5">
        <v>91.98</v>
      </c>
      <c r="G1806" s="5">
        <v>20959</v>
      </c>
      <c r="Q1806" s="6">
        <v>40918</v>
      </c>
      <c r="R1806" s="7">
        <v>0.66666666666666663</v>
      </c>
      <c r="S1806" s="5">
        <v>109.15</v>
      </c>
      <c r="T1806" s="5">
        <v>109.15</v>
      </c>
      <c r="U1806" s="5">
        <v>104.71</v>
      </c>
      <c r="V1806" s="5">
        <v>107.37</v>
      </c>
      <c r="W1806" s="5">
        <v>689035</v>
      </c>
    </row>
    <row r="1807" spans="1:23" x14ac:dyDescent="0.3">
      <c r="A1807" s="6">
        <v>40968</v>
      </c>
      <c r="B1807" s="7">
        <v>0.66666666666666663</v>
      </c>
      <c r="C1807" s="5">
        <v>90.51</v>
      </c>
      <c r="D1807" s="5">
        <v>93</v>
      </c>
      <c r="E1807" s="5">
        <v>90.51</v>
      </c>
      <c r="F1807" s="5">
        <v>92.22</v>
      </c>
      <c r="G1807" s="5">
        <v>4599</v>
      </c>
      <c r="Q1807" s="6">
        <v>40919</v>
      </c>
      <c r="R1807" s="7">
        <v>0.66666666666666663</v>
      </c>
      <c r="S1807" s="5">
        <v>107.79</v>
      </c>
      <c r="T1807" s="5">
        <v>108.25</v>
      </c>
      <c r="U1807" s="5">
        <v>106.73</v>
      </c>
      <c r="V1807" s="5">
        <v>107.66</v>
      </c>
      <c r="W1807" s="5">
        <v>295757</v>
      </c>
    </row>
    <row r="1808" spans="1:23" x14ac:dyDescent="0.3">
      <c r="A1808" s="6">
        <v>40969</v>
      </c>
      <c r="B1808" s="7">
        <v>0.66666666666666663</v>
      </c>
      <c r="C1808" s="5">
        <v>92.99</v>
      </c>
      <c r="D1808" s="5">
        <v>93</v>
      </c>
      <c r="E1808" s="5">
        <v>92.3</v>
      </c>
      <c r="F1808" s="5">
        <v>92.3</v>
      </c>
      <c r="G1808" s="5">
        <v>1702</v>
      </c>
      <c r="Q1808" s="6">
        <v>40920</v>
      </c>
      <c r="R1808" s="7">
        <v>0.66666666666666663</v>
      </c>
      <c r="S1808" s="5">
        <v>107.1</v>
      </c>
      <c r="T1808" s="5">
        <v>107.9</v>
      </c>
      <c r="U1808" s="5">
        <v>106.55</v>
      </c>
      <c r="V1808" s="5">
        <v>106.78</v>
      </c>
      <c r="W1808" s="5">
        <v>106393</v>
      </c>
    </row>
    <row r="1809" spans="1:23" x14ac:dyDescent="0.3">
      <c r="A1809" s="6">
        <v>40970</v>
      </c>
      <c r="B1809" s="7">
        <v>0.66666666666666663</v>
      </c>
      <c r="C1809" s="5">
        <v>93.4</v>
      </c>
      <c r="D1809" s="5">
        <v>94.15</v>
      </c>
      <c r="E1809" s="5">
        <v>92.25</v>
      </c>
      <c r="F1809" s="5">
        <v>93.5</v>
      </c>
      <c r="G1809" s="5">
        <v>11910</v>
      </c>
      <c r="Q1809" s="6">
        <v>40921</v>
      </c>
      <c r="R1809" s="7">
        <v>0.66666666666666663</v>
      </c>
      <c r="S1809" s="5">
        <v>107.4</v>
      </c>
      <c r="T1809" s="5">
        <v>108.7</v>
      </c>
      <c r="U1809" s="5">
        <v>107</v>
      </c>
      <c r="V1809" s="5">
        <v>107.79</v>
      </c>
      <c r="W1809" s="5">
        <v>693291</v>
      </c>
    </row>
    <row r="1810" spans="1:23" x14ac:dyDescent="0.3">
      <c r="A1810" s="6">
        <v>40973</v>
      </c>
      <c r="B1810" s="7">
        <v>0.66666666666666663</v>
      </c>
      <c r="C1810" s="5">
        <v>93.1</v>
      </c>
      <c r="D1810" s="5">
        <v>93.7</v>
      </c>
      <c r="E1810" s="5">
        <v>93</v>
      </c>
      <c r="F1810" s="5">
        <v>93.2</v>
      </c>
      <c r="G1810" s="5">
        <v>4112</v>
      </c>
      <c r="Q1810" s="6">
        <v>40924</v>
      </c>
      <c r="R1810" s="7">
        <v>0.66666666666666663</v>
      </c>
      <c r="S1810" s="5">
        <v>108.2</v>
      </c>
      <c r="T1810" s="5">
        <v>108.49</v>
      </c>
      <c r="U1810" s="5">
        <v>107.51</v>
      </c>
      <c r="V1810" s="5">
        <v>108.07</v>
      </c>
      <c r="W1810" s="5">
        <v>283200</v>
      </c>
    </row>
    <row r="1811" spans="1:23" x14ac:dyDescent="0.3">
      <c r="A1811" s="6">
        <v>40974</v>
      </c>
      <c r="B1811" s="7">
        <v>0.66666666666666663</v>
      </c>
      <c r="C1811" s="5">
        <v>93.7</v>
      </c>
      <c r="D1811" s="5">
        <v>93.7</v>
      </c>
      <c r="E1811" s="5">
        <v>92</v>
      </c>
      <c r="F1811" s="5">
        <v>93.05</v>
      </c>
      <c r="G1811" s="5">
        <v>6941</v>
      </c>
      <c r="Q1811" s="6">
        <v>40925</v>
      </c>
      <c r="R1811" s="7">
        <v>0.66666666666666663</v>
      </c>
      <c r="S1811" s="5">
        <v>108.4</v>
      </c>
      <c r="T1811" s="5">
        <v>109.45</v>
      </c>
      <c r="U1811" s="5">
        <v>108.15</v>
      </c>
      <c r="V1811" s="5">
        <v>109.24</v>
      </c>
      <c r="W1811" s="5">
        <v>996668</v>
      </c>
    </row>
    <row r="1812" spans="1:23" x14ac:dyDescent="0.3">
      <c r="A1812" s="6">
        <v>40975</v>
      </c>
      <c r="B1812" s="7">
        <v>0.66666666666666663</v>
      </c>
      <c r="C1812" s="5">
        <v>92.25</v>
      </c>
      <c r="D1812" s="5">
        <v>93.1</v>
      </c>
      <c r="E1812" s="5">
        <v>92.01</v>
      </c>
      <c r="F1812" s="5">
        <v>93.1</v>
      </c>
      <c r="G1812" s="5">
        <v>3623</v>
      </c>
      <c r="Q1812" s="6">
        <v>40926</v>
      </c>
      <c r="R1812" s="7">
        <v>0.66666666666666663</v>
      </c>
      <c r="S1812" s="5">
        <v>109.48</v>
      </c>
      <c r="T1812" s="5">
        <v>111.15</v>
      </c>
      <c r="U1812" s="5">
        <v>109.27</v>
      </c>
      <c r="V1812" s="5">
        <v>109.72</v>
      </c>
      <c r="W1812" s="5">
        <v>2009943</v>
      </c>
    </row>
    <row r="1813" spans="1:23" x14ac:dyDescent="0.3">
      <c r="A1813" s="6">
        <v>40976</v>
      </c>
      <c r="B1813" s="7">
        <v>0.66666666666666663</v>
      </c>
      <c r="C1813" s="5">
        <v>92.99</v>
      </c>
      <c r="D1813" s="5">
        <v>93.5</v>
      </c>
      <c r="E1813" s="5">
        <v>92.5</v>
      </c>
      <c r="F1813" s="5">
        <v>93.2</v>
      </c>
      <c r="G1813" s="5">
        <v>8854</v>
      </c>
      <c r="Q1813" s="6">
        <v>40927</v>
      </c>
      <c r="R1813" s="7">
        <v>0.66666666666666663</v>
      </c>
      <c r="S1813" s="5">
        <v>110</v>
      </c>
      <c r="T1813" s="5">
        <v>114.5</v>
      </c>
      <c r="U1813" s="5">
        <v>109.2</v>
      </c>
      <c r="V1813" s="5">
        <v>111.65</v>
      </c>
      <c r="W1813" s="5">
        <v>3090730</v>
      </c>
    </row>
    <row r="1814" spans="1:23" x14ac:dyDescent="0.3">
      <c r="A1814" s="6">
        <v>40977</v>
      </c>
      <c r="B1814" s="7">
        <v>0.66666666666666663</v>
      </c>
      <c r="C1814" s="5">
        <v>92.25</v>
      </c>
      <c r="D1814" s="5">
        <v>95</v>
      </c>
      <c r="E1814" s="5">
        <v>92.25</v>
      </c>
      <c r="F1814" s="5">
        <v>93.19</v>
      </c>
      <c r="G1814" s="5">
        <v>5004</v>
      </c>
      <c r="Q1814" s="6">
        <v>40928</v>
      </c>
      <c r="R1814" s="7">
        <v>0.66666666666666663</v>
      </c>
      <c r="S1814" s="5">
        <v>112.4</v>
      </c>
      <c r="T1814" s="5">
        <v>117.23</v>
      </c>
      <c r="U1814" s="5">
        <v>111.53</v>
      </c>
      <c r="V1814" s="5">
        <v>116.95</v>
      </c>
      <c r="W1814" s="5">
        <v>3636580</v>
      </c>
    </row>
    <row r="1815" spans="1:23" x14ac:dyDescent="0.3">
      <c r="A1815" s="6">
        <v>40980</v>
      </c>
      <c r="B1815" s="7">
        <v>0.66666666666666663</v>
      </c>
      <c r="C1815" s="5">
        <v>94.2</v>
      </c>
      <c r="D1815" s="5">
        <v>94.2</v>
      </c>
      <c r="E1815" s="5">
        <v>93</v>
      </c>
      <c r="F1815" s="5">
        <v>93.06</v>
      </c>
      <c r="G1815" s="5">
        <v>7049</v>
      </c>
      <c r="Q1815" s="6">
        <v>40931</v>
      </c>
      <c r="R1815" s="7">
        <v>0.66666666666666663</v>
      </c>
      <c r="S1815" s="5">
        <v>120.39</v>
      </c>
      <c r="T1815" s="5">
        <v>122.79</v>
      </c>
      <c r="U1815" s="5">
        <v>119.59</v>
      </c>
      <c r="V1815" s="5">
        <v>122.79</v>
      </c>
      <c r="W1815" s="5">
        <v>2434047</v>
      </c>
    </row>
    <row r="1816" spans="1:23" x14ac:dyDescent="0.3">
      <c r="A1816" s="6">
        <v>40981</v>
      </c>
      <c r="B1816" s="7">
        <v>0.66666666666666663</v>
      </c>
      <c r="C1816" s="5">
        <v>92.5</v>
      </c>
      <c r="D1816" s="5">
        <v>93</v>
      </c>
      <c r="E1816" s="5">
        <v>92.5</v>
      </c>
      <c r="F1816" s="5">
        <v>92.65</v>
      </c>
      <c r="G1816" s="5">
        <v>4239</v>
      </c>
      <c r="Q1816" s="6">
        <v>40932</v>
      </c>
      <c r="R1816" s="7">
        <v>0.66666666666666663</v>
      </c>
      <c r="S1816" s="5">
        <v>124</v>
      </c>
      <c r="T1816" s="5">
        <v>126.5</v>
      </c>
      <c r="U1816" s="5">
        <v>120.8</v>
      </c>
      <c r="V1816" s="5">
        <v>121.81</v>
      </c>
      <c r="W1816" s="5">
        <v>4531273</v>
      </c>
    </row>
    <row r="1817" spans="1:23" x14ac:dyDescent="0.3">
      <c r="A1817" s="6">
        <v>40982</v>
      </c>
      <c r="B1817" s="7">
        <v>0.66666666666666663</v>
      </c>
      <c r="C1817" s="5">
        <v>92.75</v>
      </c>
      <c r="D1817" s="5">
        <v>93.25</v>
      </c>
      <c r="E1817" s="5">
        <v>92.55</v>
      </c>
      <c r="F1817" s="5">
        <v>93.25</v>
      </c>
      <c r="G1817" s="5">
        <v>1451</v>
      </c>
      <c r="Q1817" s="6">
        <v>40933</v>
      </c>
      <c r="R1817" s="7">
        <v>0.66666666666666663</v>
      </c>
      <c r="S1817" s="5">
        <v>122.7</v>
      </c>
      <c r="T1817" s="5">
        <v>123</v>
      </c>
      <c r="U1817" s="5">
        <v>119.7</v>
      </c>
      <c r="V1817" s="5">
        <v>122.37</v>
      </c>
      <c r="W1817" s="5">
        <v>1697679</v>
      </c>
    </row>
    <row r="1818" spans="1:23" x14ac:dyDescent="0.3">
      <c r="A1818" s="6">
        <v>40983</v>
      </c>
      <c r="B1818" s="7">
        <v>0.66666666666666663</v>
      </c>
      <c r="C1818" s="5">
        <v>93</v>
      </c>
      <c r="D1818" s="5">
        <v>94</v>
      </c>
      <c r="E1818" s="5">
        <v>93</v>
      </c>
      <c r="F1818" s="5">
        <v>93.85</v>
      </c>
      <c r="G1818" s="5">
        <v>5675</v>
      </c>
      <c r="Q1818" s="6">
        <v>40934</v>
      </c>
      <c r="R1818" s="7">
        <v>0.66666666666666663</v>
      </c>
      <c r="S1818" s="5">
        <v>122.12</v>
      </c>
      <c r="T1818" s="5">
        <v>125.4</v>
      </c>
      <c r="U1818" s="5">
        <v>120.75</v>
      </c>
      <c r="V1818" s="5">
        <v>121.11</v>
      </c>
      <c r="W1818" s="5">
        <v>3353962</v>
      </c>
    </row>
    <row r="1819" spans="1:23" x14ac:dyDescent="0.3">
      <c r="A1819" s="6">
        <v>40984</v>
      </c>
      <c r="B1819" s="7">
        <v>0.66666666666666663</v>
      </c>
      <c r="C1819" s="5">
        <v>93</v>
      </c>
      <c r="D1819" s="5">
        <v>94.25</v>
      </c>
      <c r="E1819" s="5">
        <v>93</v>
      </c>
      <c r="F1819" s="5">
        <v>94.18</v>
      </c>
      <c r="G1819" s="5">
        <v>3485</v>
      </c>
      <c r="Q1819" s="6">
        <v>40935</v>
      </c>
      <c r="R1819" s="7">
        <v>0.66666666666666663</v>
      </c>
      <c r="S1819" s="5">
        <v>121.65</v>
      </c>
      <c r="T1819" s="5">
        <v>122.85</v>
      </c>
      <c r="U1819" s="5">
        <v>120.31</v>
      </c>
      <c r="V1819" s="5">
        <v>120.96</v>
      </c>
      <c r="W1819" s="5">
        <v>1000984</v>
      </c>
    </row>
    <row r="1820" spans="1:23" x14ac:dyDescent="0.3">
      <c r="A1820" s="6">
        <v>40987</v>
      </c>
      <c r="B1820" s="7">
        <v>0.66666666666666663</v>
      </c>
      <c r="C1820" s="5">
        <v>93.01</v>
      </c>
      <c r="D1820" s="5">
        <v>93.5</v>
      </c>
      <c r="E1820" s="5">
        <v>93</v>
      </c>
      <c r="F1820" s="5">
        <v>93.01</v>
      </c>
      <c r="G1820" s="5">
        <v>3319</v>
      </c>
      <c r="Q1820" s="6">
        <v>40938</v>
      </c>
      <c r="R1820" s="7">
        <v>0.66666666666666663</v>
      </c>
      <c r="S1820" s="5">
        <v>121.26</v>
      </c>
      <c r="T1820" s="5">
        <v>121.9</v>
      </c>
      <c r="U1820" s="5">
        <v>117.01</v>
      </c>
      <c r="V1820" s="5">
        <v>117.34</v>
      </c>
      <c r="W1820" s="5">
        <v>1417772</v>
      </c>
    </row>
    <row r="1821" spans="1:23" x14ac:dyDescent="0.3">
      <c r="A1821" s="6">
        <v>40988</v>
      </c>
      <c r="B1821" s="7">
        <v>0.66666666666666663</v>
      </c>
      <c r="C1821" s="5">
        <v>93</v>
      </c>
      <c r="D1821" s="5">
        <v>95</v>
      </c>
      <c r="E1821" s="5">
        <v>92.5</v>
      </c>
      <c r="F1821" s="5">
        <v>94.28</v>
      </c>
      <c r="G1821" s="5">
        <v>15907</v>
      </c>
      <c r="Q1821" s="6">
        <v>40939</v>
      </c>
      <c r="R1821" s="7">
        <v>0.66666666666666663</v>
      </c>
      <c r="S1821" s="5">
        <v>117.48</v>
      </c>
      <c r="T1821" s="5">
        <v>121.3</v>
      </c>
      <c r="U1821" s="5">
        <v>116.72</v>
      </c>
      <c r="V1821" s="5">
        <v>120.69</v>
      </c>
      <c r="W1821" s="5">
        <v>1715575</v>
      </c>
    </row>
    <row r="1822" spans="1:23" x14ac:dyDescent="0.3">
      <c r="A1822" s="6">
        <v>40989</v>
      </c>
      <c r="B1822" s="7">
        <v>0.66666666666666663</v>
      </c>
      <c r="C1822" s="5">
        <v>94</v>
      </c>
      <c r="D1822" s="5">
        <v>97</v>
      </c>
      <c r="E1822" s="5">
        <v>93.53</v>
      </c>
      <c r="F1822" s="5">
        <v>95.95</v>
      </c>
      <c r="G1822" s="5">
        <v>8993</v>
      </c>
      <c r="Q1822" s="6">
        <v>40940</v>
      </c>
      <c r="R1822" s="7">
        <v>0.66666666666666663</v>
      </c>
      <c r="S1822" s="5">
        <v>122.5</v>
      </c>
      <c r="T1822" s="5">
        <v>123.25</v>
      </c>
      <c r="U1822" s="5">
        <v>117.75</v>
      </c>
      <c r="V1822" s="5">
        <v>120.55</v>
      </c>
      <c r="W1822" s="5">
        <v>3624526</v>
      </c>
    </row>
    <row r="1823" spans="1:23" x14ac:dyDescent="0.3">
      <c r="A1823" s="6">
        <v>40990</v>
      </c>
      <c r="B1823" s="7">
        <v>0.66666666666666663</v>
      </c>
      <c r="C1823" s="5">
        <v>95</v>
      </c>
      <c r="D1823" s="5">
        <v>97.39</v>
      </c>
      <c r="E1823" s="5">
        <v>95</v>
      </c>
      <c r="F1823" s="5">
        <v>96.93</v>
      </c>
      <c r="G1823" s="5">
        <v>13159</v>
      </c>
      <c r="Q1823" s="6">
        <v>40941</v>
      </c>
      <c r="R1823" s="7">
        <v>0.66666666666666663</v>
      </c>
      <c r="S1823" s="5">
        <v>120.65</v>
      </c>
      <c r="T1823" s="5">
        <v>122.8</v>
      </c>
      <c r="U1823" s="5">
        <v>119.3</v>
      </c>
      <c r="V1823" s="5">
        <v>121.51</v>
      </c>
      <c r="W1823" s="5">
        <v>2062483</v>
      </c>
    </row>
    <row r="1824" spans="1:23" x14ac:dyDescent="0.3">
      <c r="A1824" s="6">
        <v>40994</v>
      </c>
      <c r="B1824" s="7">
        <v>0.66666666666666663</v>
      </c>
      <c r="C1824" s="5">
        <v>96</v>
      </c>
      <c r="D1824" s="5">
        <v>99.25</v>
      </c>
      <c r="E1824" s="5">
        <v>96</v>
      </c>
      <c r="F1824" s="5">
        <v>98.95</v>
      </c>
      <c r="G1824" s="5">
        <v>11504</v>
      </c>
      <c r="Q1824" s="6">
        <v>40942</v>
      </c>
      <c r="R1824" s="7">
        <v>0.66666666666666663</v>
      </c>
      <c r="S1824" s="5">
        <v>122.99</v>
      </c>
      <c r="T1824" s="5">
        <v>127.58</v>
      </c>
      <c r="U1824" s="5">
        <v>122.45</v>
      </c>
      <c r="V1824" s="5">
        <v>126.19</v>
      </c>
      <c r="W1824" s="5">
        <v>5811015</v>
      </c>
    </row>
    <row r="1825" spans="1:23" x14ac:dyDescent="0.3">
      <c r="A1825" s="6">
        <v>40995</v>
      </c>
      <c r="B1825" s="7">
        <v>0.66666666666666663</v>
      </c>
      <c r="C1825" s="5">
        <v>100</v>
      </c>
      <c r="D1825" s="5">
        <v>100.85</v>
      </c>
      <c r="E1825" s="5">
        <v>99</v>
      </c>
      <c r="F1825" s="5">
        <v>100.15</v>
      </c>
      <c r="G1825" s="5">
        <v>16407</v>
      </c>
      <c r="Q1825" s="6">
        <v>40945</v>
      </c>
      <c r="R1825" s="7">
        <v>0.66666666666666663</v>
      </c>
      <c r="S1825" s="5">
        <v>126.74</v>
      </c>
      <c r="T1825" s="5">
        <v>127.87</v>
      </c>
      <c r="U1825" s="5">
        <v>122.55</v>
      </c>
      <c r="V1825" s="5">
        <v>123.24</v>
      </c>
      <c r="W1825" s="5">
        <v>2865609</v>
      </c>
    </row>
    <row r="1826" spans="1:23" x14ac:dyDescent="0.3">
      <c r="A1826" s="6">
        <v>40996</v>
      </c>
      <c r="B1826" s="7">
        <v>0.66666666666666663</v>
      </c>
      <c r="C1826" s="5">
        <v>102</v>
      </c>
      <c r="D1826" s="5">
        <v>102</v>
      </c>
      <c r="E1826" s="5">
        <v>99.5</v>
      </c>
      <c r="F1826" s="5">
        <v>100</v>
      </c>
      <c r="G1826" s="5">
        <v>8716</v>
      </c>
      <c r="Q1826" s="6">
        <v>40946</v>
      </c>
      <c r="R1826" s="7">
        <v>0.66666666666666663</v>
      </c>
      <c r="S1826" s="5">
        <v>123.29</v>
      </c>
      <c r="T1826" s="5">
        <v>124.99</v>
      </c>
      <c r="U1826" s="5">
        <v>122.3</v>
      </c>
      <c r="V1826" s="5">
        <v>123.45</v>
      </c>
      <c r="W1826" s="5">
        <v>1720320</v>
      </c>
    </row>
    <row r="1827" spans="1:23" x14ac:dyDescent="0.3">
      <c r="A1827" s="6">
        <v>40997</v>
      </c>
      <c r="B1827" s="7">
        <v>0.66666666666666663</v>
      </c>
      <c r="C1827" s="5">
        <v>100</v>
      </c>
      <c r="D1827" s="5">
        <v>100.01</v>
      </c>
      <c r="E1827" s="5">
        <v>99.5</v>
      </c>
      <c r="F1827" s="5">
        <v>100</v>
      </c>
      <c r="G1827" s="5">
        <v>5379</v>
      </c>
      <c r="Q1827" s="6">
        <v>40947</v>
      </c>
      <c r="R1827" s="7">
        <v>0.66666666666666663</v>
      </c>
      <c r="S1827" s="5">
        <v>124.4</v>
      </c>
      <c r="T1827" s="5">
        <v>126.65</v>
      </c>
      <c r="U1827" s="5">
        <v>123.75</v>
      </c>
      <c r="V1827" s="5">
        <v>124.16</v>
      </c>
      <c r="W1827" s="5">
        <v>2583291</v>
      </c>
    </row>
    <row r="1828" spans="1:23" x14ac:dyDescent="0.3">
      <c r="A1828" s="6">
        <v>40998</v>
      </c>
      <c r="B1828" s="7">
        <v>0.66666666666666663</v>
      </c>
      <c r="C1828" s="5">
        <v>100</v>
      </c>
      <c r="D1828" s="5">
        <v>101</v>
      </c>
      <c r="E1828" s="5">
        <v>100</v>
      </c>
      <c r="F1828" s="5">
        <v>101</v>
      </c>
      <c r="G1828" s="5">
        <v>4813</v>
      </c>
      <c r="Q1828" s="6">
        <v>40948</v>
      </c>
      <c r="R1828" s="7">
        <v>0.66666666666666663</v>
      </c>
      <c r="S1828" s="5">
        <v>124.6</v>
      </c>
      <c r="T1828" s="5">
        <v>124.9</v>
      </c>
      <c r="U1828" s="5">
        <v>122.5</v>
      </c>
      <c r="V1828" s="5">
        <v>122.73</v>
      </c>
      <c r="W1828" s="5">
        <v>1037956</v>
      </c>
    </row>
    <row r="1829" spans="1:23" x14ac:dyDescent="0.3">
      <c r="A1829" s="6">
        <v>41001</v>
      </c>
      <c r="B1829" s="7">
        <v>0.66666666666666663</v>
      </c>
      <c r="C1829" s="5">
        <v>101</v>
      </c>
      <c r="D1829" s="5">
        <v>101.5</v>
      </c>
      <c r="E1829" s="5">
        <v>100.8</v>
      </c>
      <c r="F1829" s="5">
        <v>101</v>
      </c>
      <c r="G1829" s="5">
        <v>4823</v>
      </c>
      <c r="Q1829" s="6">
        <v>40949</v>
      </c>
      <c r="R1829" s="7">
        <v>0.66666666666666663</v>
      </c>
      <c r="S1829" s="5">
        <v>122.95</v>
      </c>
      <c r="T1829" s="5">
        <v>123.6</v>
      </c>
      <c r="U1829" s="5">
        <v>120.1</v>
      </c>
      <c r="V1829" s="5">
        <v>120.39</v>
      </c>
      <c r="W1829" s="5">
        <v>1100791</v>
      </c>
    </row>
    <row r="1830" spans="1:23" x14ac:dyDescent="0.3">
      <c r="A1830" s="6">
        <v>41002</v>
      </c>
      <c r="B1830" s="7">
        <v>0.66666666666666663</v>
      </c>
      <c r="C1830" s="5">
        <v>100.75</v>
      </c>
      <c r="D1830" s="5">
        <v>101.75</v>
      </c>
      <c r="E1830" s="5">
        <v>100.5</v>
      </c>
      <c r="F1830" s="5">
        <v>101.01</v>
      </c>
      <c r="G1830" s="5">
        <v>4766</v>
      </c>
      <c r="Q1830" s="6">
        <v>40952</v>
      </c>
      <c r="R1830" s="7">
        <v>0.66666666666666663</v>
      </c>
      <c r="S1830" s="5">
        <v>120.39</v>
      </c>
      <c r="T1830" s="5">
        <v>121.49</v>
      </c>
      <c r="U1830" s="5">
        <v>118.5</v>
      </c>
      <c r="V1830" s="5">
        <v>120.45</v>
      </c>
      <c r="W1830" s="5">
        <v>677161</v>
      </c>
    </row>
    <row r="1831" spans="1:23" x14ac:dyDescent="0.3">
      <c r="A1831" s="6">
        <v>41003</v>
      </c>
      <c r="B1831" s="7">
        <v>0.66666666666666663</v>
      </c>
      <c r="C1831" s="5">
        <v>101</v>
      </c>
      <c r="D1831" s="5">
        <v>101.9</v>
      </c>
      <c r="E1831" s="5">
        <v>100.8</v>
      </c>
      <c r="F1831" s="5">
        <v>101</v>
      </c>
      <c r="G1831" s="5">
        <v>11738</v>
      </c>
      <c r="Q1831" s="6">
        <v>40953</v>
      </c>
      <c r="R1831" s="7">
        <v>0.66666666666666663</v>
      </c>
      <c r="S1831" s="5">
        <v>121</v>
      </c>
      <c r="T1831" s="5">
        <v>122.2</v>
      </c>
      <c r="U1831" s="5">
        <v>120.05</v>
      </c>
      <c r="V1831" s="5">
        <v>120.34</v>
      </c>
      <c r="W1831" s="5">
        <v>664302</v>
      </c>
    </row>
    <row r="1832" spans="1:23" x14ac:dyDescent="0.3">
      <c r="A1832" s="6">
        <v>41004</v>
      </c>
      <c r="B1832" s="7">
        <v>0.66666666666666663</v>
      </c>
      <c r="C1832" s="5">
        <v>102</v>
      </c>
      <c r="D1832" s="5">
        <v>102</v>
      </c>
      <c r="E1832" s="5">
        <v>101</v>
      </c>
      <c r="F1832" s="5">
        <v>101</v>
      </c>
      <c r="G1832" s="5">
        <v>11126</v>
      </c>
      <c r="Q1832" s="6">
        <v>40954</v>
      </c>
      <c r="R1832" s="7">
        <v>0.66666666666666663</v>
      </c>
      <c r="S1832" s="5">
        <v>120.95</v>
      </c>
      <c r="T1832" s="5">
        <v>122.05</v>
      </c>
      <c r="U1832" s="5">
        <v>120</v>
      </c>
      <c r="V1832" s="5">
        <v>120.88</v>
      </c>
      <c r="W1832" s="5">
        <v>843984</v>
      </c>
    </row>
    <row r="1833" spans="1:23" x14ac:dyDescent="0.3">
      <c r="A1833" s="6">
        <v>41005</v>
      </c>
      <c r="B1833" s="7">
        <v>0.66666666666666663</v>
      </c>
      <c r="C1833" s="5">
        <v>102.5</v>
      </c>
      <c r="D1833" s="5">
        <v>102.5</v>
      </c>
      <c r="E1833" s="5">
        <v>101</v>
      </c>
      <c r="F1833" s="5">
        <v>101.97</v>
      </c>
      <c r="G1833" s="5">
        <v>4607</v>
      </c>
      <c r="Q1833" s="6">
        <v>40955</v>
      </c>
      <c r="R1833" s="7">
        <v>0.66666666666666663</v>
      </c>
      <c r="S1833" s="5">
        <v>121.25</v>
      </c>
      <c r="T1833" s="5">
        <v>122.87</v>
      </c>
      <c r="U1833" s="5">
        <v>120.7</v>
      </c>
      <c r="V1833" s="5">
        <v>122.02</v>
      </c>
      <c r="W1833" s="5">
        <v>1478777</v>
      </c>
    </row>
    <row r="1834" spans="1:23" x14ac:dyDescent="0.3">
      <c r="A1834" s="6">
        <v>41008</v>
      </c>
      <c r="B1834" s="7">
        <v>0.66666666666666663</v>
      </c>
      <c r="C1834" s="5">
        <v>101.5</v>
      </c>
      <c r="D1834" s="5">
        <v>103</v>
      </c>
      <c r="E1834" s="5">
        <v>101.5</v>
      </c>
      <c r="F1834" s="5">
        <v>102.6</v>
      </c>
      <c r="G1834" s="5">
        <v>16473</v>
      </c>
      <c r="Q1834" s="6">
        <v>40956</v>
      </c>
      <c r="R1834" s="7">
        <v>0.66666666666666663</v>
      </c>
      <c r="S1834" s="5">
        <v>122.6</v>
      </c>
      <c r="T1834" s="5">
        <v>125.9</v>
      </c>
      <c r="U1834" s="5">
        <v>122.6</v>
      </c>
      <c r="V1834" s="5">
        <v>124</v>
      </c>
      <c r="W1834" s="5">
        <v>2778415</v>
      </c>
    </row>
    <row r="1835" spans="1:23" x14ac:dyDescent="0.3">
      <c r="A1835" s="6">
        <v>41009</v>
      </c>
      <c r="B1835" s="7">
        <v>0.66666666666666663</v>
      </c>
      <c r="C1835" s="5">
        <v>102.6</v>
      </c>
      <c r="D1835" s="5">
        <v>104</v>
      </c>
      <c r="E1835" s="5">
        <v>102.6</v>
      </c>
      <c r="F1835" s="5">
        <v>103.96</v>
      </c>
      <c r="G1835" s="5">
        <v>13117</v>
      </c>
      <c r="Q1835" s="6">
        <v>40959</v>
      </c>
      <c r="R1835" s="7">
        <v>0.66666666666666663</v>
      </c>
      <c r="S1835" s="5">
        <v>124.49</v>
      </c>
      <c r="T1835" s="5">
        <v>124.5</v>
      </c>
      <c r="U1835" s="5">
        <v>121.25</v>
      </c>
      <c r="V1835" s="5">
        <v>121.73</v>
      </c>
      <c r="W1835" s="5">
        <v>1751589</v>
      </c>
    </row>
    <row r="1836" spans="1:23" x14ac:dyDescent="0.3">
      <c r="A1836" s="6">
        <v>41010</v>
      </c>
      <c r="B1836" s="7">
        <v>0.66666666666666663</v>
      </c>
      <c r="C1836" s="5">
        <v>102.01</v>
      </c>
      <c r="D1836" s="5">
        <v>105.5</v>
      </c>
      <c r="E1836" s="5">
        <v>102.01</v>
      </c>
      <c r="F1836" s="5">
        <v>103.3</v>
      </c>
      <c r="G1836" s="5">
        <v>9231</v>
      </c>
      <c r="Q1836" s="6">
        <v>40960</v>
      </c>
      <c r="R1836" s="7">
        <v>0.66666666666666663</v>
      </c>
      <c r="S1836" s="5">
        <v>122.68</v>
      </c>
      <c r="T1836" s="5">
        <v>122.98</v>
      </c>
      <c r="U1836" s="5">
        <v>121.5</v>
      </c>
      <c r="V1836" s="5">
        <v>121.82</v>
      </c>
      <c r="W1836" s="5">
        <v>524681</v>
      </c>
    </row>
    <row r="1837" spans="1:23" x14ac:dyDescent="0.3">
      <c r="A1837" s="6">
        <v>41011</v>
      </c>
      <c r="B1837" s="7">
        <v>0.66666666666666663</v>
      </c>
      <c r="C1837" s="5">
        <v>103.5</v>
      </c>
      <c r="D1837" s="5">
        <v>103.5</v>
      </c>
      <c r="E1837" s="5">
        <v>101.5</v>
      </c>
      <c r="F1837" s="5">
        <v>101.95</v>
      </c>
      <c r="G1837" s="5">
        <v>5580</v>
      </c>
      <c r="Q1837" s="6">
        <v>40961</v>
      </c>
      <c r="R1837" s="7">
        <v>0.66666666666666663</v>
      </c>
      <c r="S1837" s="5">
        <v>122.8</v>
      </c>
      <c r="T1837" s="5">
        <v>123.9</v>
      </c>
      <c r="U1837" s="5">
        <v>121</v>
      </c>
      <c r="V1837" s="5">
        <v>121.15</v>
      </c>
      <c r="W1837" s="5">
        <v>805423</v>
      </c>
    </row>
    <row r="1838" spans="1:23" x14ac:dyDescent="0.3">
      <c r="A1838" s="6">
        <v>41012</v>
      </c>
      <c r="B1838" s="7">
        <v>0.66666666666666663</v>
      </c>
      <c r="C1838" s="5">
        <v>97.95</v>
      </c>
      <c r="D1838" s="5">
        <v>102</v>
      </c>
      <c r="E1838" s="5">
        <v>97.95</v>
      </c>
      <c r="F1838" s="5">
        <v>100.73</v>
      </c>
      <c r="G1838" s="5">
        <v>16891</v>
      </c>
      <c r="Q1838" s="6">
        <v>40962</v>
      </c>
      <c r="R1838" s="7">
        <v>0.66666666666666663</v>
      </c>
      <c r="S1838" s="5">
        <v>121.5</v>
      </c>
      <c r="T1838" s="5">
        <v>123.95</v>
      </c>
      <c r="U1838" s="5">
        <v>121.35</v>
      </c>
      <c r="V1838" s="5">
        <v>122.23</v>
      </c>
      <c r="W1838" s="5">
        <v>1391146</v>
      </c>
    </row>
    <row r="1839" spans="1:23" x14ac:dyDescent="0.3">
      <c r="A1839" s="6">
        <v>41015</v>
      </c>
      <c r="B1839" s="7">
        <v>0.66666666666666663</v>
      </c>
      <c r="C1839" s="5">
        <v>100.25</v>
      </c>
      <c r="D1839" s="5">
        <v>104</v>
      </c>
      <c r="E1839" s="5">
        <v>100.25</v>
      </c>
      <c r="F1839" s="5">
        <v>104</v>
      </c>
      <c r="G1839" s="5">
        <v>935591</v>
      </c>
      <c r="Q1839" s="6">
        <v>40963</v>
      </c>
      <c r="R1839" s="7">
        <v>0.66666666666666663</v>
      </c>
      <c r="S1839" s="5">
        <v>122.99</v>
      </c>
      <c r="T1839" s="5">
        <v>124.95</v>
      </c>
      <c r="U1839" s="5">
        <v>122.11</v>
      </c>
      <c r="V1839" s="5">
        <v>124.41</v>
      </c>
      <c r="W1839" s="5">
        <v>2935092</v>
      </c>
    </row>
    <row r="1840" spans="1:23" x14ac:dyDescent="0.3">
      <c r="A1840" s="6">
        <v>41016</v>
      </c>
      <c r="B1840" s="7">
        <v>0.66666666666666663</v>
      </c>
      <c r="C1840" s="5">
        <v>105.99</v>
      </c>
      <c r="D1840" s="5">
        <v>107</v>
      </c>
      <c r="E1840" s="5">
        <v>104</v>
      </c>
      <c r="F1840" s="5">
        <v>106.91</v>
      </c>
      <c r="G1840" s="5">
        <v>9858</v>
      </c>
      <c r="Q1840" s="6">
        <v>40966</v>
      </c>
      <c r="R1840" s="7">
        <v>0.66666666666666663</v>
      </c>
      <c r="S1840" s="5">
        <v>125.2</v>
      </c>
      <c r="T1840" s="5">
        <v>125.94</v>
      </c>
      <c r="U1840" s="5">
        <v>123.6</v>
      </c>
      <c r="V1840" s="5">
        <v>124.07</v>
      </c>
      <c r="W1840" s="5">
        <v>2745553</v>
      </c>
    </row>
    <row r="1841" spans="1:23" x14ac:dyDescent="0.3">
      <c r="A1841" s="6">
        <v>41017</v>
      </c>
      <c r="B1841" s="7">
        <v>0.66666666666666663</v>
      </c>
      <c r="C1841" s="5">
        <v>106</v>
      </c>
      <c r="D1841" s="5">
        <v>111.75</v>
      </c>
      <c r="E1841" s="5">
        <v>106</v>
      </c>
      <c r="F1841" s="5">
        <v>109.38</v>
      </c>
      <c r="G1841" s="5">
        <v>26270</v>
      </c>
      <c r="Q1841" s="6">
        <v>40967</v>
      </c>
      <c r="R1841" s="7">
        <v>0.66666666666666663</v>
      </c>
      <c r="S1841" s="5">
        <v>124.2</v>
      </c>
      <c r="T1841" s="5">
        <v>129.85</v>
      </c>
      <c r="U1841" s="5">
        <v>123.25</v>
      </c>
      <c r="V1841" s="5">
        <v>127.59</v>
      </c>
      <c r="W1841" s="5">
        <v>5571900</v>
      </c>
    </row>
    <row r="1842" spans="1:23" x14ac:dyDescent="0.3">
      <c r="A1842" s="6">
        <v>41018</v>
      </c>
      <c r="B1842" s="7">
        <v>0.66666666666666663</v>
      </c>
      <c r="C1842" s="5">
        <v>104</v>
      </c>
      <c r="D1842" s="5">
        <v>114.84</v>
      </c>
      <c r="E1842" s="5">
        <v>104</v>
      </c>
      <c r="F1842" s="5">
        <v>114.61</v>
      </c>
      <c r="G1842" s="5">
        <v>772233</v>
      </c>
      <c r="Q1842" s="6">
        <v>40968</v>
      </c>
      <c r="R1842" s="7">
        <v>0.66666666666666663</v>
      </c>
      <c r="S1842" s="5">
        <v>128</v>
      </c>
      <c r="T1842" s="5">
        <v>131.88999999999999</v>
      </c>
      <c r="U1842" s="5">
        <v>128</v>
      </c>
      <c r="V1842" s="5">
        <v>129.12</v>
      </c>
      <c r="W1842" s="5">
        <v>4035899</v>
      </c>
    </row>
    <row r="1843" spans="1:23" x14ac:dyDescent="0.3">
      <c r="A1843" s="6">
        <v>41019</v>
      </c>
      <c r="B1843" s="7">
        <v>0.66666666666666663</v>
      </c>
      <c r="C1843" s="5">
        <v>116</v>
      </c>
      <c r="D1843" s="5">
        <v>116.99</v>
      </c>
      <c r="E1843" s="5">
        <v>114.4</v>
      </c>
      <c r="F1843" s="5">
        <v>115.82</v>
      </c>
      <c r="G1843" s="5">
        <v>25210</v>
      </c>
      <c r="Q1843" s="6">
        <v>40969</v>
      </c>
      <c r="R1843" s="7">
        <v>0.66666666666666663</v>
      </c>
      <c r="S1843" s="5">
        <v>129.79</v>
      </c>
      <c r="T1843" s="5">
        <v>130.44999999999999</v>
      </c>
      <c r="U1843" s="5">
        <v>127.33</v>
      </c>
      <c r="V1843" s="5">
        <v>127.94</v>
      </c>
      <c r="W1843" s="5">
        <v>2396307</v>
      </c>
    </row>
    <row r="1844" spans="1:23" x14ac:dyDescent="0.3">
      <c r="A1844" s="6">
        <v>41022</v>
      </c>
      <c r="B1844" s="7">
        <v>0.66666666666666663</v>
      </c>
      <c r="C1844" s="5">
        <v>115</v>
      </c>
      <c r="D1844" s="5">
        <v>117</v>
      </c>
      <c r="E1844" s="5">
        <v>113.5</v>
      </c>
      <c r="F1844" s="5">
        <v>114.58</v>
      </c>
      <c r="G1844" s="5">
        <v>28045</v>
      </c>
      <c r="Q1844" s="6">
        <v>40970</v>
      </c>
      <c r="R1844" s="7">
        <v>0.66666666666666663</v>
      </c>
      <c r="S1844" s="5">
        <v>128</v>
      </c>
      <c r="T1844" s="5">
        <v>132.1</v>
      </c>
      <c r="U1844" s="5">
        <v>127.99</v>
      </c>
      <c r="V1844" s="5">
        <v>130.38999999999999</v>
      </c>
      <c r="W1844" s="5">
        <v>3503943</v>
      </c>
    </row>
    <row r="1845" spans="1:23" x14ac:dyDescent="0.3">
      <c r="A1845" s="6">
        <v>41023</v>
      </c>
      <c r="B1845" s="7">
        <v>0.66666666666666663</v>
      </c>
      <c r="C1845" s="5">
        <v>113.5</v>
      </c>
      <c r="D1845" s="5">
        <v>113.89</v>
      </c>
      <c r="E1845" s="5">
        <v>110.02</v>
      </c>
      <c r="F1845" s="5">
        <v>113.01</v>
      </c>
      <c r="G1845" s="5">
        <v>17097</v>
      </c>
      <c r="Q1845" s="6">
        <v>40973</v>
      </c>
      <c r="R1845" s="7">
        <v>0.66666666666666663</v>
      </c>
      <c r="S1845" s="5">
        <v>131.4</v>
      </c>
      <c r="T1845" s="5">
        <v>136.9</v>
      </c>
      <c r="U1845" s="5">
        <v>131.36000000000001</v>
      </c>
      <c r="V1845" s="5">
        <v>136.88999999999999</v>
      </c>
      <c r="W1845" s="5">
        <v>4020870</v>
      </c>
    </row>
    <row r="1846" spans="1:23" x14ac:dyDescent="0.3">
      <c r="A1846" s="6">
        <v>41024</v>
      </c>
      <c r="B1846" s="7">
        <v>0.66666666666666663</v>
      </c>
      <c r="C1846" s="5">
        <v>114.99</v>
      </c>
      <c r="D1846" s="5">
        <v>116</v>
      </c>
      <c r="E1846" s="5">
        <v>114.99</v>
      </c>
      <c r="F1846" s="5">
        <v>115.1</v>
      </c>
      <c r="G1846" s="5">
        <v>20154</v>
      </c>
      <c r="Q1846" s="6">
        <v>40974</v>
      </c>
      <c r="R1846" s="7">
        <v>0.66666666666666663</v>
      </c>
      <c r="S1846" s="5">
        <v>137.85</v>
      </c>
      <c r="T1846" s="5">
        <v>140.15</v>
      </c>
      <c r="U1846" s="5">
        <v>134.80000000000001</v>
      </c>
      <c r="V1846" s="5">
        <v>135.44999999999999</v>
      </c>
      <c r="W1846" s="5">
        <v>2360397</v>
      </c>
    </row>
    <row r="1847" spans="1:23" x14ac:dyDescent="0.3">
      <c r="A1847" s="6">
        <v>41025</v>
      </c>
      <c r="B1847" s="7">
        <v>0.66666666666666663</v>
      </c>
      <c r="C1847" s="5">
        <v>113.65</v>
      </c>
      <c r="D1847" s="5">
        <v>115.33</v>
      </c>
      <c r="E1847" s="5">
        <v>113.6</v>
      </c>
      <c r="F1847" s="5">
        <v>115</v>
      </c>
      <c r="G1847" s="5">
        <v>13473</v>
      </c>
      <c r="Q1847" s="6">
        <v>40975</v>
      </c>
      <c r="R1847" s="7">
        <v>0.66666666666666663</v>
      </c>
      <c r="S1847" s="5">
        <v>136</v>
      </c>
      <c r="T1847" s="5">
        <v>136.6</v>
      </c>
      <c r="U1847" s="5">
        <v>132.75</v>
      </c>
      <c r="V1847" s="5">
        <v>133.19999999999999</v>
      </c>
      <c r="W1847" s="5">
        <v>983166</v>
      </c>
    </row>
    <row r="1848" spans="1:23" x14ac:dyDescent="0.3">
      <c r="A1848" s="6">
        <v>41026</v>
      </c>
      <c r="B1848" s="7">
        <v>0.66666666666666663</v>
      </c>
      <c r="C1848" s="5">
        <v>117</v>
      </c>
      <c r="D1848" s="5">
        <v>117</v>
      </c>
      <c r="E1848" s="5">
        <v>113</v>
      </c>
      <c r="F1848" s="5">
        <v>113.74</v>
      </c>
      <c r="G1848" s="5">
        <v>955</v>
      </c>
      <c r="Q1848" s="6">
        <v>40976</v>
      </c>
      <c r="R1848" s="7">
        <v>0.66666666666666663</v>
      </c>
      <c r="S1848" s="5">
        <v>133.25</v>
      </c>
      <c r="T1848" s="5">
        <v>135.69999999999999</v>
      </c>
      <c r="U1848" s="5">
        <v>133.12</v>
      </c>
      <c r="V1848" s="5">
        <v>133.78</v>
      </c>
      <c r="W1848" s="5">
        <v>776238</v>
      </c>
    </row>
    <row r="1849" spans="1:23" x14ac:dyDescent="0.3">
      <c r="A1849" s="6">
        <v>41029</v>
      </c>
      <c r="B1849" s="7">
        <v>0.66666666666666663</v>
      </c>
      <c r="C1849" s="5">
        <v>110.2</v>
      </c>
      <c r="D1849" s="5">
        <v>115</v>
      </c>
      <c r="E1849" s="5">
        <v>110</v>
      </c>
      <c r="F1849" s="5">
        <v>114.6</v>
      </c>
      <c r="G1849" s="5">
        <v>4802</v>
      </c>
      <c r="Q1849" s="6">
        <v>40977</v>
      </c>
      <c r="R1849" s="7">
        <v>0.66666666666666663</v>
      </c>
      <c r="S1849" s="5">
        <v>134.49</v>
      </c>
      <c r="T1849" s="5">
        <v>136.80000000000001</v>
      </c>
      <c r="U1849" s="5">
        <v>134.25</v>
      </c>
      <c r="V1849" s="5">
        <v>135.36000000000001</v>
      </c>
      <c r="W1849" s="5">
        <v>938930</v>
      </c>
    </row>
    <row r="1850" spans="1:23" x14ac:dyDescent="0.3">
      <c r="A1850" s="6">
        <v>41031</v>
      </c>
      <c r="B1850" s="7">
        <v>0.66666666666666663</v>
      </c>
      <c r="C1850" s="5">
        <v>115</v>
      </c>
      <c r="D1850" s="5">
        <v>120.33</v>
      </c>
      <c r="E1850" s="5">
        <v>115</v>
      </c>
      <c r="F1850" s="5">
        <v>119.74</v>
      </c>
      <c r="G1850" s="5">
        <v>38281</v>
      </c>
      <c r="Q1850" s="6">
        <v>40980</v>
      </c>
      <c r="R1850" s="7">
        <v>0.66666666666666663</v>
      </c>
      <c r="S1850" s="5">
        <v>135.9</v>
      </c>
      <c r="T1850" s="5">
        <v>135.9</v>
      </c>
      <c r="U1850" s="5">
        <v>130.11000000000001</v>
      </c>
      <c r="V1850" s="5">
        <v>130.9</v>
      </c>
      <c r="W1850" s="5">
        <v>1227674</v>
      </c>
    </row>
    <row r="1851" spans="1:23" x14ac:dyDescent="0.3">
      <c r="A1851" s="6">
        <v>41032</v>
      </c>
      <c r="B1851" s="7">
        <v>0.66666666666666663</v>
      </c>
      <c r="C1851" s="5">
        <v>120.9</v>
      </c>
      <c r="D1851" s="5">
        <v>125.72</v>
      </c>
      <c r="E1851" s="5">
        <v>120.9</v>
      </c>
      <c r="F1851" s="5">
        <v>125.58</v>
      </c>
      <c r="G1851" s="5">
        <v>129703</v>
      </c>
      <c r="Q1851" s="6">
        <v>40981</v>
      </c>
      <c r="R1851" s="7">
        <v>0.66666666666666663</v>
      </c>
      <c r="S1851" s="5">
        <v>131.30000000000001</v>
      </c>
      <c r="T1851" s="5">
        <v>131.9</v>
      </c>
      <c r="U1851" s="5">
        <v>128.5</v>
      </c>
      <c r="V1851" s="5">
        <v>129.59</v>
      </c>
      <c r="W1851" s="5">
        <v>698543</v>
      </c>
    </row>
    <row r="1852" spans="1:23" x14ac:dyDescent="0.3">
      <c r="A1852" s="6">
        <v>41033</v>
      </c>
      <c r="B1852" s="7">
        <v>0.66666666666666663</v>
      </c>
      <c r="C1852" s="5">
        <v>125</v>
      </c>
      <c r="D1852" s="5">
        <v>130.5</v>
      </c>
      <c r="E1852" s="5">
        <v>119.5</v>
      </c>
      <c r="F1852" s="5">
        <v>129.66999999999999</v>
      </c>
      <c r="G1852" s="5">
        <v>35907</v>
      </c>
      <c r="Q1852" s="6">
        <v>40982</v>
      </c>
      <c r="R1852" s="7">
        <v>0.66666666666666663</v>
      </c>
      <c r="S1852" s="5">
        <v>130.19999999999999</v>
      </c>
      <c r="T1852" s="5">
        <v>132.99</v>
      </c>
      <c r="U1852" s="5">
        <v>129.15</v>
      </c>
      <c r="V1852" s="5">
        <v>129.62</v>
      </c>
      <c r="W1852" s="5">
        <v>2431486</v>
      </c>
    </row>
    <row r="1853" spans="1:23" x14ac:dyDescent="0.3">
      <c r="A1853" s="6">
        <v>41036</v>
      </c>
      <c r="B1853" s="7">
        <v>0.66666666666666663</v>
      </c>
      <c r="C1853" s="5">
        <v>127.1</v>
      </c>
      <c r="D1853" s="5">
        <v>128.99</v>
      </c>
      <c r="E1853" s="5">
        <v>124</v>
      </c>
      <c r="F1853" s="5">
        <v>126.99</v>
      </c>
      <c r="G1853" s="5">
        <v>313382</v>
      </c>
      <c r="Q1853" s="6">
        <v>40983</v>
      </c>
      <c r="R1853" s="7">
        <v>0.66666666666666663</v>
      </c>
      <c r="S1853" s="5">
        <v>130.05000000000001</v>
      </c>
      <c r="T1853" s="5">
        <v>130.4</v>
      </c>
      <c r="U1853" s="5">
        <v>128.19999999999999</v>
      </c>
      <c r="V1853" s="5">
        <v>129.30000000000001</v>
      </c>
      <c r="W1853" s="5">
        <v>651769</v>
      </c>
    </row>
    <row r="1854" spans="1:23" x14ac:dyDescent="0.3">
      <c r="A1854" s="6">
        <v>41037</v>
      </c>
      <c r="B1854" s="7">
        <v>0.66666666666666663</v>
      </c>
      <c r="C1854" s="5">
        <v>124.1</v>
      </c>
      <c r="D1854" s="5">
        <v>125.5</v>
      </c>
      <c r="E1854" s="5">
        <v>123</v>
      </c>
      <c r="F1854" s="5">
        <v>124.27</v>
      </c>
      <c r="G1854" s="5">
        <v>49876</v>
      </c>
      <c r="Q1854" s="6">
        <v>40984</v>
      </c>
      <c r="R1854" s="7">
        <v>0.66666666666666663</v>
      </c>
      <c r="S1854" s="5">
        <v>129.41</v>
      </c>
      <c r="T1854" s="5">
        <v>130.30000000000001</v>
      </c>
      <c r="U1854" s="5">
        <v>125.05</v>
      </c>
      <c r="V1854" s="5">
        <v>125.77</v>
      </c>
      <c r="W1854" s="5">
        <v>424784</v>
      </c>
    </row>
    <row r="1855" spans="1:23" x14ac:dyDescent="0.3">
      <c r="A1855" s="6">
        <v>41038</v>
      </c>
      <c r="B1855" s="7">
        <v>0.66666666666666663</v>
      </c>
      <c r="C1855" s="5">
        <v>124.9</v>
      </c>
      <c r="D1855" s="5">
        <v>124.9</v>
      </c>
      <c r="E1855" s="5">
        <v>121.1</v>
      </c>
      <c r="F1855" s="5">
        <v>122.62</v>
      </c>
      <c r="G1855" s="5">
        <v>11205</v>
      </c>
      <c r="Q1855" s="6">
        <v>40987</v>
      </c>
      <c r="R1855" s="7">
        <v>0.66666666666666663</v>
      </c>
      <c r="S1855" s="5">
        <v>125.7</v>
      </c>
      <c r="T1855" s="5">
        <v>127.5</v>
      </c>
      <c r="U1855" s="5">
        <v>124.5</v>
      </c>
      <c r="V1855" s="5">
        <v>125.13</v>
      </c>
      <c r="W1855" s="5">
        <v>588730</v>
      </c>
    </row>
    <row r="1856" spans="1:23" x14ac:dyDescent="0.3">
      <c r="A1856" s="6">
        <v>41039</v>
      </c>
      <c r="B1856" s="7">
        <v>0.66666666666666663</v>
      </c>
      <c r="C1856" s="5">
        <v>123</v>
      </c>
      <c r="D1856" s="5">
        <v>123.7</v>
      </c>
      <c r="E1856" s="5">
        <v>120</v>
      </c>
      <c r="F1856" s="5">
        <v>120.7</v>
      </c>
      <c r="G1856" s="5">
        <v>14011</v>
      </c>
      <c r="Q1856" s="6">
        <v>40988</v>
      </c>
      <c r="R1856" s="7">
        <v>0.66666666666666663</v>
      </c>
      <c r="S1856" s="5">
        <v>125.3</v>
      </c>
      <c r="T1856" s="5">
        <v>127.25</v>
      </c>
      <c r="U1856" s="5">
        <v>124.75</v>
      </c>
      <c r="V1856" s="5">
        <v>126.64</v>
      </c>
      <c r="W1856" s="5">
        <v>513161</v>
      </c>
    </row>
    <row r="1857" spans="1:23" x14ac:dyDescent="0.3">
      <c r="A1857" s="6">
        <v>41040</v>
      </c>
      <c r="B1857" s="7">
        <v>0.66666666666666663</v>
      </c>
      <c r="C1857" s="5">
        <v>118.5</v>
      </c>
      <c r="D1857" s="5">
        <v>119.4</v>
      </c>
      <c r="E1857" s="5">
        <v>115.26</v>
      </c>
      <c r="F1857" s="5">
        <v>117.07</v>
      </c>
      <c r="G1857" s="5">
        <v>10539</v>
      </c>
      <c r="Q1857" s="6">
        <v>40989</v>
      </c>
      <c r="R1857" s="7">
        <v>0.66666666666666663</v>
      </c>
      <c r="S1857" s="5">
        <v>127.5</v>
      </c>
      <c r="T1857" s="5">
        <v>129.99</v>
      </c>
      <c r="U1857" s="5">
        <v>127.5</v>
      </c>
      <c r="V1857" s="5">
        <v>128.02000000000001</v>
      </c>
      <c r="W1857" s="5">
        <v>1492655</v>
      </c>
    </row>
    <row r="1858" spans="1:23" x14ac:dyDescent="0.3">
      <c r="A1858" s="6">
        <v>41043</v>
      </c>
      <c r="B1858" s="7">
        <v>0.66666666666666663</v>
      </c>
      <c r="C1858" s="5">
        <v>116.6</v>
      </c>
      <c r="D1858" s="5">
        <v>118.75</v>
      </c>
      <c r="E1858" s="5">
        <v>116.2</v>
      </c>
      <c r="F1858" s="5">
        <v>116.33</v>
      </c>
      <c r="G1858" s="5">
        <v>1980</v>
      </c>
      <c r="Q1858" s="6">
        <v>40990</v>
      </c>
      <c r="R1858" s="7">
        <v>0.66666666666666663</v>
      </c>
      <c r="S1858" s="5">
        <v>128.38999999999999</v>
      </c>
      <c r="T1858" s="5">
        <v>128.84</v>
      </c>
      <c r="U1858" s="5">
        <v>127.11</v>
      </c>
      <c r="V1858" s="5">
        <v>127.49</v>
      </c>
      <c r="W1858" s="5">
        <v>291807</v>
      </c>
    </row>
    <row r="1859" spans="1:23" x14ac:dyDescent="0.3">
      <c r="A1859" s="6">
        <v>41044</v>
      </c>
      <c r="B1859" s="7">
        <v>0.66666666666666663</v>
      </c>
      <c r="C1859" s="5">
        <v>112.07</v>
      </c>
      <c r="D1859" s="5">
        <v>119.49</v>
      </c>
      <c r="E1859" s="5">
        <v>112.07</v>
      </c>
      <c r="F1859" s="5">
        <v>116.03</v>
      </c>
      <c r="G1859" s="5">
        <v>9596</v>
      </c>
      <c r="Q1859" s="6">
        <v>40994</v>
      </c>
      <c r="R1859" s="7">
        <v>0.66666666666666663</v>
      </c>
      <c r="S1859" s="5">
        <v>128.38999999999999</v>
      </c>
      <c r="T1859" s="5">
        <v>128.69999999999999</v>
      </c>
      <c r="U1859" s="5">
        <v>126.1</v>
      </c>
      <c r="V1859" s="5">
        <v>127.9</v>
      </c>
      <c r="W1859" s="5">
        <v>529833</v>
      </c>
    </row>
    <row r="1860" spans="1:23" x14ac:dyDescent="0.3">
      <c r="A1860" s="6">
        <v>41045</v>
      </c>
      <c r="B1860" s="7">
        <v>0.66666666666666663</v>
      </c>
      <c r="C1860" s="5">
        <v>114.55</v>
      </c>
      <c r="D1860" s="5">
        <v>116.9</v>
      </c>
      <c r="E1860" s="5">
        <v>114.55</v>
      </c>
      <c r="F1860" s="5">
        <v>116</v>
      </c>
      <c r="G1860" s="5">
        <v>4042</v>
      </c>
      <c r="Q1860" s="6">
        <v>40995</v>
      </c>
      <c r="R1860" s="7">
        <v>0.66666666666666663</v>
      </c>
      <c r="S1860" s="5">
        <v>127.2</v>
      </c>
      <c r="T1860" s="5">
        <v>131.65</v>
      </c>
      <c r="U1860" s="5">
        <v>127.2</v>
      </c>
      <c r="V1860" s="5">
        <v>130.99</v>
      </c>
      <c r="W1860" s="5">
        <v>1932603</v>
      </c>
    </row>
    <row r="1861" spans="1:23" x14ac:dyDescent="0.3">
      <c r="A1861" s="6">
        <v>41046</v>
      </c>
      <c r="B1861" s="7">
        <v>0.66666666666666663</v>
      </c>
      <c r="C1861" s="5">
        <v>117</v>
      </c>
      <c r="D1861" s="5">
        <v>117.99</v>
      </c>
      <c r="E1861" s="5">
        <v>116</v>
      </c>
      <c r="F1861" s="5">
        <v>117</v>
      </c>
      <c r="G1861" s="5">
        <v>8968</v>
      </c>
      <c r="Q1861" s="6">
        <v>40996</v>
      </c>
      <c r="R1861" s="7">
        <v>0.66666666666666663</v>
      </c>
      <c r="S1861" s="5">
        <v>131.65</v>
      </c>
      <c r="T1861" s="5">
        <v>133.9</v>
      </c>
      <c r="U1861" s="5">
        <v>129</v>
      </c>
      <c r="V1861" s="5">
        <v>130.55000000000001</v>
      </c>
      <c r="W1861" s="5">
        <v>2532628</v>
      </c>
    </row>
    <row r="1862" spans="1:23" x14ac:dyDescent="0.3">
      <c r="A1862" s="6">
        <v>41047</v>
      </c>
      <c r="B1862" s="7">
        <v>0.66666666666666663</v>
      </c>
      <c r="C1862" s="5">
        <v>119.8</v>
      </c>
      <c r="D1862" s="5">
        <v>119.8</v>
      </c>
      <c r="E1862" s="5">
        <v>115.5</v>
      </c>
      <c r="F1862" s="5">
        <v>116</v>
      </c>
      <c r="G1862" s="5">
        <v>2130</v>
      </c>
      <c r="Q1862" s="6">
        <v>40997</v>
      </c>
      <c r="R1862" s="7">
        <v>0.66666666666666663</v>
      </c>
      <c r="S1862" s="5">
        <v>130.01</v>
      </c>
      <c r="T1862" s="5">
        <v>130.99</v>
      </c>
      <c r="U1862" s="5">
        <v>127.8</v>
      </c>
      <c r="V1862" s="5">
        <v>128.69</v>
      </c>
      <c r="W1862" s="5">
        <v>1003000</v>
      </c>
    </row>
    <row r="1863" spans="1:23" x14ac:dyDescent="0.3">
      <c r="A1863" s="6">
        <v>41050</v>
      </c>
      <c r="B1863" s="7">
        <v>0.66666666666666663</v>
      </c>
      <c r="C1863" s="5">
        <v>117.05</v>
      </c>
      <c r="D1863" s="5">
        <v>117.85</v>
      </c>
      <c r="E1863" s="5">
        <v>115.5</v>
      </c>
      <c r="F1863" s="5">
        <v>115.93</v>
      </c>
      <c r="G1863" s="5">
        <v>5015</v>
      </c>
      <c r="Q1863" s="6">
        <v>40998</v>
      </c>
      <c r="R1863" s="7">
        <v>0.66666666666666663</v>
      </c>
      <c r="S1863" s="5">
        <v>129</v>
      </c>
      <c r="T1863" s="5">
        <v>131.1</v>
      </c>
      <c r="U1863" s="5">
        <v>127.3</v>
      </c>
      <c r="V1863" s="5">
        <v>128.61000000000001</v>
      </c>
      <c r="W1863" s="5">
        <v>1381694</v>
      </c>
    </row>
    <row r="1864" spans="1:23" x14ac:dyDescent="0.3">
      <c r="A1864" s="6">
        <v>41051</v>
      </c>
      <c r="B1864" s="7">
        <v>0.66666666666666663</v>
      </c>
      <c r="C1864" s="5">
        <v>118.95</v>
      </c>
      <c r="D1864" s="5">
        <v>118.95</v>
      </c>
      <c r="E1864" s="5">
        <v>116</v>
      </c>
      <c r="F1864" s="5">
        <v>116.99</v>
      </c>
      <c r="G1864" s="5">
        <v>2050</v>
      </c>
      <c r="Q1864" s="6">
        <v>41001</v>
      </c>
      <c r="R1864" s="7">
        <v>0.66666666666666663</v>
      </c>
      <c r="S1864" s="5">
        <v>128.87</v>
      </c>
      <c r="T1864" s="5">
        <v>128.87</v>
      </c>
      <c r="U1864" s="5">
        <v>126.9</v>
      </c>
      <c r="V1864" s="5">
        <v>127.03</v>
      </c>
      <c r="W1864" s="5">
        <v>528792</v>
      </c>
    </row>
    <row r="1865" spans="1:23" x14ac:dyDescent="0.3">
      <c r="A1865" s="6">
        <v>41052</v>
      </c>
      <c r="B1865" s="7">
        <v>0.66666666666666663</v>
      </c>
      <c r="C1865" s="5">
        <v>117.95</v>
      </c>
      <c r="D1865" s="5">
        <v>117.95</v>
      </c>
      <c r="E1865" s="5">
        <v>115.4</v>
      </c>
      <c r="F1865" s="5">
        <v>117</v>
      </c>
      <c r="G1865" s="5">
        <v>503</v>
      </c>
      <c r="Q1865" s="6">
        <v>41002</v>
      </c>
      <c r="R1865" s="7">
        <v>0.66666666666666663</v>
      </c>
      <c r="S1865" s="5">
        <v>127.44</v>
      </c>
      <c r="T1865" s="5">
        <v>128.4</v>
      </c>
      <c r="U1865" s="5">
        <v>124.25</v>
      </c>
      <c r="V1865" s="5">
        <v>127.19</v>
      </c>
      <c r="W1865" s="5">
        <v>1116486</v>
      </c>
    </row>
    <row r="1866" spans="1:23" x14ac:dyDescent="0.3">
      <c r="A1866" s="6">
        <v>41053</v>
      </c>
      <c r="B1866" s="7">
        <v>0.66666666666666663</v>
      </c>
      <c r="C1866" s="5">
        <v>116.99</v>
      </c>
      <c r="D1866" s="5">
        <v>119.5</v>
      </c>
      <c r="E1866" s="5">
        <v>116.1</v>
      </c>
      <c r="F1866" s="5">
        <v>116.93</v>
      </c>
      <c r="G1866" s="5">
        <v>10110</v>
      </c>
      <c r="Q1866" s="6">
        <v>41003</v>
      </c>
      <c r="R1866" s="7">
        <v>0.66666666666666663</v>
      </c>
      <c r="S1866" s="5">
        <v>127.98</v>
      </c>
      <c r="T1866" s="5">
        <v>131.99</v>
      </c>
      <c r="U1866" s="5">
        <v>127.98</v>
      </c>
      <c r="V1866" s="5">
        <v>131.15</v>
      </c>
      <c r="W1866" s="5">
        <v>1613914</v>
      </c>
    </row>
    <row r="1867" spans="1:23" x14ac:dyDescent="0.3">
      <c r="A1867" s="6">
        <v>41054</v>
      </c>
      <c r="B1867" s="7">
        <v>0.66666666666666663</v>
      </c>
      <c r="C1867" s="5">
        <v>117.79</v>
      </c>
      <c r="D1867" s="5">
        <v>117.79</v>
      </c>
      <c r="E1867" s="5">
        <v>115</v>
      </c>
      <c r="F1867" s="5">
        <v>115.03</v>
      </c>
      <c r="G1867" s="5">
        <v>48316</v>
      </c>
      <c r="Q1867" s="6">
        <v>41004</v>
      </c>
      <c r="R1867" s="7">
        <v>0.66666666666666663</v>
      </c>
      <c r="S1867" s="5">
        <v>132</v>
      </c>
      <c r="T1867" s="5">
        <v>133.75</v>
      </c>
      <c r="U1867" s="5">
        <v>128.62</v>
      </c>
      <c r="V1867" s="5">
        <v>129.72</v>
      </c>
      <c r="W1867" s="5">
        <v>2107722</v>
      </c>
    </row>
    <row r="1868" spans="1:23" x14ac:dyDescent="0.3">
      <c r="A1868" s="6">
        <v>41057</v>
      </c>
      <c r="B1868" s="7">
        <v>0.66666666666666663</v>
      </c>
      <c r="C1868" s="5">
        <v>116.74</v>
      </c>
      <c r="D1868" s="5">
        <v>116.75</v>
      </c>
      <c r="E1868" s="5">
        <v>116.5</v>
      </c>
      <c r="F1868" s="5">
        <v>116.75</v>
      </c>
      <c r="G1868" s="5">
        <v>1515</v>
      </c>
      <c r="Q1868" s="6">
        <v>41005</v>
      </c>
      <c r="R1868" s="7">
        <v>0.66666666666666663</v>
      </c>
      <c r="S1868" s="5">
        <v>129.99</v>
      </c>
      <c r="T1868" s="5">
        <v>131.75</v>
      </c>
      <c r="U1868" s="5">
        <v>128.55000000000001</v>
      </c>
      <c r="V1868" s="5">
        <v>128.96</v>
      </c>
      <c r="W1868" s="5">
        <v>1136668</v>
      </c>
    </row>
    <row r="1869" spans="1:23" x14ac:dyDescent="0.3">
      <c r="A1869" s="6">
        <v>41058</v>
      </c>
      <c r="B1869" s="7">
        <v>0.66666666666666663</v>
      </c>
      <c r="C1869" s="5">
        <v>119.9</v>
      </c>
      <c r="D1869" s="5">
        <v>119.9</v>
      </c>
      <c r="E1869" s="5">
        <v>114.1</v>
      </c>
      <c r="F1869" s="5">
        <v>115.01</v>
      </c>
      <c r="G1869" s="5">
        <v>19615</v>
      </c>
      <c r="Q1869" s="6">
        <v>41008</v>
      </c>
      <c r="R1869" s="7">
        <v>0.66666666666666663</v>
      </c>
      <c r="S1869" s="5">
        <v>129.9</v>
      </c>
      <c r="T1869" s="5">
        <v>130.5</v>
      </c>
      <c r="U1869" s="5">
        <v>129</v>
      </c>
      <c r="V1869" s="5">
        <v>129.34</v>
      </c>
      <c r="W1869" s="5">
        <v>405185</v>
      </c>
    </row>
    <row r="1870" spans="1:23" x14ac:dyDescent="0.3">
      <c r="A1870" s="6">
        <v>41059</v>
      </c>
      <c r="B1870" s="7">
        <v>0.66666666666666663</v>
      </c>
      <c r="C1870" s="5">
        <v>117.25</v>
      </c>
      <c r="D1870" s="5">
        <v>117.25</v>
      </c>
      <c r="E1870" s="5">
        <v>114.9</v>
      </c>
      <c r="F1870" s="5">
        <v>115.25</v>
      </c>
      <c r="G1870" s="5">
        <v>5497</v>
      </c>
      <c r="Q1870" s="6">
        <v>41009</v>
      </c>
      <c r="R1870" s="7">
        <v>0.66666666666666663</v>
      </c>
      <c r="S1870" s="5">
        <v>129.94999999999999</v>
      </c>
      <c r="T1870" s="5">
        <v>130.1</v>
      </c>
      <c r="U1870" s="5">
        <v>129</v>
      </c>
      <c r="V1870" s="5">
        <v>129.15</v>
      </c>
      <c r="W1870" s="5">
        <v>408286</v>
      </c>
    </row>
    <row r="1871" spans="1:23" x14ac:dyDescent="0.3">
      <c r="A1871" s="6">
        <v>41060</v>
      </c>
      <c r="B1871" s="7">
        <v>0.66666666666666663</v>
      </c>
      <c r="C1871" s="5">
        <v>117.49</v>
      </c>
      <c r="D1871" s="5">
        <v>117.49</v>
      </c>
      <c r="E1871" s="5">
        <v>112</v>
      </c>
      <c r="F1871" s="5">
        <v>112</v>
      </c>
      <c r="G1871" s="5">
        <v>8440</v>
      </c>
      <c r="Q1871" s="6">
        <v>41010</v>
      </c>
      <c r="R1871" s="7">
        <v>0.66666666666666663</v>
      </c>
      <c r="S1871" s="5">
        <v>129.65</v>
      </c>
      <c r="T1871" s="5">
        <v>134.55000000000001</v>
      </c>
      <c r="U1871" s="5">
        <v>129.6</v>
      </c>
      <c r="V1871" s="5">
        <v>131.56</v>
      </c>
      <c r="W1871" s="5">
        <v>4054907</v>
      </c>
    </row>
    <row r="1872" spans="1:23" x14ac:dyDescent="0.3">
      <c r="A1872" s="6">
        <v>41061</v>
      </c>
      <c r="B1872" s="7">
        <v>0.66666666666666663</v>
      </c>
      <c r="C1872" s="5">
        <v>115</v>
      </c>
      <c r="D1872" s="5">
        <v>117.6</v>
      </c>
      <c r="E1872" s="5">
        <v>112</v>
      </c>
      <c r="F1872" s="5">
        <v>116.42</v>
      </c>
      <c r="G1872" s="5">
        <v>17975</v>
      </c>
      <c r="Q1872" s="6">
        <v>41011</v>
      </c>
      <c r="R1872" s="7">
        <v>0.66666666666666663</v>
      </c>
      <c r="S1872" s="5">
        <v>131.30000000000001</v>
      </c>
      <c r="T1872" s="5">
        <v>132.65</v>
      </c>
      <c r="U1872" s="5">
        <v>128.12</v>
      </c>
      <c r="V1872" s="5">
        <v>128.91</v>
      </c>
      <c r="W1872" s="5">
        <v>1095598</v>
      </c>
    </row>
    <row r="1873" spans="1:23" x14ac:dyDescent="0.3">
      <c r="A1873" s="6">
        <v>41064</v>
      </c>
      <c r="B1873" s="7">
        <v>0.66666666666666663</v>
      </c>
      <c r="C1873" s="5">
        <v>119.5</v>
      </c>
      <c r="D1873" s="5">
        <v>119.5</v>
      </c>
      <c r="E1873" s="5">
        <v>115</v>
      </c>
      <c r="F1873" s="5">
        <v>116.45</v>
      </c>
      <c r="G1873" s="5">
        <v>2596</v>
      </c>
      <c r="Q1873" s="6">
        <v>41012</v>
      </c>
      <c r="R1873" s="7">
        <v>0.66666666666666663</v>
      </c>
      <c r="S1873" s="5">
        <v>129.44</v>
      </c>
      <c r="T1873" s="5">
        <v>133.15</v>
      </c>
      <c r="U1873" s="5">
        <v>127.8</v>
      </c>
      <c r="V1873" s="5">
        <v>128.30000000000001</v>
      </c>
      <c r="W1873" s="5">
        <v>2365173</v>
      </c>
    </row>
    <row r="1874" spans="1:23" x14ac:dyDescent="0.3">
      <c r="A1874" s="6">
        <v>41065</v>
      </c>
      <c r="B1874" s="7">
        <v>0.66666666666666663</v>
      </c>
      <c r="C1874" s="5">
        <v>115.1</v>
      </c>
      <c r="D1874" s="5">
        <v>115.1</v>
      </c>
      <c r="E1874" s="5">
        <v>114.5</v>
      </c>
      <c r="F1874" s="5">
        <v>115</v>
      </c>
      <c r="G1874" s="5">
        <v>2280</v>
      </c>
      <c r="Q1874" s="6">
        <v>41015</v>
      </c>
      <c r="R1874" s="7">
        <v>0.66666666666666663</v>
      </c>
      <c r="S1874" s="5">
        <v>129</v>
      </c>
      <c r="T1874" s="5">
        <v>129.25</v>
      </c>
      <c r="U1874" s="5">
        <v>125.5</v>
      </c>
      <c r="V1874" s="5">
        <v>127.2</v>
      </c>
      <c r="W1874" s="5">
        <v>873213</v>
      </c>
    </row>
    <row r="1875" spans="1:23" x14ac:dyDescent="0.3">
      <c r="A1875" s="6">
        <v>41066</v>
      </c>
      <c r="B1875" s="7">
        <v>0.66666666666666663</v>
      </c>
      <c r="C1875" s="5">
        <v>115</v>
      </c>
      <c r="D1875" s="5">
        <v>120.75</v>
      </c>
      <c r="E1875" s="5">
        <v>115</v>
      </c>
      <c r="F1875" s="5">
        <v>118.91</v>
      </c>
      <c r="G1875" s="5">
        <v>28799</v>
      </c>
      <c r="Q1875" s="6">
        <v>41016</v>
      </c>
      <c r="R1875" s="7">
        <v>0.66666666666666663</v>
      </c>
      <c r="S1875" s="5">
        <v>128.5</v>
      </c>
      <c r="T1875" s="5">
        <v>128.75</v>
      </c>
      <c r="U1875" s="5">
        <v>126.7</v>
      </c>
      <c r="V1875" s="5">
        <v>127.04</v>
      </c>
      <c r="W1875" s="5">
        <v>606895</v>
      </c>
    </row>
    <row r="1876" spans="1:23" x14ac:dyDescent="0.3">
      <c r="A1876" s="6">
        <v>41067</v>
      </c>
      <c r="B1876" s="7">
        <v>0.66666666666666663</v>
      </c>
      <c r="C1876" s="5">
        <v>120.98</v>
      </c>
      <c r="D1876" s="5">
        <v>120.98</v>
      </c>
      <c r="E1876" s="5">
        <v>113</v>
      </c>
      <c r="F1876" s="5">
        <v>114.67</v>
      </c>
      <c r="G1876" s="5">
        <v>38511</v>
      </c>
      <c r="Q1876" s="6">
        <v>41017</v>
      </c>
      <c r="R1876" s="7">
        <v>0.66666666666666663</v>
      </c>
      <c r="S1876" s="5">
        <v>127.8</v>
      </c>
      <c r="T1876" s="5">
        <v>128.19999999999999</v>
      </c>
      <c r="U1876" s="5">
        <v>125.1</v>
      </c>
      <c r="V1876" s="5">
        <v>126.09</v>
      </c>
      <c r="W1876" s="5">
        <v>874666</v>
      </c>
    </row>
    <row r="1877" spans="1:23" x14ac:dyDescent="0.3">
      <c r="A1877" s="6">
        <v>41068</v>
      </c>
      <c r="B1877" s="7">
        <v>0.66666666666666663</v>
      </c>
      <c r="C1877" s="5">
        <v>115.95</v>
      </c>
      <c r="D1877" s="5">
        <v>116</v>
      </c>
      <c r="E1877" s="5">
        <v>113.52</v>
      </c>
      <c r="F1877" s="5">
        <v>115</v>
      </c>
      <c r="G1877" s="5">
        <v>76051</v>
      </c>
      <c r="Q1877" s="6">
        <v>41018</v>
      </c>
      <c r="R1877" s="7">
        <v>0.66666666666666663</v>
      </c>
      <c r="S1877" s="5">
        <v>127</v>
      </c>
      <c r="T1877" s="5">
        <v>127.74</v>
      </c>
      <c r="U1877" s="5">
        <v>125.5</v>
      </c>
      <c r="V1877" s="5">
        <v>126.94</v>
      </c>
      <c r="W1877" s="5">
        <v>695478</v>
      </c>
    </row>
    <row r="1878" spans="1:23" x14ac:dyDescent="0.3">
      <c r="A1878" s="6">
        <v>41071</v>
      </c>
      <c r="B1878" s="7">
        <v>0.66666666666666663</v>
      </c>
      <c r="C1878" s="5">
        <v>116</v>
      </c>
      <c r="D1878" s="5">
        <v>118</v>
      </c>
      <c r="E1878" s="5">
        <v>116</v>
      </c>
      <c r="F1878" s="5">
        <v>116</v>
      </c>
      <c r="G1878" s="5">
        <v>4602</v>
      </c>
      <c r="Q1878" s="6">
        <v>41019</v>
      </c>
      <c r="R1878" s="7">
        <v>0.66666666666666663</v>
      </c>
      <c r="S1878" s="5">
        <v>127</v>
      </c>
      <c r="T1878" s="5">
        <v>128.69999999999999</v>
      </c>
      <c r="U1878" s="5">
        <v>126.11</v>
      </c>
      <c r="V1878" s="5">
        <v>126.49</v>
      </c>
      <c r="W1878" s="5">
        <v>1329021</v>
      </c>
    </row>
    <row r="1879" spans="1:23" x14ac:dyDescent="0.3">
      <c r="A1879" s="6">
        <v>41073</v>
      </c>
      <c r="B1879" s="7">
        <v>0.66666666666666663</v>
      </c>
      <c r="C1879" s="5">
        <v>116.99</v>
      </c>
      <c r="D1879" s="5">
        <v>116.99</v>
      </c>
      <c r="E1879" s="5">
        <v>114</v>
      </c>
      <c r="F1879" s="5">
        <v>115.24</v>
      </c>
      <c r="G1879" s="5">
        <v>7718</v>
      </c>
      <c r="Q1879" s="6">
        <v>41022</v>
      </c>
      <c r="R1879" s="7">
        <v>0.66666666666666663</v>
      </c>
      <c r="S1879" s="5">
        <v>127.19</v>
      </c>
      <c r="T1879" s="5">
        <v>127.25</v>
      </c>
      <c r="U1879" s="5">
        <v>126</v>
      </c>
      <c r="V1879" s="5">
        <v>126.81</v>
      </c>
      <c r="W1879" s="5">
        <v>270318</v>
      </c>
    </row>
    <row r="1880" spans="1:23" x14ac:dyDescent="0.3">
      <c r="A1880" s="6">
        <v>41074</v>
      </c>
      <c r="B1880" s="7">
        <v>0.66666666666666663</v>
      </c>
      <c r="C1880" s="5">
        <v>117.99</v>
      </c>
      <c r="D1880" s="5">
        <v>117.99</v>
      </c>
      <c r="E1880" s="5">
        <v>115</v>
      </c>
      <c r="F1880" s="5">
        <v>115.43</v>
      </c>
      <c r="G1880" s="5">
        <v>54715</v>
      </c>
      <c r="Q1880" s="6">
        <v>41023</v>
      </c>
      <c r="R1880" s="7">
        <v>0.66666666666666663</v>
      </c>
      <c r="S1880" s="5">
        <v>128.19999999999999</v>
      </c>
      <c r="T1880" s="5">
        <v>128.35</v>
      </c>
      <c r="U1880" s="5">
        <v>125.85</v>
      </c>
      <c r="V1880" s="5">
        <v>126.25</v>
      </c>
      <c r="W1880" s="5">
        <v>688738</v>
      </c>
    </row>
    <row r="1881" spans="1:23" x14ac:dyDescent="0.3">
      <c r="A1881" s="6">
        <v>41075</v>
      </c>
      <c r="B1881" s="7">
        <v>0.66666666666666663</v>
      </c>
      <c r="C1881" s="5">
        <v>117.8</v>
      </c>
      <c r="D1881" s="5">
        <v>117.8</v>
      </c>
      <c r="E1881" s="5">
        <v>114.55</v>
      </c>
      <c r="F1881" s="5">
        <v>115.04</v>
      </c>
      <c r="G1881" s="5">
        <v>6092</v>
      </c>
      <c r="Q1881" s="6">
        <v>41024</v>
      </c>
      <c r="R1881" s="7">
        <v>0.66666666666666663</v>
      </c>
      <c r="S1881" s="5">
        <v>126.99</v>
      </c>
      <c r="T1881" s="5">
        <v>129.4</v>
      </c>
      <c r="U1881" s="5">
        <v>125.66</v>
      </c>
      <c r="V1881" s="5">
        <v>126.02</v>
      </c>
      <c r="W1881" s="5">
        <v>2410373</v>
      </c>
    </row>
    <row r="1882" spans="1:23" x14ac:dyDescent="0.3">
      <c r="A1882" s="6">
        <v>41078</v>
      </c>
      <c r="B1882" s="7">
        <v>0.66666666666666663</v>
      </c>
      <c r="C1882" s="5">
        <v>114.5</v>
      </c>
      <c r="D1882" s="5">
        <v>115.25</v>
      </c>
      <c r="E1882" s="5">
        <v>114.5</v>
      </c>
      <c r="F1882" s="5">
        <v>114.75</v>
      </c>
      <c r="G1882" s="5">
        <v>4000</v>
      </c>
      <c r="Q1882" s="6">
        <v>41025</v>
      </c>
      <c r="R1882" s="7">
        <v>0.66666666666666663</v>
      </c>
      <c r="S1882" s="5">
        <v>126.21</v>
      </c>
      <c r="T1882" s="5">
        <v>127.28</v>
      </c>
      <c r="U1882" s="5">
        <v>124.75</v>
      </c>
      <c r="V1882" s="5">
        <v>125.14</v>
      </c>
      <c r="W1882" s="5">
        <v>510543</v>
      </c>
    </row>
    <row r="1883" spans="1:23" x14ac:dyDescent="0.3">
      <c r="A1883" s="6">
        <v>41079</v>
      </c>
      <c r="B1883" s="7">
        <v>0.66666666666666663</v>
      </c>
      <c r="C1883" s="5">
        <v>112.05</v>
      </c>
      <c r="D1883" s="5">
        <v>116.49</v>
      </c>
      <c r="E1883" s="5">
        <v>112.05</v>
      </c>
      <c r="F1883" s="5">
        <v>114.75</v>
      </c>
      <c r="G1883" s="5">
        <v>4158</v>
      </c>
      <c r="Q1883" s="6">
        <v>41026</v>
      </c>
      <c r="R1883" s="7">
        <v>0.66666666666666663</v>
      </c>
      <c r="S1883" s="5">
        <v>125.68</v>
      </c>
      <c r="T1883" s="5">
        <v>126.3</v>
      </c>
      <c r="U1883" s="5">
        <v>123.3</v>
      </c>
      <c r="V1883" s="5">
        <v>123.84</v>
      </c>
      <c r="W1883" s="5">
        <v>387809</v>
      </c>
    </row>
    <row r="1884" spans="1:23" x14ac:dyDescent="0.3">
      <c r="A1884" s="6">
        <v>41080</v>
      </c>
      <c r="B1884" s="7">
        <v>0.66666666666666663</v>
      </c>
      <c r="C1884" s="5">
        <v>117.24</v>
      </c>
      <c r="D1884" s="5">
        <v>117.24</v>
      </c>
      <c r="E1884" s="5">
        <v>114.5</v>
      </c>
      <c r="F1884" s="5">
        <v>115.94</v>
      </c>
      <c r="G1884" s="5">
        <v>5675</v>
      </c>
      <c r="Q1884" s="6">
        <v>41029</v>
      </c>
      <c r="R1884" s="7">
        <v>0.66666666666666663</v>
      </c>
      <c r="S1884" s="5">
        <v>124</v>
      </c>
      <c r="T1884" s="5">
        <v>124.9</v>
      </c>
      <c r="U1884" s="5">
        <v>122.35</v>
      </c>
      <c r="V1884" s="5">
        <v>123.41</v>
      </c>
      <c r="W1884" s="5">
        <v>278983</v>
      </c>
    </row>
    <row r="1885" spans="1:23" x14ac:dyDescent="0.3">
      <c r="A1885" s="6">
        <v>41081</v>
      </c>
      <c r="B1885" s="7">
        <v>0.66666666666666663</v>
      </c>
      <c r="C1885" s="5">
        <v>116.95</v>
      </c>
      <c r="D1885" s="5">
        <v>116.95</v>
      </c>
      <c r="E1885" s="5">
        <v>115</v>
      </c>
      <c r="F1885" s="5">
        <v>115</v>
      </c>
      <c r="G1885" s="5">
        <v>503</v>
      </c>
      <c r="Q1885" s="6">
        <v>41031</v>
      </c>
      <c r="R1885" s="7">
        <v>0.66666666666666663</v>
      </c>
      <c r="S1885" s="5">
        <v>123.55</v>
      </c>
      <c r="T1885" s="5">
        <v>126.4</v>
      </c>
      <c r="U1885" s="5">
        <v>123.55</v>
      </c>
      <c r="V1885" s="5">
        <v>124.36</v>
      </c>
      <c r="W1885" s="5">
        <v>1186182</v>
      </c>
    </row>
    <row r="1886" spans="1:23" x14ac:dyDescent="0.3">
      <c r="A1886" s="6">
        <v>41082</v>
      </c>
      <c r="B1886" s="7">
        <v>0.66666666666666663</v>
      </c>
      <c r="C1886" s="5">
        <v>116.99</v>
      </c>
      <c r="D1886" s="5">
        <v>116.99</v>
      </c>
      <c r="E1886" s="5">
        <v>114.55</v>
      </c>
      <c r="F1886" s="5">
        <v>115</v>
      </c>
      <c r="G1886" s="5">
        <v>23</v>
      </c>
      <c r="Q1886" s="6">
        <v>41032</v>
      </c>
      <c r="R1886" s="7">
        <v>0.66666666666666663</v>
      </c>
      <c r="S1886" s="5">
        <v>125.14</v>
      </c>
      <c r="T1886" s="5">
        <v>126.3</v>
      </c>
      <c r="U1886" s="5">
        <v>124.45</v>
      </c>
      <c r="V1886" s="5">
        <v>124.66</v>
      </c>
      <c r="W1886" s="5">
        <v>1224192</v>
      </c>
    </row>
    <row r="1887" spans="1:23" x14ac:dyDescent="0.3">
      <c r="A1887" s="6">
        <v>41085</v>
      </c>
      <c r="B1887" s="7">
        <v>0.66666666666666663</v>
      </c>
      <c r="C1887" s="5">
        <v>115</v>
      </c>
      <c r="D1887" s="5">
        <v>116.5</v>
      </c>
      <c r="E1887" s="5">
        <v>115</v>
      </c>
      <c r="F1887" s="5">
        <v>116.5</v>
      </c>
      <c r="G1887" s="5">
        <v>2830</v>
      </c>
      <c r="Q1887" s="6">
        <v>41033</v>
      </c>
      <c r="R1887" s="7">
        <v>0.66666666666666663</v>
      </c>
      <c r="S1887" s="5">
        <v>125.3</v>
      </c>
      <c r="T1887" s="5">
        <v>125.99</v>
      </c>
      <c r="U1887" s="5">
        <v>124.5</v>
      </c>
      <c r="V1887" s="5">
        <v>124.89</v>
      </c>
      <c r="W1887" s="5">
        <v>430098</v>
      </c>
    </row>
    <row r="1888" spans="1:23" x14ac:dyDescent="0.3">
      <c r="A1888" s="6">
        <v>41086</v>
      </c>
      <c r="B1888" s="7">
        <v>0.66666666666666663</v>
      </c>
      <c r="C1888" s="5">
        <v>116.95</v>
      </c>
      <c r="D1888" s="5">
        <v>119.79</v>
      </c>
      <c r="E1888" s="5">
        <v>116.95</v>
      </c>
      <c r="F1888" s="5">
        <v>118.5</v>
      </c>
      <c r="G1888" s="5">
        <v>5913</v>
      </c>
      <c r="Q1888" s="6">
        <v>41036</v>
      </c>
      <c r="R1888" s="7">
        <v>0.66666666666666663</v>
      </c>
      <c r="S1888" s="5">
        <v>125.45</v>
      </c>
      <c r="T1888" s="5">
        <v>128.88</v>
      </c>
      <c r="U1888" s="5">
        <v>124.75</v>
      </c>
      <c r="V1888" s="5">
        <v>127.82</v>
      </c>
      <c r="W1888" s="5">
        <v>2237609</v>
      </c>
    </row>
    <row r="1889" spans="1:23" x14ac:dyDescent="0.3">
      <c r="A1889" s="6">
        <v>41087</v>
      </c>
      <c r="B1889" s="7">
        <v>0.66666666666666663</v>
      </c>
      <c r="C1889" s="5">
        <v>119.99</v>
      </c>
      <c r="D1889" s="5">
        <v>122</v>
      </c>
      <c r="E1889" s="5">
        <v>117.5</v>
      </c>
      <c r="F1889" s="5">
        <v>119.93</v>
      </c>
      <c r="G1889" s="5">
        <v>11542</v>
      </c>
      <c r="Q1889" s="6">
        <v>41037</v>
      </c>
      <c r="R1889" s="7">
        <v>0.66666666666666663</v>
      </c>
      <c r="S1889" s="5">
        <v>128.4</v>
      </c>
      <c r="T1889" s="5">
        <v>131.30000000000001</v>
      </c>
      <c r="U1889" s="5">
        <v>126.62</v>
      </c>
      <c r="V1889" s="5">
        <v>127.14</v>
      </c>
      <c r="W1889" s="5">
        <v>4150429</v>
      </c>
    </row>
    <row r="1890" spans="1:23" x14ac:dyDescent="0.3">
      <c r="A1890" s="6">
        <v>41088</v>
      </c>
      <c r="B1890" s="7">
        <v>0.66666666666666663</v>
      </c>
      <c r="C1890" s="5">
        <v>124.74</v>
      </c>
      <c r="D1890" s="5">
        <v>124.74</v>
      </c>
      <c r="E1890" s="5">
        <v>120</v>
      </c>
      <c r="F1890" s="5">
        <v>119.93</v>
      </c>
      <c r="G1890" s="5">
        <v>14</v>
      </c>
      <c r="Q1890" s="6">
        <v>41038</v>
      </c>
      <c r="R1890" s="7">
        <v>0.66666666666666663</v>
      </c>
      <c r="S1890" s="5">
        <v>127.3</v>
      </c>
      <c r="T1890" s="5">
        <v>127.95</v>
      </c>
      <c r="U1890" s="5">
        <v>125.7</v>
      </c>
      <c r="V1890" s="5">
        <v>126.45</v>
      </c>
      <c r="W1890" s="5">
        <v>738007</v>
      </c>
    </row>
    <row r="1891" spans="1:23" x14ac:dyDescent="0.3">
      <c r="A1891" s="6">
        <v>41089</v>
      </c>
      <c r="B1891" s="7">
        <v>0.66666666666666663</v>
      </c>
      <c r="C1891" s="5">
        <v>123.8</v>
      </c>
      <c r="D1891" s="5">
        <v>123.8</v>
      </c>
      <c r="E1891" s="5">
        <v>118</v>
      </c>
      <c r="F1891" s="5">
        <v>119.05</v>
      </c>
      <c r="G1891" s="5">
        <v>2419</v>
      </c>
      <c r="Q1891" s="6">
        <v>41039</v>
      </c>
      <c r="R1891" s="7">
        <v>0.66666666666666663</v>
      </c>
      <c r="S1891" s="5">
        <v>127.5</v>
      </c>
      <c r="T1891" s="5">
        <v>129</v>
      </c>
      <c r="U1891" s="5">
        <v>126.4</v>
      </c>
      <c r="V1891" s="5">
        <v>126.75</v>
      </c>
      <c r="W1891" s="5">
        <v>1586454</v>
      </c>
    </row>
    <row r="1892" spans="1:23" x14ac:dyDescent="0.3">
      <c r="A1892" s="6">
        <v>41092</v>
      </c>
      <c r="B1892" s="7">
        <v>0.66666666666666663</v>
      </c>
      <c r="C1892" s="5">
        <v>121.49</v>
      </c>
      <c r="D1892" s="5">
        <v>123</v>
      </c>
      <c r="E1892" s="5">
        <v>120</v>
      </c>
      <c r="F1892" s="5">
        <v>122.99</v>
      </c>
      <c r="G1892" s="5">
        <v>13644</v>
      </c>
      <c r="Q1892" s="6">
        <v>41040</v>
      </c>
      <c r="R1892" s="7">
        <v>0.66666666666666663</v>
      </c>
      <c r="S1892" s="5">
        <v>127.2</v>
      </c>
      <c r="T1892" s="5">
        <v>127.8</v>
      </c>
      <c r="U1892" s="5">
        <v>124.6</v>
      </c>
      <c r="V1892" s="5">
        <v>125.96</v>
      </c>
      <c r="W1892" s="5">
        <v>1012777</v>
      </c>
    </row>
    <row r="1893" spans="1:23" x14ac:dyDescent="0.3">
      <c r="A1893" s="6">
        <v>41093</v>
      </c>
      <c r="B1893" s="7">
        <v>0.66666666666666663</v>
      </c>
      <c r="C1893" s="5">
        <v>125.49</v>
      </c>
      <c r="D1893" s="5">
        <v>125.49</v>
      </c>
      <c r="E1893" s="5">
        <v>122</v>
      </c>
      <c r="F1893" s="5">
        <v>122.25</v>
      </c>
      <c r="G1893" s="5">
        <v>1655</v>
      </c>
      <c r="Q1893" s="6">
        <v>41043</v>
      </c>
      <c r="R1893" s="7">
        <v>0.66666666666666663</v>
      </c>
      <c r="S1893" s="5">
        <v>126.45</v>
      </c>
      <c r="T1893" s="5">
        <v>126.75</v>
      </c>
      <c r="U1893" s="5">
        <v>125</v>
      </c>
      <c r="V1893" s="5">
        <v>125.63</v>
      </c>
      <c r="W1893" s="5">
        <v>260213</v>
      </c>
    </row>
    <row r="1894" spans="1:23" x14ac:dyDescent="0.3">
      <c r="A1894" s="6">
        <v>41094</v>
      </c>
      <c r="B1894" s="7">
        <v>0.66666666666666663</v>
      </c>
      <c r="C1894" s="5">
        <v>123.5</v>
      </c>
      <c r="D1894" s="5">
        <v>124.01</v>
      </c>
      <c r="E1894" s="5">
        <v>122</v>
      </c>
      <c r="F1894" s="5">
        <v>123.91</v>
      </c>
      <c r="G1894" s="5">
        <v>6211</v>
      </c>
      <c r="Q1894" s="6">
        <v>41044</v>
      </c>
      <c r="R1894" s="7">
        <v>0.66666666666666663</v>
      </c>
      <c r="S1894" s="5">
        <v>126.5</v>
      </c>
      <c r="T1894" s="5">
        <v>127.75</v>
      </c>
      <c r="U1894" s="5">
        <v>125.8</v>
      </c>
      <c r="V1894" s="5">
        <v>126.11</v>
      </c>
      <c r="W1894" s="5">
        <v>629244</v>
      </c>
    </row>
    <row r="1895" spans="1:23" x14ac:dyDescent="0.3">
      <c r="A1895" s="6">
        <v>41095</v>
      </c>
      <c r="B1895" s="7">
        <v>0.66666666666666663</v>
      </c>
      <c r="C1895" s="5">
        <v>124.39</v>
      </c>
      <c r="D1895" s="5">
        <v>124.39</v>
      </c>
      <c r="E1895" s="5">
        <v>123.99</v>
      </c>
      <c r="F1895" s="5">
        <v>124</v>
      </c>
      <c r="G1895" s="5">
        <v>3011</v>
      </c>
      <c r="Q1895" s="6">
        <v>41045</v>
      </c>
      <c r="R1895" s="7">
        <v>0.66666666666666663</v>
      </c>
      <c r="S1895" s="5">
        <v>126.79</v>
      </c>
      <c r="T1895" s="5">
        <v>126.79</v>
      </c>
      <c r="U1895" s="5">
        <v>123.51</v>
      </c>
      <c r="V1895" s="5">
        <v>123.96</v>
      </c>
      <c r="W1895" s="5">
        <v>347730</v>
      </c>
    </row>
    <row r="1896" spans="1:23" x14ac:dyDescent="0.3">
      <c r="A1896" s="6">
        <v>41096</v>
      </c>
      <c r="B1896" s="7">
        <v>0.66666666666666663</v>
      </c>
      <c r="C1896" s="5">
        <v>124</v>
      </c>
      <c r="D1896" s="5">
        <v>126.5</v>
      </c>
      <c r="E1896" s="5">
        <v>124</v>
      </c>
      <c r="F1896" s="5">
        <v>125.93</v>
      </c>
      <c r="G1896" s="5">
        <v>1805</v>
      </c>
      <c r="Q1896" s="6">
        <v>41046</v>
      </c>
      <c r="R1896" s="7">
        <v>0.66666666666666663</v>
      </c>
      <c r="S1896" s="5">
        <v>124.7</v>
      </c>
      <c r="T1896" s="5">
        <v>125.1</v>
      </c>
      <c r="U1896" s="5">
        <v>123.1</v>
      </c>
      <c r="V1896" s="5">
        <v>124.04</v>
      </c>
      <c r="W1896" s="5">
        <v>308915</v>
      </c>
    </row>
    <row r="1897" spans="1:23" x14ac:dyDescent="0.3">
      <c r="A1897" s="6">
        <v>41099</v>
      </c>
      <c r="B1897" s="7">
        <v>0.66666666666666663</v>
      </c>
      <c r="C1897" s="5">
        <v>125</v>
      </c>
      <c r="D1897" s="5">
        <v>125</v>
      </c>
      <c r="E1897" s="5">
        <v>120.01</v>
      </c>
      <c r="F1897" s="5">
        <v>121.82</v>
      </c>
      <c r="G1897" s="5">
        <v>1678</v>
      </c>
      <c r="Q1897" s="6">
        <v>41047</v>
      </c>
      <c r="R1897" s="7">
        <v>0.66666666666666663</v>
      </c>
      <c r="S1897" s="5">
        <v>124</v>
      </c>
      <c r="T1897" s="5">
        <v>124</v>
      </c>
      <c r="U1897" s="5">
        <v>119</v>
      </c>
      <c r="V1897" s="5">
        <v>120.2</v>
      </c>
      <c r="W1897" s="5">
        <v>540368</v>
      </c>
    </row>
    <row r="1898" spans="1:23" x14ac:dyDescent="0.3">
      <c r="A1898" s="6">
        <v>41100</v>
      </c>
      <c r="B1898" s="7">
        <v>0.66666666666666663</v>
      </c>
      <c r="C1898" s="5">
        <v>124.49</v>
      </c>
      <c r="D1898" s="5">
        <v>124.49</v>
      </c>
      <c r="E1898" s="5">
        <v>121.01</v>
      </c>
      <c r="F1898" s="5">
        <v>121.37</v>
      </c>
      <c r="G1898" s="5">
        <v>4105</v>
      </c>
      <c r="Q1898" s="6">
        <v>41050</v>
      </c>
      <c r="R1898" s="7">
        <v>0.66666666666666663</v>
      </c>
      <c r="S1898" s="5">
        <v>119.31</v>
      </c>
      <c r="T1898" s="5">
        <v>120.85</v>
      </c>
      <c r="U1898" s="5">
        <v>119</v>
      </c>
      <c r="V1898" s="5">
        <v>119.32</v>
      </c>
      <c r="W1898" s="5">
        <v>154506</v>
      </c>
    </row>
    <row r="1899" spans="1:23" x14ac:dyDescent="0.3">
      <c r="A1899" s="6">
        <v>41101</v>
      </c>
      <c r="B1899" s="7">
        <v>0.66666666666666663</v>
      </c>
      <c r="C1899" s="5">
        <v>120.01</v>
      </c>
      <c r="D1899" s="5">
        <v>121.8</v>
      </c>
      <c r="E1899" s="5">
        <v>120</v>
      </c>
      <c r="F1899" s="5">
        <v>120.28</v>
      </c>
      <c r="G1899" s="5">
        <v>8307</v>
      </c>
      <c r="Q1899" s="6">
        <v>41051</v>
      </c>
      <c r="R1899" s="7">
        <v>0.66666666666666663</v>
      </c>
      <c r="S1899" s="5">
        <v>120.35</v>
      </c>
      <c r="T1899" s="5">
        <v>123.2</v>
      </c>
      <c r="U1899" s="5">
        <v>119.8</v>
      </c>
      <c r="V1899" s="5">
        <v>122.35</v>
      </c>
      <c r="W1899" s="5">
        <v>376006</v>
      </c>
    </row>
    <row r="1900" spans="1:23" x14ac:dyDescent="0.3">
      <c r="A1900" s="6">
        <v>41102</v>
      </c>
      <c r="B1900" s="7">
        <v>0.66666666666666663</v>
      </c>
      <c r="C1900" s="5">
        <v>123.98</v>
      </c>
      <c r="D1900" s="5">
        <v>123.98</v>
      </c>
      <c r="E1900" s="5">
        <v>120.5</v>
      </c>
      <c r="F1900" s="5">
        <v>120.68</v>
      </c>
      <c r="G1900" s="5">
        <v>4852</v>
      </c>
      <c r="Q1900" s="6">
        <v>41052</v>
      </c>
      <c r="R1900" s="7">
        <v>0.66666666666666663</v>
      </c>
      <c r="S1900" s="5">
        <v>122.11</v>
      </c>
      <c r="T1900" s="5">
        <v>122.11</v>
      </c>
      <c r="U1900" s="5">
        <v>120.4</v>
      </c>
      <c r="V1900" s="5">
        <v>120.73</v>
      </c>
      <c r="W1900" s="5">
        <v>281591</v>
      </c>
    </row>
    <row r="1901" spans="1:23" x14ac:dyDescent="0.3">
      <c r="A1901" s="6">
        <v>41103</v>
      </c>
      <c r="B1901" s="7">
        <v>0.66666666666666663</v>
      </c>
      <c r="C1901" s="5">
        <v>124</v>
      </c>
      <c r="D1901" s="5">
        <v>126.71</v>
      </c>
      <c r="E1901" s="5">
        <v>120.75</v>
      </c>
      <c r="F1901" s="5">
        <v>126.71</v>
      </c>
      <c r="G1901" s="5">
        <v>555864</v>
      </c>
      <c r="Q1901" s="6">
        <v>41053</v>
      </c>
      <c r="R1901" s="7">
        <v>0.66666666666666663</v>
      </c>
      <c r="S1901" s="5">
        <v>121.38</v>
      </c>
      <c r="T1901" s="5">
        <v>122.7</v>
      </c>
      <c r="U1901" s="5">
        <v>119.55</v>
      </c>
      <c r="V1901" s="5">
        <v>120.68</v>
      </c>
      <c r="W1901" s="5">
        <v>516984</v>
      </c>
    </row>
    <row r="1902" spans="1:23" x14ac:dyDescent="0.3">
      <c r="A1902" s="6">
        <v>41106</v>
      </c>
      <c r="B1902" s="7">
        <v>0.66666666666666663</v>
      </c>
      <c r="C1902" s="5">
        <v>128.5</v>
      </c>
      <c r="D1902" s="5">
        <v>133.04</v>
      </c>
      <c r="E1902" s="5">
        <v>128.5</v>
      </c>
      <c r="F1902" s="5">
        <v>133.04</v>
      </c>
      <c r="G1902" s="5">
        <v>182937</v>
      </c>
      <c r="Q1902" s="6">
        <v>41054</v>
      </c>
      <c r="R1902" s="7">
        <v>0.66666666666666663</v>
      </c>
      <c r="S1902" s="5">
        <v>121.49</v>
      </c>
      <c r="T1902" s="5">
        <v>121.49</v>
      </c>
      <c r="U1902" s="5">
        <v>119.02</v>
      </c>
      <c r="V1902" s="5">
        <v>119.19</v>
      </c>
      <c r="W1902" s="5">
        <v>233061</v>
      </c>
    </row>
    <row r="1903" spans="1:23" x14ac:dyDescent="0.3">
      <c r="A1903" s="6">
        <v>41107</v>
      </c>
      <c r="B1903" s="7">
        <v>0.66666666666666663</v>
      </c>
      <c r="C1903" s="5">
        <v>134.5</v>
      </c>
      <c r="D1903" s="5">
        <v>135.99</v>
      </c>
      <c r="E1903" s="5">
        <v>132</v>
      </c>
      <c r="F1903" s="5">
        <v>133.41</v>
      </c>
      <c r="G1903" s="5">
        <v>188105</v>
      </c>
      <c r="Q1903" s="6">
        <v>41057</v>
      </c>
      <c r="R1903" s="7">
        <v>0.66666666666666663</v>
      </c>
      <c r="S1903" s="5">
        <v>119.6</v>
      </c>
      <c r="T1903" s="5">
        <v>125.14</v>
      </c>
      <c r="U1903" s="5">
        <v>119.6</v>
      </c>
      <c r="V1903" s="5">
        <v>125.14</v>
      </c>
      <c r="W1903" s="5">
        <v>1281890</v>
      </c>
    </row>
    <row r="1904" spans="1:23" x14ac:dyDescent="0.3">
      <c r="A1904" s="6">
        <v>41108</v>
      </c>
      <c r="B1904" s="7">
        <v>0.66666666666666663</v>
      </c>
      <c r="C1904" s="5">
        <v>134.01</v>
      </c>
      <c r="D1904" s="5">
        <v>140.08000000000001</v>
      </c>
      <c r="E1904" s="5">
        <v>134</v>
      </c>
      <c r="F1904" s="5">
        <v>139.5</v>
      </c>
      <c r="G1904" s="5">
        <v>166849</v>
      </c>
      <c r="Q1904" s="6">
        <v>41058</v>
      </c>
      <c r="R1904" s="7">
        <v>0.66666666666666663</v>
      </c>
      <c r="S1904" s="5">
        <v>126.81</v>
      </c>
      <c r="T1904" s="5">
        <v>131.38999999999999</v>
      </c>
      <c r="U1904" s="5">
        <v>126.61</v>
      </c>
      <c r="V1904" s="5">
        <v>130.1</v>
      </c>
      <c r="W1904" s="5">
        <v>3544123</v>
      </c>
    </row>
    <row r="1905" spans="1:23" x14ac:dyDescent="0.3">
      <c r="A1905" s="6">
        <v>41109</v>
      </c>
      <c r="B1905" s="7">
        <v>0.66666666666666663</v>
      </c>
      <c r="C1905" s="5">
        <v>139.99</v>
      </c>
      <c r="D1905" s="5">
        <v>146.47</v>
      </c>
      <c r="E1905" s="5">
        <v>137</v>
      </c>
      <c r="F1905" s="5">
        <v>146.47</v>
      </c>
      <c r="G1905" s="5">
        <v>699385</v>
      </c>
      <c r="Q1905" s="6">
        <v>41059</v>
      </c>
      <c r="R1905" s="7">
        <v>0.66666666666666663</v>
      </c>
      <c r="S1905" s="5">
        <v>129.30000000000001</v>
      </c>
      <c r="T1905" s="5">
        <v>129.30000000000001</v>
      </c>
      <c r="U1905" s="5">
        <v>125.01</v>
      </c>
      <c r="V1905" s="5">
        <v>125.99</v>
      </c>
      <c r="W1905" s="5">
        <v>935679</v>
      </c>
    </row>
    <row r="1906" spans="1:23" x14ac:dyDescent="0.3">
      <c r="A1906" s="6">
        <v>41110</v>
      </c>
      <c r="B1906" s="7">
        <v>0.66666666666666663</v>
      </c>
      <c r="C1906" s="5">
        <v>148</v>
      </c>
      <c r="D1906" s="5">
        <v>152.35</v>
      </c>
      <c r="E1906" s="5">
        <v>142</v>
      </c>
      <c r="F1906" s="5">
        <v>149.93</v>
      </c>
      <c r="G1906" s="5">
        <v>125247</v>
      </c>
      <c r="Q1906" s="6">
        <v>41060</v>
      </c>
      <c r="R1906" s="7">
        <v>0.66666666666666663</v>
      </c>
      <c r="S1906" s="5">
        <v>126</v>
      </c>
      <c r="T1906" s="5">
        <v>131.9</v>
      </c>
      <c r="U1906" s="5">
        <v>125.5</v>
      </c>
      <c r="V1906" s="5">
        <v>130.97999999999999</v>
      </c>
      <c r="W1906" s="5">
        <v>2961997</v>
      </c>
    </row>
    <row r="1907" spans="1:23" x14ac:dyDescent="0.3">
      <c r="A1907" s="6">
        <v>41113</v>
      </c>
      <c r="B1907" s="7">
        <v>0.66666666666666663</v>
      </c>
      <c r="C1907" s="5">
        <v>152</v>
      </c>
      <c r="D1907" s="5">
        <v>152</v>
      </c>
      <c r="E1907" s="5">
        <v>146</v>
      </c>
      <c r="F1907" s="5">
        <v>149.87</v>
      </c>
      <c r="G1907" s="5">
        <v>53500</v>
      </c>
      <c r="Q1907" s="6">
        <v>41061</v>
      </c>
      <c r="R1907" s="7">
        <v>0.66666666666666663</v>
      </c>
      <c r="S1907" s="5">
        <v>130.80000000000001</v>
      </c>
      <c r="T1907" s="5">
        <v>132.75</v>
      </c>
      <c r="U1907" s="5">
        <v>130.18</v>
      </c>
      <c r="V1907" s="5">
        <v>131.06</v>
      </c>
      <c r="W1907" s="5">
        <v>992569</v>
      </c>
    </row>
    <row r="1908" spans="1:23" x14ac:dyDescent="0.3">
      <c r="A1908" s="6">
        <v>41114</v>
      </c>
      <c r="B1908" s="7">
        <v>0.66666666666666663</v>
      </c>
      <c r="C1908" s="5">
        <v>149.94999999999999</v>
      </c>
      <c r="D1908" s="5">
        <v>149.94999999999999</v>
      </c>
      <c r="E1908" s="5">
        <v>146</v>
      </c>
      <c r="F1908" s="5">
        <v>146.15</v>
      </c>
      <c r="G1908" s="5">
        <v>13900</v>
      </c>
      <c r="Q1908" s="6">
        <v>41064</v>
      </c>
      <c r="R1908" s="7">
        <v>0.66666666666666663</v>
      </c>
      <c r="S1908" s="5">
        <v>131</v>
      </c>
      <c r="T1908" s="5">
        <v>131</v>
      </c>
      <c r="U1908" s="5">
        <v>128.5</v>
      </c>
      <c r="V1908" s="5">
        <v>128.65</v>
      </c>
      <c r="W1908" s="5">
        <v>166476</v>
      </c>
    </row>
    <row r="1909" spans="1:23" x14ac:dyDescent="0.3">
      <c r="A1909" s="6">
        <v>41115</v>
      </c>
      <c r="B1909" s="7">
        <v>0.66666666666666663</v>
      </c>
      <c r="C1909" s="5">
        <v>147.9</v>
      </c>
      <c r="D1909" s="5">
        <v>151.5</v>
      </c>
      <c r="E1909" s="5">
        <v>147.9</v>
      </c>
      <c r="F1909" s="5">
        <v>149.74</v>
      </c>
      <c r="G1909" s="5">
        <v>62900</v>
      </c>
      <c r="Q1909" s="6">
        <v>41065</v>
      </c>
      <c r="R1909" s="7">
        <v>0.66666666666666663</v>
      </c>
      <c r="S1909" s="5">
        <v>129.79</v>
      </c>
      <c r="T1909" s="5">
        <v>129.79</v>
      </c>
      <c r="U1909" s="5">
        <v>125</v>
      </c>
      <c r="V1909" s="5">
        <v>125.99</v>
      </c>
      <c r="W1909" s="5">
        <v>333959</v>
      </c>
    </row>
    <row r="1910" spans="1:23" x14ac:dyDescent="0.3">
      <c r="A1910" s="6">
        <v>41116</v>
      </c>
      <c r="B1910" s="7">
        <v>0.66666666666666663</v>
      </c>
      <c r="C1910" s="5">
        <v>150.9</v>
      </c>
      <c r="D1910" s="5">
        <v>157.22</v>
      </c>
      <c r="E1910" s="5">
        <v>150.9</v>
      </c>
      <c r="F1910" s="5">
        <v>157.22</v>
      </c>
      <c r="G1910" s="5">
        <v>660700</v>
      </c>
      <c r="Q1910" s="6">
        <v>41066</v>
      </c>
      <c r="R1910" s="7">
        <v>0.66666666666666663</v>
      </c>
      <c r="S1910" s="5">
        <v>127.45</v>
      </c>
      <c r="T1910" s="5">
        <v>127.9</v>
      </c>
      <c r="U1910" s="5">
        <v>126.2</v>
      </c>
      <c r="V1910" s="5">
        <v>126.3</v>
      </c>
      <c r="W1910" s="5">
        <v>201711</v>
      </c>
    </row>
    <row r="1911" spans="1:23" x14ac:dyDescent="0.3">
      <c r="A1911" s="6">
        <v>41117</v>
      </c>
      <c r="B1911" s="7">
        <v>0.66666666666666663</v>
      </c>
      <c r="C1911" s="5">
        <v>161.9</v>
      </c>
      <c r="D1911" s="5">
        <v>165.08</v>
      </c>
      <c r="E1911" s="5">
        <v>160.6</v>
      </c>
      <c r="F1911" s="5">
        <v>163.29</v>
      </c>
      <c r="G1911" s="5">
        <v>115000</v>
      </c>
      <c r="Q1911" s="6">
        <v>41067</v>
      </c>
      <c r="R1911" s="7">
        <v>0.66666666666666663</v>
      </c>
      <c r="S1911" s="5">
        <v>126.5</v>
      </c>
      <c r="T1911" s="5">
        <v>126.9</v>
      </c>
      <c r="U1911" s="5">
        <v>125.05</v>
      </c>
      <c r="V1911" s="5">
        <v>125.26</v>
      </c>
      <c r="W1911" s="5">
        <v>120432</v>
      </c>
    </row>
    <row r="1912" spans="1:23" x14ac:dyDescent="0.3">
      <c r="A1912" s="6">
        <v>41120</v>
      </c>
      <c r="B1912" s="7">
        <v>0.66666666666666663</v>
      </c>
      <c r="C1912" s="5">
        <v>164.2</v>
      </c>
      <c r="D1912" s="5">
        <v>171.45</v>
      </c>
      <c r="E1912" s="5">
        <v>164.1</v>
      </c>
      <c r="F1912" s="5">
        <v>170.17</v>
      </c>
      <c r="G1912" s="5">
        <v>230900</v>
      </c>
      <c r="Q1912" s="6">
        <v>41068</v>
      </c>
      <c r="R1912" s="7">
        <v>0.66666666666666663</v>
      </c>
      <c r="S1912" s="5">
        <v>126.35</v>
      </c>
      <c r="T1912" s="5">
        <v>126.4</v>
      </c>
      <c r="U1912" s="5">
        <v>124.01</v>
      </c>
      <c r="V1912" s="5">
        <v>124.26</v>
      </c>
      <c r="W1912" s="5">
        <v>122139</v>
      </c>
    </row>
    <row r="1913" spans="1:23" x14ac:dyDescent="0.3">
      <c r="A1913" s="6">
        <v>41121</v>
      </c>
      <c r="B1913" s="7">
        <v>0.66666666666666663</v>
      </c>
      <c r="C1913" s="5">
        <v>171</v>
      </c>
      <c r="D1913" s="5">
        <v>171.01</v>
      </c>
      <c r="E1913" s="5">
        <v>164.7</v>
      </c>
      <c r="F1913" s="5">
        <v>165.95</v>
      </c>
      <c r="G1913" s="5">
        <v>65000</v>
      </c>
      <c r="Q1913" s="6">
        <v>41071</v>
      </c>
      <c r="R1913" s="7">
        <v>0.66666666666666663</v>
      </c>
      <c r="S1913" s="5">
        <v>126.19</v>
      </c>
      <c r="T1913" s="5">
        <v>126.19</v>
      </c>
      <c r="U1913" s="5">
        <v>124.65</v>
      </c>
      <c r="V1913" s="5">
        <v>124.83</v>
      </c>
      <c r="W1913" s="5">
        <v>58789</v>
      </c>
    </row>
    <row r="1914" spans="1:23" x14ac:dyDescent="0.3">
      <c r="A1914" s="6">
        <v>41122</v>
      </c>
      <c r="B1914" s="7">
        <v>0.66666666666666663</v>
      </c>
      <c r="C1914" s="5">
        <v>166.95</v>
      </c>
      <c r="D1914" s="5">
        <v>171.5</v>
      </c>
      <c r="E1914" s="5">
        <v>166.5</v>
      </c>
      <c r="F1914" s="5">
        <v>170.96</v>
      </c>
      <c r="G1914" s="5">
        <v>108600</v>
      </c>
      <c r="Q1914" s="6">
        <v>41072</v>
      </c>
      <c r="R1914" s="7">
        <v>0.66666666666666663</v>
      </c>
      <c r="S1914" s="5">
        <v>124.01</v>
      </c>
      <c r="T1914" s="5">
        <v>124.4</v>
      </c>
      <c r="U1914" s="5">
        <v>122.1</v>
      </c>
      <c r="V1914" s="5">
        <v>123.56</v>
      </c>
      <c r="W1914" s="5">
        <v>86155</v>
      </c>
    </row>
    <row r="1915" spans="1:23" x14ac:dyDescent="0.3">
      <c r="A1915" s="6">
        <v>41123</v>
      </c>
      <c r="B1915" s="7">
        <v>0.66666666666666663</v>
      </c>
      <c r="C1915" s="5">
        <v>170.02</v>
      </c>
      <c r="D1915" s="5">
        <v>179</v>
      </c>
      <c r="E1915" s="5">
        <v>167.76</v>
      </c>
      <c r="F1915" s="5">
        <v>178.02</v>
      </c>
      <c r="G1915" s="5">
        <v>136700</v>
      </c>
      <c r="Q1915" s="6">
        <v>41073</v>
      </c>
      <c r="R1915" s="7">
        <v>0.66666666666666663</v>
      </c>
      <c r="S1915" s="5">
        <v>123.5</v>
      </c>
      <c r="T1915" s="5">
        <v>125.51</v>
      </c>
      <c r="U1915" s="5">
        <v>123.25</v>
      </c>
      <c r="V1915" s="5">
        <v>123.67</v>
      </c>
      <c r="W1915" s="5">
        <v>100463</v>
      </c>
    </row>
    <row r="1916" spans="1:23" x14ac:dyDescent="0.3">
      <c r="A1916" s="6">
        <v>41124</v>
      </c>
      <c r="B1916" s="7">
        <v>0.66666666666666663</v>
      </c>
      <c r="C1916" s="5">
        <v>181.7</v>
      </c>
      <c r="D1916" s="5">
        <v>184.89</v>
      </c>
      <c r="E1916" s="5">
        <v>177.99</v>
      </c>
      <c r="F1916" s="5">
        <v>181.75</v>
      </c>
      <c r="G1916" s="5">
        <v>197600</v>
      </c>
      <c r="Q1916" s="6">
        <v>41074</v>
      </c>
      <c r="R1916" s="7">
        <v>0.66666666666666663</v>
      </c>
      <c r="S1916" s="5">
        <v>124</v>
      </c>
      <c r="T1916" s="5">
        <v>126.8</v>
      </c>
      <c r="U1916" s="5">
        <v>124</v>
      </c>
      <c r="V1916" s="5">
        <v>126.42</v>
      </c>
      <c r="W1916" s="5">
        <v>179792</v>
      </c>
    </row>
    <row r="1917" spans="1:23" x14ac:dyDescent="0.3">
      <c r="A1917" s="6">
        <v>41127</v>
      </c>
      <c r="B1917" s="7">
        <v>0.66666666666666663</v>
      </c>
      <c r="C1917" s="5">
        <v>182</v>
      </c>
      <c r="D1917" s="5">
        <v>190</v>
      </c>
      <c r="E1917" s="5">
        <v>178.1</v>
      </c>
      <c r="F1917" s="5">
        <v>187.75</v>
      </c>
      <c r="G1917" s="5">
        <v>333600</v>
      </c>
      <c r="Q1917" s="6">
        <v>41075</v>
      </c>
      <c r="R1917" s="7">
        <v>0.66666666666666663</v>
      </c>
      <c r="S1917" s="5">
        <v>126.49</v>
      </c>
      <c r="T1917" s="5">
        <v>127</v>
      </c>
      <c r="U1917" s="5">
        <v>125</v>
      </c>
      <c r="V1917" s="5">
        <v>125.33</v>
      </c>
      <c r="W1917" s="5">
        <v>103009</v>
      </c>
    </row>
    <row r="1918" spans="1:23" x14ac:dyDescent="0.3">
      <c r="A1918" s="6">
        <v>41128</v>
      </c>
      <c r="B1918" s="7">
        <v>0.66666666666666663</v>
      </c>
      <c r="C1918" s="5">
        <v>188</v>
      </c>
      <c r="D1918" s="5">
        <v>192</v>
      </c>
      <c r="E1918" s="5">
        <v>187.98</v>
      </c>
      <c r="F1918" s="5">
        <v>190.01</v>
      </c>
      <c r="G1918" s="5">
        <v>194000</v>
      </c>
      <c r="Q1918" s="6">
        <v>41078</v>
      </c>
      <c r="R1918" s="7">
        <v>0.66666666666666663</v>
      </c>
      <c r="S1918" s="5">
        <v>126</v>
      </c>
      <c r="T1918" s="5">
        <v>126.49</v>
      </c>
      <c r="U1918" s="5">
        <v>125.4</v>
      </c>
      <c r="V1918" s="5">
        <v>125.5</v>
      </c>
      <c r="W1918" s="5">
        <v>27914</v>
      </c>
    </row>
    <row r="1919" spans="1:23" x14ac:dyDescent="0.3">
      <c r="A1919" s="6">
        <v>41129</v>
      </c>
      <c r="B1919" s="7">
        <v>0.66666666666666663</v>
      </c>
      <c r="C1919" s="5">
        <v>189.75</v>
      </c>
      <c r="D1919" s="5">
        <v>196.5</v>
      </c>
      <c r="E1919" s="5">
        <v>189.75</v>
      </c>
      <c r="F1919" s="5">
        <v>191.17</v>
      </c>
      <c r="G1919" s="5">
        <v>154500</v>
      </c>
      <c r="Q1919" s="6">
        <v>41079</v>
      </c>
      <c r="R1919" s="7">
        <v>0.66666666666666663</v>
      </c>
      <c r="S1919" s="5">
        <v>125.2</v>
      </c>
      <c r="T1919" s="5">
        <v>126</v>
      </c>
      <c r="U1919" s="5">
        <v>122.8</v>
      </c>
      <c r="V1919" s="5">
        <v>123.11</v>
      </c>
      <c r="W1919" s="5">
        <v>372612</v>
      </c>
    </row>
    <row r="1920" spans="1:23" x14ac:dyDescent="0.3">
      <c r="A1920" s="6">
        <v>41130</v>
      </c>
      <c r="B1920" s="7">
        <v>0.66666666666666663</v>
      </c>
      <c r="C1920" s="5">
        <v>190</v>
      </c>
      <c r="D1920" s="5">
        <v>191.1</v>
      </c>
      <c r="E1920" s="5">
        <v>184.01</v>
      </c>
      <c r="F1920" s="5">
        <v>189.78</v>
      </c>
      <c r="G1920" s="5">
        <v>244900</v>
      </c>
      <c r="Q1920" s="6">
        <v>41080</v>
      </c>
      <c r="R1920" s="7">
        <v>0.66666666666666663</v>
      </c>
      <c r="S1920" s="5">
        <v>124.7</v>
      </c>
      <c r="T1920" s="5">
        <v>124.7</v>
      </c>
      <c r="U1920" s="5">
        <v>119.5</v>
      </c>
      <c r="V1920" s="5">
        <v>120.11</v>
      </c>
      <c r="W1920" s="5">
        <v>755361</v>
      </c>
    </row>
    <row r="1921" spans="1:23" x14ac:dyDescent="0.3">
      <c r="A1921" s="6">
        <v>41131</v>
      </c>
      <c r="B1921" s="7">
        <v>0.66666666666666663</v>
      </c>
      <c r="C1921" s="5">
        <v>189.75</v>
      </c>
      <c r="D1921" s="5">
        <v>189.75</v>
      </c>
      <c r="E1921" s="5">
        <v>184.8</v>
      </c>
      <c r="F1921" s="5">
        <v>185.2</v>
      </c>
      <c r="G1921" s="5">
        <v>34600</v>
      </c>
      <c r="Q1921" s="6">
        <v>41081</v>
      </c>
      <c r="R1921" s="7">
        <v>0.66666666666666663</v>
      </c>
      <c r="S1921" s="5">
        <v>121</v>
      </c>
      <c r="T1921" s="5">
        <v>121</v>
      </c>
      <c r="U1921" s="5">
        <v>119.7</v>
      </c>
      <c r="V1921" s="5">
        <v>120.38</v>
      </c>
      <c r="W1921" s="5">
        <v>183253</v>
      </c>
    </row>
    <row r="1922" spans="1:23" x14ac:dyDescent="0.3">
      <c r="A1922" s="6">
        <v>41134</v>
      </c>
      <c r="B1922" s="7">
        <v>0.66666666666666663</v>
      </c>
      <c r="C1922" s="5">
        <v>187</v>
      </c>
      <c r="D1922" s="5">
        <v>194.46</v>
      </c>
      <c r="E1922" s="5">
        <v>181.5</v>
      </c>
      <c r="F1922" s="5">
        <v>193.02</v>
      </c>
      <c r="G1922" s="5">
        <v>230000</v>
      </c>
      <c r="Q1922" s="6">
        <v>41082</v>
      </c>
      <c r="R1922" s="7">
        <v>0.66666666666666663</v>
      </c>
      <c r="S1922" s="5">
        <v>120.01</v>
      </c>
      <c r="T1922" s="5">
        <v>125</v>
      </c>
      <c r="U1922" s="5">
        <v>120</v>
      </c>
      <c r="V1922" s="5">
        <v>124.03</v>
      </c>
      <c r="W1922" s="5">
        <v>633254</v>
      </c>
    </row>
    <row r="1923" spans="1:23" x14ac:dyDescent="0.3">
      <c r="A1923" s="6">
        <v>41136</v>
      </c>
      <c r="B1923" s="7">
        <v>0.66666666666666663</v>
      </c>
      <c r="C1923" s="5">
        <v>190</v>
      </c>
      <c r="D1923" s="5">
        <v>201</v>
      </c>
      <c r="E1923" s="5">
        <v>190</v>
      </c>
      <c r="F1923" s="5">
        <v>197.09</v>
      </c>
      <c r="G1923" s="5">
        <v>51900</v>
      </c>
      <c r="Q1923" s="6">
        <v>41085</v>
      </c>
      <c r="R1923" s="7">
        <v>0.66666666666666663</v>
      </c>
      <c r="S1923" s="5">
        <v>124.25</v>
      </c>
      <c r="T1923" s="5">
        <v>126.21</v>
      </c>
      <c r="U1923" s="5">
        <v>121.85</v>
      </c>
      <c r="V1923" s="5">
        <v>122.53</v>
      </c>
      <c r="W1923" s="5">
        <v>412271</v>
      </c>
    </row>
    <row r="1924" spans="1:23" x14ac:dyDescent="0.3">
      <c r="A1924" s="6">
        <v>41137</v>
      </c>
      <c r="B1924" s="7">
        <v>0.66666666666666663</v>
      </c>
      <c r="C1924" s="5">
        <v>196.12</v>
      </c>
      <c r="D1924" s="5">
        <v>197</v>
      </c>
      <c r="E1924" s="5">
        <v>191</v>
      </c>
      <c r="F1924" s="5">
        <v>191.27</v>
      </c>
      <c r="G1924" s="5">
        <v>19000</v>
      </c>
      <c r="Q1924" s="6">
        <v>41086</v>
      </c>
      <c r="R1924" s="7">
        <v>0.66666666666666663</v>
      </c>
      <c r="S1924" s="5">
        <v>122</v>
      </c>
      <c r="T1924" s="5">
        <v>123</v>
      </c>
      <c r="U1924" s="5">
        <v>120</v>
      </c>
      <c r="V1924" s="5">
        <v>120.46</v>
      </c>
      <c r="W1924" s="5">
        <v>617404</v>
      </c>
    </row>
    <row r="1925" spans="1:23" x14ac:dyDescent="0.3">
      <c r="A1925" s="6">
        <v>41144</v>
      </c>
      <c r="B1925" s="7">
        <v>0.66666666666666663</v>
      </c>
      <c r="C1925" s="5">
        <v>190</v>
      </c>
      <c r="D1925" s="5">
        <v>193</v>
      </c>
      <c r="E1925" s="5">
        <v>182.01</v>
      </c>
      <c r="F1925" s="5">
        <v>190</v>
      </c>
      <c r="G1925" s="5">
        <v>137600</v>
      </c>
      <c r="Q1925" s="6">
        <v>41087</v>
      </c>
      <c r="R1925" s="7">
        <v>0.66666666666666663</v>
      </c>
      <c r="S1925" s="5">
        <v>120.5</v>
      </c>
      <c r="T1925" s="5">
        <v>125</v>
      </c>
      <c r="U1925" s="5">
        <v>120</v>
      </c>
      <c r="V1925" s="5">
        <v>123.56</v>
      </c>
      <c r="W1925" s="5">
        <v>673370</v>
      </c>
    </row>
    <row r="1926" spans="1:23" x14ac:dyDescent="0.3">
      <c r="A1926" s="6">
        <v>41145</v>
      </c>
      <c r="B1926" s="7">
        <v>0.66666666666666663</v>
      </c>
      <c r="C1926" s="5">
        <v>189</v>
      </c>
      <c r="D1926" s="5">
        <v>199</v>
      </c>
      <c r="E1926" s="5">
        <v>189</v>
      </c>
      <c r="F1926" s="5">
        <v>196.46</v>
      </c>
      <c r="G1926" s="5">
        <v>41400</v>
      </c>
      <c r="Q1926" s="6">
        <v>41088</v>
      </c>
      <c r="R1926" s="7">
        <v>0.66666666666666663</v>
      </c>
      <c r="S1926" s="5">
        <v>124.4</v>
      </c>
      <c r="T1926" s="5">
        <v>124.95</v>
      </c>
      <c r="U1926" s="5">
        <v>123.02</v>
      </c>
      <c r="V1926" s="5">
        <v>123.65</v>
      </c>
      <c r="W1926" s="5">
        <v>198031</v>
      </c>
    </row>
    <row r="1927" spans="1:23" x14ac:dyDescent="0.3">
      <c r="A1927" s="6">
        <v>41148</v>
      </c>
      <c r="B1927" s="7">
        <v>0.66666666666666663</v>
      </c>
      <c r="C1927" s="5">
        <v>193.75</v>
      </c>
      <c r="D1927" s="5">
        <v>196.49</v>
      </c>
      <c r="E1927" s="5">
        <v>189.8</v>
      </c>
      <c r="F1927" s="5">
        <v>193.7</v>
      </c>
      <c r="G1927" s="5">
        <v>89200</v>
      </c>
      <c r="Q1927" s="6">
        <v>41089</v>
      </c>
      <c r="R1927" s="7">
        <v>0.66666666666666663</v>
      </c>
      <c r="S1927" s="5">
        <v>123.71</v>
      </c>
      <c r="T1927" s="5">
        <v>124.3</v>
      </c>
      <c r="U1927" s="5">
        <v>122.6</v>
      </c>
      <c r="V1927" s="5">
        <v>122.87</v>
      </c>
      <c r="W1927" s="5">
        <v>76523</v>
      </c>
    </row>
    <row r="1928" spans="1:23" x14ac:dyDescent="0.3">
      <c r="A1928" s="6">
        <v>41149</v>
      </c>
      <c r="B1928" s="7">
        <v>0.66666666666666663</v>
      </c>
      <c r="C1928" s="5">
        <v>196</v>
      </c>
      <c r="D1928" s="5">
        <v>203.38</v>
      </c>
      <c r="E1928" s="5">
        <v>195</v>
      </c>
      <c r="F1928" s="5">
        <v>203.38</v>
      </c>
      <c r="G1928" s="5">
        <v>76500</v>
      </c>
      <c r="Q1928" s="6">
        <v>41092</v>
      </c>
      <c r="R1928" s="7">
        <v>0.66666666666666663</v>
      </c>
      <c r="S1928" s="5">
        <v>123.35</v>
      </c>
      <c r="T1928" s="5">
        <v>126.15</v>
      </c>
      <c r="U1928" s="5">
        <v>123.35</v>
      </c>
      <c r="V1928" s="5">
        <v>125.78</v>
      </c>
      <c r="W1928" s="5">
        <v>492357</v>
      </c>
    </row>
    <row r="1929" spans="1:23" x14ac:dyDescent="0.3">
      <c r="A1929" s="6">
        <v>41150</v>
      </c>
      <c r="B1929" s="7">
        <v>0.66666666666666663</v>
      </c>
      <c r="C1929" s="5">
        <v>203.5</v>
      </c>
      <c r="D1929" s="5">
        <v>210.39</v>
      </c>
      <c r="E1929" s="5">
        <v>203.5</v>
      </c>
      <c r="F1929" s="5">
        <v>208.8</v>
      </c>
      <c r="G1929" s="5">
        <v>86000</v>
      </c>
      <c r="Q1929" s="6">
        <v>41093</v>
      </c>
      <c r="R1929" s="7">
        <v>0.66666666666666663</v>
      </c>
      <c r="S1929" s="5">
        <v>126.55</v>
      </c>
      <c r="T1929" s="5">
        <v>129.19999999999999</v>
      </c>
      <c r="U1929" s="5">
        <v>125.21</v>
      </c>
      <c r="V1929" s="5">
        <v>127.91</v>
      </c>
      <c r="W1929" s="5">
        <v>945428</v>
      </c>
    </row>
    <row r="1930" spans="1:23" x14ac:dyDescent="0.3">
      <c r="A1930" s="6">
        <v>41151</v>
      </c>
      <c r="B1930" s="7">
        <v>0.66666666666666663</v>
      </c>
      <c r="C1930" s="5">
        <v>210</v>
      </c>
      <c r="D1930" s="5">
        <v>219.24</v>
      </c>
      <c r="E1930" s="5">
        <v>203</v>
      </c>
      <c r="F1930" s="5">
        <v>216.99</v>
      </c>
      <c r="G1930" s="5">
        <v>150600</v>
      </c>
      <c r="Q1930" s="6">
        <v>41094</v>
      </c>
      <c r="R1930" s="7">
        <v>0.66666666666666663</v>
      </c>
      <c r="S1930" s="5">
        <v>130.25</v>
      </c>
      <c r="T1930" s="5">
        <v>130.25</v>
      </c>
      <c r="U1930" s="5">
        <v>125.01</v>
      </c>
      <c r="V1930" s="5">
        <v>125.32</v>
      </c>
      <c r="W1930" s="5">
        <v>2029566</v>
      </c>
    </row>
    <row r="1931" spans="1:23" x14ac:dyDescent="0.3">
      <c r="A1931" s="6">
        <v>41152</v>
      </c>
      <c r="B1931" s="7">
        <v>0.66666666666666663</v>
      </c>
      <c r="C1931" s="5">
        <v>218.6</v>
      </c>
      <c r="D1931" s="5">
        <v>220</v>
      </c>
      <c r="E1931" s="5">
        <v>211</v>
      </c>
      <c r="F1931" s="5">
        <v>213.82</v>
      </c>
      <c r="G1931" s="5">
        <v>49400</v>
      </c>
      <c r="Q1931" s="6">
        <v>41095</v>
      </c>
      <c r="R1931" s="7">
        <v>0.66666666666666663</v>
      </c>
      <c r="S1931" s="5">
        <v>125.4</v>
      </c>
      <c r="T1931" s="5">
        <v>128.47999999999999</v>
      </c>
      <c r="U1931" s="5">
        <v>125.4</v>
      </c>
      <c r="V1931" s="5">
        <v>126.93</v>
      </c>
      <c r="W1931" s="5">
        <v>1291557</v>
      </c>
    </row>
    <row r="1932" spans="1:23" x14ac:dyDescent="0.3">
      <c r="A1932" s="6">
        <v>41155</v>
      </c>
      <c r="B1932" s="7">
        <v>0.66666666666666663</v>
      </c>
      <c r="C1932" s="5">
        <v>210.07</v>
      </c>
      <c r="D1932" s="5">
        <v>210.07</v>
      </c>
      <c r="E1932" s="5">
        <v>204</v>
      </c>
      <c r="F1932" s="5">
        <v>204.07</v>
      </c>
      <c r="G1932" s="5">
        <v>27000</v>
      </c>
      <c r="Q1932" s="6">
        <v>41096</v>
      </c>
      <c r="R1932" s="7">
        <v>0.66666666666666663</v>
      </c>
      <c r="S1932" s="5">
        <v>127.15</v>
      </c>
      <c r="T1932" s="5">
        <v>127.61</v>
      </c>
      <c r="U1932" s="5">
        <v>127</v>
      </c>
      <c r="V1932" s="5">
        <v>127.3</v>
      </c>
      <c r="W1932" s="5">
        <v>158084</v>
      </c>
    </row>
    <row r="1933" spans="1:23" x14ac:dyDescent="0.3">
      <c r="A1933" s="6">
        <v>41156</v>
      </c>
      <c r="B1933" s="7">
        <v>0.66666666666666663</v>
      </c>
      <c r="C1933" s="5">
        <v>196.01</v>
      </c>
      <c r="D1933" s="5">
        <v>202.55</v>
      </c>
      <c r="E1933" s="5">
        <v>196.01</v>
      </c>
      <c r="F1933" s="5">
        <v>199.96</v>
      </c>
      <c r="G1933" s="5">
        <v>56500</v>
      </c>
      <c r="Q1933" s="6">
        <v>41099</v>
      </c>
      <c r="R1933" s="7">
        <v>0.66666666666666663</v>
      </c>
      <c r="S1933" s="5">
        <v>127</v>
      </c>
      <c r="T1933" s="5">
        <v>127.5</v>
      </c>
      <c r="U1933" s="5">
        <v>124.61</v>
      </c>
      <c r="V1933" s="5">
        <v>125.07</v>
      </c>
      <c r="W1933" s="5">
        <v>1235262</v>
      </c>
    </row>
    <row r="1934" spans="1:23" x14ac:dyDescent="0.3">
      <c r="A1934" s="6">
        <v>41157</v>
      </c>
      <c r="B1934" s="7">
        <v>0.66666666666666663</v>
      </c>
      <c r="C1934" s="5">
        <v>200</v>
      </c>
      <c r="D1934" s="5">
        <v>203</v>
      </c>
      <c r="E1934" s="5">
        <v>198.5</v>
      </c>
      <c r="F1934" s="5">
        <v>199.96</v>
      </c>
      <c r="G1934" s="5">
        <v>14600</v>
      </c>
      <c r="Q1934" s="6">
        <v>41100</v>
      </c>
      <c r="R1934" s="7">
        <v>0.66666666666666663</v>
      </c>
      <c r="S1934" s="5">
        <v>125.4</v>
      </c>
      <c r="T1934" s="5">
        <v>126.1</v>
      </c>
      <c r="U1934" s="5">
        <v>124.01</v>
      </c>
      <c r="V1934" s="5">
        <v>124.2</v>
      </c>
      <c r="W1934" s="5">
        <v>976443</v>
      </c>
    </row>
    <row r="1935" spans="1:23" x14ac:dyDescent="0.3">
      <c r="A1935" s="6">
        <v>41158</v>
      </c>
      <c r="B1935" s="7">
        <v>0.66666666666666663</v>
      </c>
      <c r="C1935" s="5">
        <v>200</v>
      </c>
      <c r="D1935" s="5">
        <v>203.5</v>
      </c>
      <c r="E1935" s="5">
        <v>200</v>
      </c>
      <c r="F1935" s="5">
        <v>200</v>
      </c>
      <c r="G1935" s="5">
        <v>14600</v>
      </c>
      <c r="Q1935" s="6">
        <v>41101</v>
      </c>
      <c r="R1935" s="7">
        <v>0.66666666666666663</v>
      </c>
      <c r="S1935" s="5">
        <v>124.16</v>
      </c>
      <c r="T1935" s="5">
        <v>125.26</v>
      </c>
      <c r="U1935" s="5">
        <v>124.11</v>
      </c>
      <c r="V1935" s="5">
        <v>124.33</v>
      </c>
      <c r="W1935" s="5">
        <v>274221</v>
      </c>
    </row>
    <row r="1936" spans="1:23" x14ac:dyDescent="0.3">
      <c r="A1936" s="6">
        <v>41159</v>
      </c>
      <c r="B1936" s="7">
        <v>0.66666666666666663</v>
      </c>
      <c r="C1936" s="5">
        <v>200.3</v>
      </c>
      <c r="D1936" s="5">
        <v>202.01</v>
      </c>
      <c r="E1936" s="5">
        <v>200</v>
      </c>
      <c r="F1936" s="5">
        <v>200.27</v>
      </c>
      <c r="G1936" s="5">
        <v>21400</v>
      </c>
      <c r="Q1936" s="6">
        <v>41102</v>
      </c>
      <c r="R1936" s="7">
        <v>0.66666666666666663</v>
      </c>
      <c r="S1936" s="5">
        <v>124.89</v>
      </c>
      <c r="T1936" s="5">
        <v>128.59</v>
      </c>
      <c r="U1936" s="5">
        <v>124.51</v>
      </c>
      <c r="V1936" s="5">
        <v>126.7</v>
      </c>
      <c r="W1936" s="5">
        <v>2089563</v>
      </c>
    </row>
    <row r="1937" spans="1:23" x14ac:dyDescent="0.3">
      <c r="A1937" s="6">
        <v>41162</v>
      </c>
      <c r="B1937" s="7">
        <v>0.66666666666666663</v>
      </c>
      <c r="C1937" s="5">
        <v>200.02</v>
      </c>
      <c r="D1937" s="5">
        <v>201.94</v>
      </c>
      <c r="E1937" s="5">
        <v>199</v>
      </c>
      <c r="F1937" s="5">
        <v>199.99</v>
      </c>
      <c r="G1937" s="5">
        <v>34100</v>
      </c>
      <c r="Q1937" s="6">
        <v>41103</v>
      </c>
      <c r="R1937" s="7">
        <v>0.66666666666666663</v>
      </c>
      <c r="S1937" s="5">
        <v>126.7</v>
      </c>
      <c r="T1937" s="5">
        <v>127.4</v>
      </c>
      <c r="U1937" s="5">
        <v>125.02</v>
      </c>
      <c r="V1937" s="5">
        <v>125.27</v>
      </c>
      <c r="W1937" s="5">
        <v>484440</v>
      </c>
    </row>
    <row r="1938" spans="1:23" x14ac:dyDescent="0.3">
      <c r="A1938" s="6">
        <v>41163</v>
      </c>
      <c r="B1938" s="7">
        <v>0.66666666666666663</v>
      </c>
      <c r="C1938" s="5">
        <v>200</v>
      </c>
      <c r="D1938" s="5">
        <v>209.98</v>
      </c>
      <c r="E1938" s="5">
        <v>199</v>
      </c>
      <c r="F1938" s="5">
        <v>207.82</v>
      </c>
      <c r="G1938" s="5">
        <v>57400</v>
      </c>
      <c r="Q1938" s="6">
        <v>41106</v>
      </c>
      <c r="R1938" s="7">
        <v>0.66666666666666663</v>
      </c>
      <c r="S1938" s="5">
        <v>126.27</v>
      </c>
      <c r="T1938" s="5">
        <v>126.45</v>
      </c>
      <c r="U1938" s="5">
        <v>125.26</v>
      </c>
      <c r="V1938" s="5">
        <v>125.6</v>
      </c>
      <c r="W1938" s="5">
        <v>115643</v>
      </c>
    </row>
    <row r="1939" spans="1:23" x14ac:dyDescent="0.3">
      <c r="A1939" s="6">
        <v>41164</v>
      </c>
      <c r="B1939" s="7">
        <v>0.66666666666666663</v>
      </c>
      <c r="C1939" s="5">
        <v>206.3</v>
      </c>
      <c r="D1939" s="5">
        <v>213.5</v>
      </c>
      <c r="E1939" s="5">
        <v>197.43</v>
      </c>
      <c r="F1939" s="5">
        <v>197.44</v>
      </c>
      <c r="G1939" s="5">
        <v>253500</v>
      </c>
      <c r="Q1939" s="6">
        <v>41107</v>
      </c>
      <c r="R1939" s="7">
        <v>0.66666666666666663</v>
      </c>
      <c r="S1939" s="5">
        <v>126.15</v>
      </c>
      <c r="T1939" s="5">
        <v>126.4</v>
      </c>
      <c r="U1939" s="5">
        <v>125.65</v>
      </c>
      <c r="V1939" s="5">
        <v>125.84</v>
      </c>
      <c r="W1939" s="5">
        <v>122223</v>
      </c>
    </row>
    <row r="1940" spans="1:23" x14ac:dyDescent="0.3">
      <c r="A1940" s="6">
        <v>41165</v>
      </c>
      <c r="B1940" s="7">
        <v>0.66666666666666663</v>
      </c>
      <c r="C1940" s="5">
        <v>195</v>
      </c>
      <c r="D1940" s="5">
        <v>202</v>
      </c>
      <c r="E1940" s="5">
        <v>192.3</v>
      </c>
      <c r="F1940" s="5">
        <v>197.78</v>
      </c>
      <c r="G1940" s="5">
        <v>26300</v>
      </c>
      <c r="Q1940" s="6">
        <v>41108</v>
      </c>
      <c r="R1940" s="7">
        <v>0.66666666666666663</v>
      </c>
      <c r="S1940" s="5">
        <v>126.5</v>
      </c>
      <c r="T1940" s="5">
        <v>127.5</v>
      </c>
      <c r="U1940" s="5">
        <v>126.35</v>
      </c>
      <c r="V1940" s="5">
        <v>126.83</v>
      </c>
      <c r="W1940" s="5">
        <v>348049</v>
      </c>
    </row>
    <row r="1941" spans="1:23" x14ac:dyDescent="0.3">
      <c r="A1941" s="6">
        <v>41166</v>
      </c>
      <c r="B1941" s="7">
        <v>0.66666666666666663</v>
      </c>
      <c r="C1941" s="5">
        <v>199.31</v>
      </c>
      <c r="D1941" s="5">
        <v>201.95</v>
      </c>
      <c r="E1941" s="5">
        <v>196</v>
      </c>
      <c r="F1941" s="5">
        <v>200.88</v>
      </c>
      <c r="G1941" s="5">
        <v>19400</v>
      </c>
      <c r="Q1941" s="6">
        <v>41109</v>
      </c>
      <c r="R1941" s="7">
        <v>0.66666666666666663</v>
      </c>
      <c r="S1941" s="5">
        <v>127.11</v>
      </c>
      <c r="T1941" s="5">
        <v>127.4</v>
      </c>
      <c r="U1941" s="5">
        <v>125.9</v>
      </c>
      <c r="V1941" s="5">
        <v>126.09</v>
      </c>
      <c r="W1941" s="5">
        <v>215032</v>
      </c>
    </row>
    <row r="1942" spans="1:23" x14ac:dyDescent="0.3">
      <c r="A1942" s="6">
        <v>41169</v>
      </c>
      <c r="B1942" s="7">
        <v>0.66666666666666663</v>
      </c>
      <c r="C1942" s="5">
        <v>201.5</v>
      </c>
      <c r="D1942" s="5">
        <v>201.5</v>
      </c>
      <c r="E1942" s="5">
        <v>198</v>
      </c>
      <c r="F1942" s="5">
        <v>198.25</v>
      </c>
      <c r="G1942" s="5">
        <v>1200</v>
      </c>
      <c r="Q1942" s="6">
        <v>41110</v>
      </c>
      <c r="R1942" s="7">
        <v>0.66666666666666663</v>
      </c>
      <c r="S1942" s="5">
        <v>126.15</v>
      </c>
      <c r="T1942" s="5">
        <v>126.4</v>
      </c>
      <c r="U1942" s="5">
        <v>125.2</v>
      </c>
      <c r="V1942" s="5">
        <v>125.29</v>
      </c>
      <c r="W1942" s="5">
        <v>172186</v>
      </c>
    </row>
    <row r="1943" spans="1:23" x14ac:dyDescent="0.3">
      <c r="A1943" s="6">
        <v>41170</v>
      </c>
      <c r="B1943" s="7">
        <v>0.66666666666666663</v>
      </c>
      <c r="C1943" s="5">
        <v>197.5</v>
      </c>
      <c r="D1943" s="5">
        <v>197.5</v>
      </c>
      <c r="E1943" s="5">
        <v>188.7</v>
      </c>
      <c r="F1943" s="5">
        <v>192.56</v>
      </c>
      <c r="G1943" s="5">
        <v>26800</v>
      </c>
      <c r="Q1943" s="6">
        <v>41113</v>
      </c>
      <c r="R1943" s="7">
        <v>0.66666666666666663</v>
      </c>
      <c r="S1943" s="5">
        <v>125.99</v>
      </c>
      <c r="T1943" s="5">
        <v>126</v>
      </c>
      <c r="U1943" s="5">
        <v>123.75</v>
      </c>
      <c r="V1943" s="5">
        <v>124.26</v>
      </c>
      <c r="W1943" s="5">
        <v>158100</v>
      </c>
    </row>
    <row r="1944" spans="1:23" x14ac:dyDescent="0.3">
      <c r="A1944" s="6">
        <v>41171</v>
      </c>
      <c r="B1944" s="7">
        <v>0.66666666666666663</v>
      </c>
      <c r="C1944" s="5">
        <v>187.05</v>
      </c>
      <c r="D1944" s="5">
        <v>191</v>
      </c>
      <c r="E1944" s="5">
        <v>183.05</v>
      </c>
      <c r="F1944" s="5">
        <v>184.25</v>
      </c>
      <c r="G1944" s="5">
        <v>70000</v>
      </c>
      <c r="Q1944" s="6">
        <v>41114</v>
      </c>
      <c r="R1944" s="7">
        <v>0.66666666666666663</v>
      </c>
      <c r="S1944" s="5">
        <v>124.01</v>
      </c>
      <c r="T1944" s="5">
        <v>124.48</v>
      </c>
      <c r="U1944" s="5">
        <v>123.75</v>
      </c>
      <c r="V1944" s="5">
        <v>123.94</v>
      </c>
      <c r="W1944" s="5">
        <v>37900</v>
      </c>
    </row>
    <row r="1945" spans="1:23" x14ac:dyDescent="0.3">
      <c r="A1945" s="6">
        <v>41172</v>
      </c>
      <c r="B1945" s="7">
        <v>0.66666666666666663</v>
      </c>
      <c r="C1945" s="5">
        <v>185</v>
      </c>
      <c r="D1945" s="5">
        <v>188.97</v>
      </c>
      <c r="E1945" s="5">
        <v>184.99</v>
      </c>
      <c r="F1945" s="5">
        <v>185.04</v>
      </c>
      <c r="G1945" s="5">
        <v>93500</v>
      </c>
      <c r="Q1945" s="6">
        <v>41115</v>
      </c>
      <c r="R1945" s="7">
        <v>0.66666666666666663</v>
      </c>
      <c r="S1945" s="5">
        <v>124.15</v>
      </c>
      <c r="T1945" s="5">
        <v>125.5</v>
      </c>
      <c r="U1945" s="5">
        <v>124.1</v>
      </c>
      <c r="V1945" s="5">
        <v>124.66</v>
      </c>
      <c r="W1945" s="5">
        <v>109800</v>
      </c>
    </row>
    <row r="1946" spans="1:23" x14ac:dyDescent="0.3">
      <c r="A1946" s="6">
        <v>41176</v>
      </c>
      <c r="B1946" s="7">
        <v>0.66666666666666663</v>
      </c>
      <c r="C1946" s="5">
        <v>185</v>
      </c>
      <c r="D1946" s="5">
        <v>193</v>
      </c>
      <c r="E1946" s="5">
        <v>185</v>
      </c>
      <c r="F1946" s="5">
        <v>191.44</v>
      </c>
      <c r="G1946" s="5">
        <v>18800</v>
      </c>
      <c r="Q1946" s="6">
        <v>41116</v>
      </c>
      <c r="R1946" s="7">
        <v>0.66666666666666663</v>
      </c>
      <c r="S1946" s="5">
        <v>125.25</v>
      </c>
      <c r="T1946" s="5">
        <v>125.75</v>
      </c>
      <c r="U1946" s="5">
        <v>124.5</v>
      </c>
      <c r="V1946" s="5">
        <v>124.61</v>
      </c>
      <c r="W1946" s="5">
        <v>114700</v>
      </c>
    </row>
    <row r="1947" spans="1:23" x14ac:dyDescent="0.3">
      <c r="A1947" s="6">
        <v>41177</v>
      </c>
      <c r="B1947" s="7">
        <v>0.66666666666666663</v>
      </c>
      <c r="C1947" s="5">
        <v>191.39</v>
      </c>
      <c r="D1947" s="5">
        <v>196.5</v>
      </c>
      <c r="E1947" s="5">
        <v>191</v>
      </c>
      <c r="F1947" s="5">
        <v>194.53</v>
      </c>
      <c r="G1947" s="5">
        <v>117800</v>
      </c>
      <c r="Q1947" s="6">
        <v>41117</v>
      </c>
      <c r="R1947" s="7">
        <v>0.66666666666666663</v>
      </c>
      <c r="S1947" s="5">
        <v>124.51</v>
      </c>
      <c r="T1947" s="5">
        <v>126</v>
      </c>
      <c r="U1947" s="5">
        <v>124.05</v>
      </c>
      <c r="V1947" s="5">
        <v>124.35</v>
      </c>
      <c r="W1947" s="5">
        <v>304300</v>
      </c>
    </row>
    <row r="1948" spans="1:23" x14ac:dyDescent="0.3">
      <c r="A1948" s="6">
        <v>41178</v>
      </c>
      <c r="B1948" s="7">
        <v>0.66666666666666663</v>
      </c>
      <c r="C1948" s="5">
        <v>195.95</v>
      </c>
      <c r="D1948" s="5">
        <v>198</v>
      </c>
      <c r="E1948" s="5">
        <v>192.05</v>
      </c>
      <c r="F1948" s="5">
        <v>194.24</v>
      </c>
      <c r="G1948" s="5">
        <v>24900</v>
      </c>
      <c r="Q1948" s="6">
        <v>41120</v>
      </c>
      <c r="R1948" s="7">
        <v>0.66666666666666663</v>
      </c>
      <c r="S1948" s="5">
        <v>124.4</v>
      </c>
      <c r="T1948" s="5">
        <v>125.8</v>
      </c>
      <c r="U1948" s="5">
        <v>124.01</v>
      </c>
      <c r="V1948" s="5">
        <v>124.76</v>
      </c>
      <c r="W1948" s="5">
        <v>143900</v>
      </c>
    </row>
    <row r="1949" spans="1:23" x14ac:dyDescent="0.3">
      <c r="A1949" s="6">
        <v>41179</v>
      </c>
      <c r="B1949" s="7">
        <v>0.66666666666666663</v>
      </c>
      <c r="C1949" s="5">
        <v>193.27</v>
      </c>
      <c r="D1949" s="5">
        <v>203</v>
      </c>
      <c r="E1949" s="5">
        <v>193.25</v>
      </c>
      <c r="F1949" s="5">
        <v>201.56</v>
      </c>
      <c r="G1949" s="5">
        <v>84800</v>
      </c>
      <c r="Q1949" s="6">
        <v>41121</v>
      </c>
      <c r="R1949" s="7">
        <v>0.66666666666666663</v>
      </c>
      <c r="S1949" s="5">
        <v>124.36</v>
      </c>
      <c r="T1949" s="5">
        <v>125.07</v>
      </c>
      <c r="U1949" s="5">
        <v>124.3</v>
      </c>
      <c r="V1949" s="5">
        <v>124.95</v>
      </c>
      <c r="W1949" s="5">
        <v>35000</v>
      </c>
    </row>
    <row r="1950" spans="1:23" x14ac:dyDescent="0.3">
      <c r="A1950" s="6">
        <v>41180</v>
      </c>
      <c r="B1950" s="7">
        <v>0.66666666666666663</v>
      </c>
      <c r="C1950" s="5">
        <v>202.5</v>
      </c>
      <c r="D1950" s="5">
        <v>211.63</v>
      </c>
      <c r="E1950" s="5">
        <v>202.5</v>
      </c>
      <c r="F1950" s="5">
        <v>211.63</v>
      </c>
      <c r="G1950" s="5">
        <v>169500</v>
      </c>
      <c r="Q1950" s="6">
        <v>41122</v>
      </c>
      <c r="R1950" s="7">
        <v>0.66666666666666663</v>
      </c>
      <c r="S1950" s="5">
        <v>124.99</v>
      </c>
      <c r="T1950" s="5">
        <v>127.3</v>
      </c>
      <c r="U1950" s="5">
        <v>124.99</v>
      </c>
      <c r="V1950" s="5">
        <v>126.21</v>
      </c>
      <c r="W1950" s="5">
        <v>387900</v>
      </c>
    </row>
    <row r="1951" spans="1:23" x14ac:dyDescent="0.3">
      <c r="A1951" s="6">
        <v>41183</v>
      </c>
      <c r="B1951" s="7">
        <v>0.66666666666666663</v>
      </c>
      <c r="C1951" s="5">
        <v>212.6</v>
      </c>
      <c r="D1951" s="5">
        <v>214</v>
      </c>
      <c r="E1951" s="5">
        <v>209</v>
      </c>
      <c r="F1951" s="5">
        <v>209</v>
      </c>
      <c r="G1951" s="5">
        <v>15000</v>
      </c>
      <c r="Q1951" s="6">
        <v>41123</v>
      </c>
      <c r="R1951" s="7">
        <v>0.66666666666666663</v>
      </c>
      <c r="S1951" s="5">
        <v>126.6</v>
      </c>
      <c r="T1951" s="5">
        <v>127.7</v>
      </c>
      <c r="U1951" s="5">
        <v>126.11</v>
      </c>
      <c r="V1951" s="5">
        <v>126.45</v>
      </c>
      <c r="W1951" s="5">
        <v>603700</v>
      </c>
    </row>
    <row r="1952" spans="1:23" x14ac:dyDescent="0.3">
      <c r="A1952" s="6">
        <v>41184</v>
      </c>
      <c r="B1952" s="7">
        <v>0.66666666666666663</v>
      </c>
      <c r="C1952" s="5">
        <v>205.01</v>
      </c>
      <c r="D1952" s="5">
        <v>207.25</v>
      </c>
      <c r="E1952" s="5">
        <v>205.01</v>
      </c>
      <c r="F1952" s="5">
        <v>206.89</v>
      </c>
      <c r="G1952" s="5">
        <v>5500</v>
      </c>
      <c r="Q1952" s="6">
        <v>41124</v>
      </c>
      <c r="R1952" s="7">
        <v>0.66666666666666663</v>
      </c>
      <c r="S1952" s="5">
        <v>126.2</v>
      </c>
      <c r="T1952" s="5">
        <v>126.2</v>
      </c>
      <c r="U1952" s="5">
        <v>125.01</v>
      </c>
      <c r="V1952" s="5">
        <v>125.36</v>
      </c>
      <c r="W1952" s="5">
        <v>89500</v>
      </c>
    </row>
    <row r="1953" spans="1:23" x14ac:dyDescent="0.3">
      <c r="A1953" s="6">
        <v>41185</v>
      </c>
      <c r="B1953" s="7">
        <v>0.66666666666666663</v>
      </c>
      <c r="C1953" s="5">
        <v>204.11</v>
      </c>
      <c r="D1953" s="5">
        <v>206.75</v>
      </c>
      <c r="E1953" s="5">
        <v>198</v>
      </c>
      <c r="F1953" s="5">
        <v>200.02</v>
      </c>
      <c r="G1953" s="5">
        <v>41000</v>
      </c>
      <c r="Q1953" s="6">
        <v>41127</v>
      </c>
      <c r="R1953" s="7">
        <v>0.66666666666666663</v>
      </c>
      <c r="S1953" s="5">
        <v>125.99</v>
      </c>
      <c r="T1953" s="5">
        <v>126.2</v>
      </c>
      <c r="U1953" s="5">
        <v>124.4</v>
      </c>
      <c r="V1953" s="5">
        <v>124.64</v>
      </c>
      <c r="W1953" s="5">
        <v>135900</v>
      </c>
    </row>
    <row r="1954" spans="1:23" x14ac:dyDescent="0.3">
      <c r="A1954" s="6">
        <v>41186</v>
      </c>
      <c r="B1954" s="7">
        <v>0.66666666666666663</v>
      </c>
      <c r="C1954" s="5">
        <v>201.2</v>
      </c>
      <c r="D1954" s="5">
        <v>203</v>
      </c>
      <c r="E1954" s="5">
        <v>201.2</v>
      </c>
      <c r="F1954" s="5">
        <v>201.78</v>
      </c>
      <c r="G1954" s="5">
        <v>2400</v>
      </c>
      <c r="Q1954" s="6">
        <v>41128</v>
      </c>
      <c r="R1954" s="7">
        <v>0.66666666666666663</v>
      </c>
      <c r="S1954" s="5">
        <v>124.9</v>
      </c>
      <c r="T1954" s="5">
        <v>125.47</v>
      </c>
      <c r="U1954" s="5">
        <v>124.13</v>
      </c>
      <c r="V1954" s="5">
        <v>124.32</v>
      </c>
      <c r="W1954" s="5">
        <v>63100</v>
      </c>
    </row>
    <row r="1955" spans="1:23" x14ac:dyDescent="0.3">
      <c r="A1955" s="6">
        <v>41187</v>
      </c>
      <c r="B1955" s="7">
        <v>0.66666666666666663</v>
      </c>
      <c r="C1955" s="5">
        <v>200</v>
      </c>
      <c r="D1955" s="5">
        <v>203.5</v>
      </c>
      <c r="E1955" s="5">
        <v>198.99</v>
      </c>
      <c r="F1955" s="5">
        <v>201.54</v>
      </c>
      <c r="G1955" s="5">
        <v>74300</v>
      </c>
      <c r="Q1955" s="6">
        <v>41129</v>
      </c>
      <c r="R1955" s="7">
        <v>0.66666666666666663</v>
      </c>
      <c r="S1955" s="5">
        <v>124.51</v>
      </c>
      <c r="T1955" s="5">
        <v>125</v>
      </c>
      <c r="U1955" s="5">
        <v>124.2</v>
      </c>
      <c r="V1955" s="5">
        <v>124.47</v>
      </c>
      <c r="W1955" s="5">
        <v>161800</v>
      </c>
    </row>
    <row r="1956" spans="1:23" x14ac:dyDescent="0.3">
      <c r="A1956" s="6">
        <v>41190</v>
      </c>
      <c r="B1956" s="7">
        <v>0.66666666666666663</v>
      </c>
      <c r="C1956" s="5">
        <v>201.7</v>
      </c>
      <c r="D1956" s="5">
        <v>201.7</v>
      </c>
      <c r="E1956" s="5">
        <v>200</v>
      </c>
      <c r="F1956" s="5">
        <v>200</v>
      </c>
      <c r="G1956" s="5">
        <v>7000</v>
      </c>
      <c r="Q1956" s="6">
        <v>41130</v>
      </c>
      <c r="R1956" s="7">
        <v>0.66666666666666663</v>
      </c>
      <c r="S1956" s="5">
        <v>124.85</v>
      </c>
      <c r="T1956" s="5">
        <v>125.2</v>
      </c>
      <c r="U1956" s="5">
        <v>124.21</v>
      </c>
      <c r="V1956" s="5">
        <v>124.38</v>
      </c>
      <c r="W1956" s="5">
        <v>166900</v>
      </c>
    </row>
    <row r="1957" spans="1:23" x14ac:dyDescent="0.3">
      <c r="A1957" s="6">
        <v>41191</v>
      </c>
      <c r="B1957" s="7">
        <v>0.66666666666666663</v>
      </c>
      <c r="C1957" s="5">
        <v>201</v>
      </c>
      <c r="D1957" s="5">
        <v>202</v>
      </c>
      <c r="E1957" s="5">
        <v>196</v>
      </c>
      <c r="F1957" s="5">
        <v>197.92</v>
      </c>
      <c r="G1957" s="5">
        <v>3200</v>
      </c>
      <c r="Q1957" s="6">
        <v>41131</v>
      </c>
      <c r="R1957" s="7">
        <v>0.66666666666666663</v>
      </c>
      <c r="S1957" s="5">
        <v>124.79</v>
      </c>
      <c r="T1957" s="5">
        <v>124.8</v>
      </c>
      <c r="U1957" s="5">
        <v>124.11</v>
      </c>
      <c r="V1957" s="5">
        <v>124.25</v>
      </c>
      <c r="W1957" s="5">
        <v>76300</v>
      </c>
    </row>
    <row r="1958" spans="1:23" x14ac:dyDescent="0.3">
      <c r="A1958" s="6">
        <v>41192</v>
      </c>
      <c r="B1958" s="7">
        <v>0.66666666666666663</v>
      </c>
      <c r="C1958" s="5">
        <v>198</v>
      </c>
      <c r="D1958" s="5">
        <v>207.81</v>
      </c>
      <c r="E1958" s="5">
        <v>198</v>
      </c>
      <c r="F1958" s="5">
        <v>205.94</v>
      </c>
      <c r="G1958" s="5">
        <v>101300</v>
      </c>
      <c r="Q1958" s="6">
        <v>41134</v>
      </c>
      <c r="R1958" s="7">
        <v>0.66666666666666663</v>
      </c>
      <c r="S1958" s="5">
        <v>126.99</v>
      </c>
      <c r="T1958" s="5">
        <v>127</v>
      </c>
      <c r="U1958" s="5">
        <v>125.25</v>
      </c>
      <c r="V1958" s="5">
        <v>126.03</v>
      </c>
      <c r="W1958" s="5">
        <v>629500</v>
      </c>
    </row>
    <row r="1959" spans="1:23" x14ac:dyDescent="0.3">
      <c r="A1959" s="6">
        <v>41193</v>
      </c>
      <c r="B1959" s="7">
        <v>0.66666666666666663</v>
      </c>
      <c r="C1959" s="5">
        <v>207.75</v>
      </c>
      <c r="D1959" s="5">
        <v>214.2</v>
      </c>
      <c r="E1959" s="5">
        <v>207.75</v>
      </c>
      <c r="F1959" s="5">
        <v>210.13</v>
      </c>
      <c r="G1959" s="5">
        <v>76800</v>
      </c>
      <c r="Q1959" s="6">
        <v>41136</v>
      </c>
      <c r="R1959" s="7">
        <v>0.66666666666666663</v>
      </c>
      <c r="S1959" s="5">
        <v>126.39</v>
      </c>
      <c r="T1959" s="5">
        <v>126.8</v>
      </c>
      <c r="U1959" s="5">
        <v>125.55</v>
      </c>
      <c r="V1959" s="5">
        <v>125.76</v>
      </c>
      <c r="W1959" s="5">
        <v>261500</v>
      </c>
    </row>
    <row r="1960" spans="1:23" x14ac:dyDescent="0.3">
      <c r="A1960" s="6">
        <v>41194</v>
      </c>
      <c r="B1960" s="7">
        <v>0.66666666666666663</v>
      </c>
      <c r="C1960" s="5">
        <v>211.5</v>
      </c>
      <c r="D1960" s="5">
        <v>212</v>
      </c>
      <c r="E1960" s="5">
        <v>209.5</v>
      </c>
      <c r="F1960" s="5">
        <v>210.36</v>
      </c>
      <c r="G1960" s="5">
        <v>27700</v>
      </c>
      <c r="Q1960" s="6">
        <v>41137</v>
      </c>
      <c r="R1960" s="7">
        <v>0.66666666666666663</v>
      </c>
      <c r="S1960" s="5">
        <v>125.1</v>
      </c>
      <c r="T1960" s="5">
        <v>125.85</v>
      </c>
      <c r="U1960" s="5">
        <v>124.99</v>
      </c>
      <c r="V1960" s="5">
        <v>125.43</v>
      </c>
      <c r="W1960" s="5">
        <v>76800</v>
      </c>
    </row>
    <row r="1961" spans="1:23" x14ac:dyDescent="0.3">
      <c r="A1961" s="6">
        <v>41197</v>
      </c>
      <c r="B1961" s="7">
        <v>0.66666666666666663</v>
      </c>
      <c r="C1961" s="5">
        <v>206.01</v>
      </c>
      <c r="D1961" s="5">
        <v>220.87</v>
      </c>
      <c r="E1961" s="5">
        <v>206.01</v>
      </c>
      <c r="F1961" s="5">
        <v>220.16</v>
      </c>
      <c r="G1961" s="5">
        <v>220700</v>
      </c>
      <c r="Q1961" s="6">
        <v>41144</v>
      </c>
      <c r="R1961" s="7">
        <v>0.66666666666666663</v>
      </c>
      <c r="S1961" s="5">
        <v>125.5</v>
      </c>
      <c r="T1961" s="5">
        <v>127.75</v>
      </c>
      <c r="U1961" s="5">
        <v>125.17</v>
      </c>
      <c r="V1961" s="5">
        <v>126.4</v>
      </c>
      <c r="W1961" s="5">
        <v>743400</v>
      </c>
    </row>
    <row r="1962" spans="1:23" x14ac:dyDescent="0.3">
      <c r="A1962" s="6">
        <v>41198</v>
      </c>
      <c r="B1962" s="7">
        <v>0.66666666666666663</v>
      </c>
      <c r="C1962" s="5">
        <v>222.25</v>
      </c>
      <c r="D1962" s="5">
        <v>227</v>
      </c>
      <c r="E1962" s="5">
        <v>209.16</v>
      </c>
      <c r="F1962" s="5">
        <v>210.15</v>
      </c>
      <c r="G1962" s="5">
        <v>278400</v>
      </c>
      <c r="Q1962" s="6">
        <v>41145</v>
      </c>
      <c r="R1962" s="7">
        <v>0.66666666666666663</v>
      </c>
      <c r="S1962" s="5">
        <v>126.99</v>
      </c>
      <c r="T1962" s="5">
        <v>126.99</v>
      </c>
      <c r="U1962" s="5">
        <v>125.5</v>
      </c>
      <c r="V1962" s="5">
        <v>125.61</v>
      </c>
      <c r="W1962" s="5">
        <v>130400</v>
      </c>
    </row>
    <row r="1963" spans="1:23" x14ac:dyDescent="0.3">
      <c r="A1963" s="6">
        <v>41199</v>
      </c>
      <c r="B1963" s="7">
        <v>0.66666666666666663</v>
      </c>
      <c r="C1963" s="5">
        <v>210</v>
      </c>
      <c r="D1963" s="5">
        <v>213</v>
      </c>
      <c r="E1963" s="5">
        <v>209.5</v>
      </c>
      <c r="F1963" s="5">
        <v>210.48</v>
      </c>
      <c r="G1963" s="5">
        <v>17900</v>
      </c>
      <c r="Q1963" s="6">
        <v>41148</v>
      </c>
      <c r="R1963" s="7">
        <v>0.66666666666666663</v>
      </c>
      <c r="S1963" s="5">
        <v>125.1</v>
      </c>
      <c r="T1963" s="5">
        <v>127</v>
      </c>
      <c r="U1963" s="5">
        <v>125.1</v>
      </c>
      <c r="V1963" s="5">
        <v>125.96</v>
      </c>
      <c r="W1963" s="5">
        <v>319900</v>
      </c>
    </row>
    <row r="1964" spans="1:23" x14ac:dyDescent="0.3">
      <c r="A1964" s="6">
        <v>41200</v>
      </c>
      <c r="B1964" s="7">
        <v>0.66666666666666663</v>
      </c>
      <c r="C1964" s="5">
        <v>212.5</v>
      </c>
      <c r="D1964" s="5">
        <v>216</v>
      </c>
      <c r="E1964" s="5">
        <v>210</v>
      </c>
      <c r="F1964" s="5">
        <v>210.17</v>
      </c>
      <c r="G1964" s="5">
        <v>35700</v>
      </c>
      <c r="Q1964" s="6">
        <v>41149</v>
      </c>
      <c r="R1964" s="7">
        <v>0.66666666666666663</v>
      </c>
      <c r="S1964" s="5">
        <v>126.45</v>
      </c>
      <c r="T1964" s="5">
        <v>127.25</v>
      </c>
      <c r="U1964" s="5">
        <v>126</v>
      </c>
      <c r="V1964" s="5">
        <v>126.1</v>
      </c>
      <c r="W1964" s="5">
        <v>664700</v>
      </c>
    </row>
    <row r="1965" spans="1:23" x14ac:dyDescent="0.3">
      <c r="A1965" s="6">
        <v>41201</v>
      </c>
      <c r="B1965" s="7">
        <v>0.66666666666666663</v>
      </c>
      <c r="C1965" s="5">
        <v>210.5</v>
      </c>
      <c r="D1965" s="5">
        <v>212.75</v>
      </c>
      <c r="E1965" s="5">
        <v>210.1</v>
      </c>
      <c r="F1965" s="5">
        <v>210.67</v>
      </c>
      <c r="G1965" s="5">
        <v>3200</v>
      </c>
      <c r="Q1965" s="6">
        <v>41150</v>
      </c>
      <c r="R1965" s="7">
        <v>0.66666666666666663</v>
      </c>
      <c r="S1965" s="5">
        <v>126.1</v>
      </c>
      <c r="T1965" s="5">
        <v>126.9</v>
      </c>
      <c r="U1965" s="5">
        <v>125.55</v>
      </c>
      <c r="V1965" s="5">
        <v>125.75</v>
      </c>
      <c r="W1965" s="5">
        <v>250600</v>
      </c>
    </row>
    <row r="1966" spans="1:23" x14ac:dyDescent="0.3">
      <c r="A1966" s="6">
        <v>41204</v>
      </c>
      <c r="B1966" s="7">
        <v>0.66666666666666663</v>
      </c>
      <c r="C1966" s="5">
        <v>211</v>
      </c>
      <c r="D1966" s="5">
        <v>212</v>
      </c>
      <c r="E1966" s="5">
        <v>210</v>
      </c>
      <c r="F1966" s="5">
        <v>210.11</v>
      </c>
      <c r="G1966" s="5">
        <v>52600</v>
      </c>
      <c r="Q1966" s="6">
        <v>41151</v>
      </c>
      <c r="R1966" s="7">
        <v>0.66666666666666663</v>
      </c>
      <c r="S1966" s="5">
        <v>126</v>
      </c>
      <c r="T1966" s="5">
        <v>131.69999999999999</v>
      </c>
      <c r="U1966" s="5">
        <v>125.8</v>
      </c>
      <c r="V1966" s="5">
        <v>131.05000000000001</v>
      </c>
      <c r="W1966" s="5">
        <v>4412800</v>
      </c>
    </row>
    <row r="1967" spans="1:23" x14ac:dyDescent="0.3">
      <c r="A1967" s="6">
        <v>41205</v>
      </c>
      <c r="B1967" s="7">
        <v>0.66666666666666663</v>
      </c>
      <c r="C1967" s="5">
        <v>210</v>
      </c>
      <c r="D1967" s="5">
        <v>212.01</v>
      </c>
      <c r="E1967" s="5">
        <v>210</v>
      </c>
      <c r="F1967" s="5">
        <v>210.17</v>
      </c>
      <c r="G1967" s="5">
        <v>25000</v>
      </c>
      <c r="Q1967" s="6">
        <v>41152</v>
      </c>
      <c r="R1967" s="7">
        <v>0.66666666666666663</v>
      </c>
      <c r="S1967" s="5">
        <v>131</v>
      </c>
      <c r="T1967" s="5">
        <v>132.25</v>
      </c>
      <c r="U1967" s="5">
        <v>128.21</v>
      </c>
      <c r="V1967" s="5">
        <v>128.54</v>
      </c>
      <c r="W1967" s="5">
        <v>1574700</v>
      </c>
    </row>
    <row r="1968" spans="1:23" x14ac:dyDescent="0.3">
      <c r="A1968" s="6">
        <v>41206</v>
      </c>
      <c r="B1968" s="7">
        <v>0.66666666666666663</v>
      </c>
      <c r="C1968" s="5">
        <v>210.05</v>
      </c>
      <c r="D1968" s="5">
        <v>210.05</v>
      </c>
      <c r="E1968" s="5">
        <v>210</v>
      </c>
      <c r="F1968" s="5">
        <v>210.01</v>
      </c>
      <c r="G1968" s="5">
        <v>1900</v>
      </c>
      <c r="Q1968" s="6">
        <v>41155</v>
      </c>
      <c r="R1968" s="7">
        <v>0.66666666666666663</v>
      </c>
      <c r="S1968" s="5">
        <v>128.97</v>
      </c>
      <c r="T1968" s="5">
        <v>130.88</v>
      </c>
      <c r="U1968" s="5">
        <v>128.01</v>
      </c>
      <c r="V1968" s="5">
        <v>129.91999999999999</v>
      </c>
      <c r="W1968" s="5">
        <v>1150700</v>
      </c>
    </row>
    <row r="1969" spans="1:23" x14ac:dyDescent="0.3">
      <c r="A1969" s="6">
        <v>41207</v>
      </c>
      <c r="B1969" s="7">
        <v>0.66666666666666663</v>
      </c>
      <c r="C1969" s="5">
        <v>203.31</v>
      </c>
      <c r="D1969" s="5">
        <v>210</v>
      </c>
      <c r="E1969" s="5">
        <v>203.31</v>
      </c>
      <c r="F1969" s="5">
        <v>210</v>
      </c>
      <c r="G1969" s="5">
        <v>7600</v>
      </c>
      <c r="Q1969" s="6">
        <v>41156</v>
      </c>
      <c r="R1969" s="7">
        <v>0.66666666666666663</v>
      </c>
      <c r="S1969" s="5">
        <v>130.01</v>
      </c>
      <c r="T1969" s="5">
        <v>131.9</v>
      </c>
      <c r="U1969" s="5">
        <v>129</v>
      </c>
      <c r="V1969" s="5">
        <v>129.52000000000001</v>
      </c>
      <c r="W1969" s="5">
        <v>1329800</v>
      </c>
    </row>
    <row r="1970" spans="1:23" x14ac:dyDescent="0.3">
      <c r="A1970" s="6">
        <v>41212</v>
      </c>
      <c r="B1970" s="7">
        <v>0.66666666666666663</v>
      </c>
      <c r="C1970" s="5">
        <v>212.8</v>
      </c>
      <c r="D1970" s="5">
        <v>213</v>
      </c>
      <c r="E1970" s="5">
        <v>210.1</v>
      </c>
      <c r="F1970" s="5">
        <v>210.52</v>
      </c>
      <c r="G1970" s="5">
        <v>2800</v>
      </c>
      <c r="Q1970" s="6">
        <v>41157</v>
      </c>
      <c r="R1970" s="7">
        <v>0.66666666666666663</v>
      </c>
      <c r="S1970" s="5">
        <v>130</v>
      </c>
      <c r="T1970" s="5">
        <v>131.1</v>
      </c>
      <c r="U1970" s="5">
        <v>127.91</v>
      </c>
      <c r="V1970" s="5">
        <v>128.22</v>
      </c>
      <c r="W1970" s="5">
        <v>1403600</v>
      </c>
    </row>
    <row r="1971" spans="1:23" x14ac:dyDescent="0.3">
      <c r="A1971" s="6">
        <v>41213</v>
      </c>
      <c r="B1971" s="7">
        <v>0.66666666666666663</v>
      </c>
      <c r="C1971" s="5">
        <v>210.1</v>
      </c>
      <c r="D1971" s="5">
        <v>210.26</v>
      </c>
      <c r="E1971" s="5">
        <v>210</v>
      </c>
      <c r="F1971" s="5">
        <v>210.05</v>
      </c>
      <c r="G1971" s="5">
        <v>4600</v>
      </c>
      <c r="Q1971" s="6">
        <v>41158</v>
      </c>
      <c r="R1971" s="7">
        <v>0.66666666666666663</v>
      </c>
      <c r="S1971" s="5">
        <v>128.44999999999999</v>
      </c>
      <c r="T1971" s="5">
        <v>129</v>
      </c>
      <c r="U1971" s="5">
        <v>127.03</v>
      </c>
      <c r="V1971" s="5">
        <v>127.3</v>
      </c>
      <c r="W1971" s="5">
        <v>326700</v>
      </c>
    </row>
    <row r="1972" spans="1:23" x14ac:dyDescent="0.3">
      <c r="A1972" s="6">
        <v>41214</v>
      </c>
      <c r="B1972" s="7">
        <v>0.66666666666666663</v>
      </c>
      <c r="C1972" s="5">
        <v>210.05</v>
      </c>
      <c r="D1972" s="5">
        <v>217</v>
      </c>
      <c r="E1972" s="5">
        <v>210.05</v>
      </c>
      <c r="F1972" s="5">
        <v>215.1</v>
      </c>
      <c r="G1972" s="5">
        <v>31100</v>
      </c>
      <c r="Q1972" s="6">
        <v>41159</v>
      </c>
      <c r="R1972" s="7">
        <v>0.66666666666666663</v>
      </c>
      <c r="S1972" s="5">
        <v>127.55</v>
      </c>
      <c r="T1972" s="5">
        <v>127.98</v>
      </c>
      <c r="U1972" s="5">
        <v>126.01</v>
      </c>
      <c r="V1972" s="5">
        <v>126.63</v>
      </c>
      <c r="W1972" s="5">
        <v>231800</v>
      </c>
    </row>
    <row r="1973" spans="1:23" x14ac:dyDescent="0.3">
      <c r="A1973" s="6">
        <v>41215</v>
      </c>
      <c r="B1973" s="7">
        <v>0.66666666666666663</v>
      </c>
      <c r="C1973" s="5">
        <v>216.84</v>
      </c>
      <c r="D1973" s="5">
        <v>219.99</v>
      </c>
      <c r="E1973" s="5">
        <v>215</v>
      </c>
      <c r="F1973" s="5">
        <v>217.46</v>
      </c>
      <c r="G1973" s="5">
        <v>17400</v>
      </c>
      <c r="Q1973" s="6">
        <v>41162</v>
      </c>
      <c r="R1973" s="7">
        <v>0.66666666666666663</v>
      </c>
      <c r="S1973" s="5">
        <v>127</v>
      </c>
      <c r="T1973" s="5">
        <v>128.88999999999999</v>
      </c>
      <c r="U1973" s="5">
        <v>126.75</v>
      </c>
      <c r="V1973" s="5">
        <v>127.06</v>
      </c>
      <c r="W1973" s="5">
        <v>433800</v>
      </c>
    </row>
    <row r="1974" spans="1:23" x14ac:dyDescent="0.3">
      <c r="A1974" s="6">
        <v>41218</v>
      </c>
      <c r="B1974" s="7">
        <v>0.66666666666666663</v>
      </c>
      <c r="C1974" s="5">
        <v>217.02</v>
      </c>
      <c r="D1974" s="5">
        <v>223</v>
      </c>
      <c r="E1974" s="5">
        <v>217</v>
      </c>
      <c r="F1974" s="5">
        <v>220.02</v>
      </c>
      <c r="G1974" s="5">
        <v>10200</v>
      </c>
      <c r="Q1974" s="6">
        <v>41163</v>
      </c>
      <c r="R1974" s="7">
        <v>0.66666666666666663</v>
      </c>
      <c r="S1974" s="5">
        <v>127.4</v>
      </c>
      <c r="T1974" s="5">
        <v>127.5</v>
      </c>
      <c r="U1974" s="5">
        <v>126.45</v>
      </c>
      <c r="V1974" s="5">
        <v>126.59</v>
      </c>
      <c r="W1974" s="5">
        <v>246000</v>
      </c>
    </row>
    <row r="1975" spans="1:23" x14ac:dyDescent="0.3">
      <c r="A1975" s="6">
        <v>41219</v>
      </c>
      <c r="B1975" s="7">
        <v>0.66666666666666663</v>
      </c>
      <c r="C1975" s="5">
        <v>217.5</v>
      </c>
      <c r="D1975" s="5">
        <v>225</v>
      </c>
      <c r="E1975" s="5">
        <v>217.5</v>
      </c>
      <c r="F1975" s="5">
        <v>223.71</v>
      </c>
      <c r="G1975" s="5">
        <v>28200</v>
      </c>
      <c r="Q1975" s="6">
        <v>41164</v>
      </c>
      <c r="R1975" s="7">
        <v>0.66666666666666663</v>
      </c>
      <c r="S1975" s="5">
        <v>126.16</v>
      </c>
      <c r="T1975" s="5">
        <v>127.75</v>
      </c>
      <c r="U1975" s="5">
        <v>126.16</v>
      </c>
      <c r="V1975" s="5">
        <v>126.72</v>
      </c>
      <c r="W1975" s="5">
        <v>370100</v>
      </c>
    </row>
    <row r="1976" spans="1:23" x14ac:dyDescent="0.3">
      <c r="A1976" s="6">
        <v>41220</v>
      </c>
      <c r="B1976" s="7">
        <v>0.66666666666666663</v>
      </c>
      <c r="C1976" s="5">
        <v>225.02</v>
      </c>
      <c r="D1976" s="5">
        <v>232</v>
      </c>
      <c r="E1976" s="5">
        <v>222.1</v>
      </c>
      <c r="F1976" s="5">
        <v>225.55</v>
      </c>
      <c r="G1976" s="5">
        <v>90800</v>
      </c>
      <c r="Q1976" s="6">
        <v>41165</v>
      </c>
      <c r="R1976" s="7">
        <v>0.66666666666666663</v>
      </c>
      <c r="S1976" s="5">
        <v>127.3</v>
      </c>
      <c r="T1976" s="5">
        <v>129.49</v>
      </c>
      <c r="U1976" s="5">
        <v>127.1</v>
      </c>
      <c r="V1976" s="5">
        <v>128.22</v>
      </c>
      <c r="W1976" s="5">
        <v>1061200</v>
      </c>
    </row>
    <row r="1977" spans="1:23" x14ac:dyDescent="0.3">
      <c r="A1977" s="6">
        <v>41221</v>
      </c>
      <c r="B1977" s="7">
        <v>0.66666666666666663</v>
      </c>
      <c r="C1977" s="5">
        <v>225</v>
      </c>
      <c r="D1977" s="5">
        <v>228</v>
      </c>
      <c r="E1977" s="5">
        <v>221</v>
      </c>
      <c r="F1977" s="5">
        <v>227.28</v>
      </c>
      <c r="G1977" s="5">
        <v>31700</v>
      </c>
      <c r="Q1977" s="6">
        <v>41166</v>
      </c>
      <c r="R1977" s="7">
        <v>0.66666666666666663</v>
      </c>
      <c r="S1977" s="5">
        <v>128</v>
      </c>
      <c r="T1977" s="5">
        <v>128.99</v>
      </c>
      <c r="U1977" s="5">
        <v>127.25</v>
      </c>
      <c r="V1977" s="5">
        <v>127.46</v>
      </c>
      <c r="W1977" s="5">
        <v>324700</v>
      </c>
    </row>
    <row r="1978" spans="1:23" x14ac:dyDescent="0.3">
      <c r="A1978" s="6">
        <v>41225</v>
      </c>
      <c r="B1978" s="7">
        <v>0.66666666666666663</v>
      </c>
      <c r="C1978" s="5">
        <v>227.25</v>
      </c>
      <c r="D1978" s="5">
        <v>227.25</v>
      </c>
      <c r="E1978" s="5">
        <v>223.99</v>
      </c>
      <c r="F1978" s="5">
        <v>225.83</v>
      </c>
      <c r="G1978" s="5">
        <v>57900</v>
      </c>
      <c r="Q1978" s="6">
        <v>41169</v>
      </c>
      <c r="R1978" s="7">
        <v>0.66666666666666663</v>
      </c>
      <c r="S1978" s="5">
        <v>129.25</v>
      </c>
      <c r="T1978" s="5">
        <v>129.5</v>
      </c>
      <c r="U1978" s="5">
        <v>127.5</v>
      </c>
      <c r="V1978" s="5">
        <v>127.95</v>
      </c>
      <c r="W1978" s="5">
        <v>1227100</v>
      </c>
    </row>
    <row r="1979" spans="1:23" x14ac:dyDescent="0.3">
      <c r="A1979" s="6">
        <v>41226</v>
      </c>
      <c r="B1979" s="7">
        <v>0.66666666666666663</v>
      </c>
      <c r="C1979" s="5">
        <v>225.7</v>
      </c>
      <c r="D1979" s="5">
        <v>232.5</v>
      </c>
      <c r="E1979" s="5">
        <v>224.5</v>
      </c>
      <c r="F1979" s="5">
        <v>227.26</v>
      </c>
      <c r="G1979" s="5">
        <v>132400</v>
      </c>
      <c r="Q1979" s="6">
        <v>41170</v>
      </c>
      <c r="R1979" s="7">
        <v>0.66666666666666663</v>
      </c>
      <c r="S1979" s="5">
        <v>128</v>
      </c>
      <c r="T1979" s="5">
        <v>128.94999999999999</v>
      </c>
      <c r="U1979" s="5">
        <v>128</v>
      </c>
      <c r="V1979" s="5">
        <v>128.13999999999999</v>
      </c>
      <c r="W1979" s="5">
        <v>454500</v>
      </c>
    </row>
    <row r="1980" spans="1:23" x14ac:dyDescent="0.3">
      <c r="A1980" s="6">
        <v>41227</v>
      </c>
      <c r="B1980" s="7">
        <v>0.66666666666666663</v>
      </c>
      <c r="C1980" s="5">
        <v>228</v>
      </c>
      <c r="D1980" s="5">
        <v>229.92</v>
      </c>
      <c r="E1980" s="5">
        <v>224</v>
      </c>
      <c r="F1980" s="5">
        <v>226.69</v>
      </c>
      <c r="G1980" s="5">
        <v>35200</v>
      </c>
      <c r="Q1980" s="6">
        <v>41171</v>
      </c>
      <c r="R1980" s="7">
        <v>0.66666666666666663</v>
      </c>
      <c r="S1980" s="5">
        <v>128.35</v>
      </c>
      <c r="T1980" s="5">
        <v>130.4</v>
      </c>
      <c r="U1980" s="5">
        <v>128.16</v>
      </c>
      <c r="V1980" s="5">
        <v>128.65</v>
      </c>
      <c r="W1980" s="5">
        <v>927000</v>
      </c>
    </row>
    <row r="1981" spans="1:23" x14ac:dyDescent="0.3">
      <c r="A1981" s="6">
        <v>41228</v>
      </c>
      <c r="B1981" s="7">
        <v>0.66666666666666663</v>
      </c>
      <c r="C1981" s="5">
        <v>225.5</v>
      </c>
      <c r="D1981" s="5">
        <v>227.5</v>
      </c>
      <c r="E1981" s="5">
        <v>225</v>
      </c>
      <c r="F1981" s="5">
        <v>226.32</v>
      </c>
      <c r="G1981" s="5">
        <v>12900</v>
      </c>
      <c r="Q1981" s="6">
        <v>41172</v>
      </c>
      <c r="R1981" s="7">
        <v>0.66666666666666663</v>
      </c>
      <c r="S1981" s="5">
        <v>128.97999999999999</v>
      </c>
      <c r="T1981" s="5">
        <v>129</v>
      </c>
      <c r="U1981" s="5">
        <v>126</v>
      </c>
      <c r="V1981" s="5">
        <v>126.37</v>
      </c>
      <c r="W1981" s="5">
        <v>865600</v>
      </c>
    </row>
    <row r="1982" spans="1:23" x14ac:dyDescent="0.3">
      <c r="A1982" s="6">
        <v>41229</v>
      </c>
      <c r="B1982" s="7">
        <v>0.66666666666666663</v>
      </c>
      <c r="C1982" s="5">
        <v>226.99</v>
      </c>
      <c r="D1982" s="5">
        <v>227</v>
      </c>
      <c r="E1982" s="5">
        <v>226</v>
      </c>
      <c r="F1982" s="5">
        <v>226</v>
      </c>
      <c r="G1982" s="5">
        <v>4000</v>
      </c>
      <c r="Q1982" s="6">
        <v>41176</v>
      </c>
      <c r="R1982" s="7">
        <v>0.66666666666666663</v>
      </c>
      <c r="S1982" s="5">
        <v>127.24</v>
      </c>
      <c r="T1982" s="5">
        <v>127.24</v>
      </c>
      <c r="U1982" s="5">
        <v>125.25</v>
      </c>
      <c r="V1982" s="5">
        <v>125.56</v>
      </c>
      <c r="W1982" s="5">
        <v>184400</v>
      </c>
    </row>
    <row r="1983" spans="1:23" x14ac:dyDescent="0.3">
      <c r="A1983" s="6">
        <v>41232</v>
      </c>
      <c r="B1983" s="7">
        <v>0.66666666666666663</v>
      </c>
      <c r="C1983" s="5">
        <v>227.5</v>
      </c>
      <c r="D1983" s="5">
        <v>232</v>
      </c>
      <c r="E1983" s="5">
        <v>221.5</v>
      </c>
      <c r="F1983" s="5">
        <v>226.71</v>
      </c>
      <c r="G1983" s="5">
        <v>136500</v>
      </c>
      <c r="Q1983" s="6">
        <v>41177</v>
      </c>
      <c r="R1983" s="7">
        <v>0.66666666666666663</v>
      </c>
      <c r="S1983" s="5">
        <v>125.52</v>
      </c>
      <c r="T1983" s="5">
        <v>126.19</v>
      </c>
      <c r="U1983" s="5">
        <v>125.31</v>
      </c>
      <c r="V1983" s="5">
        <v>125.54</v>
      </c>
      <c r="W1983" s="5">
        <v>135300</v>
      </c>
    </row>
    <row r="1984" spans="1:23" x14ac:dyDescent="0.3">
      <c r="A1984" s="6">
        <v>41233</v>
      </c>
      <c r="B1984" s="7">
        <v>0.66666666666666663</v>
      </c>
      <c r="C1984" s="5">
        <v>227</v>
      </c>
      <c r="D1984" s="5">
        <v>227.9</v>
      </c>
      <c r="E1984" s="5">
        <v>226.35</v>
      </c>
      <c r="F1984" s="5">
        <v>226.67</v>
      </c>
      <c r="G1984" s="5">
        <v>9700</v>
      </c>
      <c r="Q1984" s="6">
        <v>41178</v>
      </c>
      <c r="R1984" s="7">
        <v>0.66666666666666663</v>
      </c>
      <c r="S1984" s="5">
        <v>126.19</v>
      </c>
      <c r="T1984" s="5">
        <v>126.4</v>
      </c>
      <c r="U1984" s="5">
        <v>125.5</v>
      </c>
      <c r="V1984" s="5">
        <v>125.78</v>
      </c>
      <c r="W1984" s="5">
        <v>184500</v>
      </c>
    </row>
    <row r="1985" spans="1:23" x14ac:dyDescent="0.3">
      <c r="A1985" s="6">
        <v>41234</v>
      </c>
      <c r="B1985" s="7">
        <v>0.66666666666666663</v>
      </c>
      <c r="C1985" s="5">
        <v>227</v>
      </c>
      <c r="D1985" s="5">
        <v>227.01</v>
      </c>
      <c r="E1985" s="5">
        <v>225.76</v>
      </c>
      <c r="F1985" s="5">
        <v>226.89</v>
      </c>
      <c r="G1985" s="5">
        <v>3900</v>
      </c>
      <c r="Q1985" s="6">
        <v>41179</v>
      </c>
      <c r="R1985" s="7">
        <v>0.66666666666666663</v>
      </c>
      <c r="S1985" s="5">
        <v>126.48</v>
      </c>
      <c r="T1985" s="5">
        <v>126.6</v>
      </c>
      <c r="U1985" s="5">
        <v>125.35</v>
      </c>
      <c r="V1985" s="5">
        <v>126.03</v>
      </c>
      <c r="W1985" s="5">
        <v>207900</v>
      </c>
    </row>
    <row r="1986" spans="1:23" x14ac:dyDescent="0.3">
      <c r="A1986" s="6">
        <v>41235</v>
      </c>
      <c r="B1986" s="7">
        <v>0.66666666666666663</v>
      </c>
      <c r="C1986" s="5">
        <v>227</v>
      </c>
      <c r="D1986" s="5">
        <v>229</v>
      </c>
      <c r="E1986" s="5">
        <v>227</v>
      </c>
      <c r="F1986" s="5">
        <v>227</v>
      </c>
      <c r="G1986" s="5">
        <v>6200</v>
      </c>
      <c r="Q1986" s="6">
        <v>41180</v>
      </c>
      <c r="R1986" s="7">
        <v>0.66666666666666663</v>
      </c>
      <c r="S1986" s="5">
        <v>126.7</v>
      </c>
      <c r="T1986" s="5">
        <v>128.19999999999999</v>
      </c>
      <c r="U1986" s="5">
        <v>126.61</v>
      </c>
      <c r="V1986" s="5">
        <v>127.02</v>
      </c>
      <c r="W1986" s="5">
        <v>648500</v>
      </c>
    </row>
    <row r="1987" spans="1:23" x14ac:dyDescent="0.3">
      <c r="A1987" s="6">
        <v>41236</v>
      </c>
      <c r="B1987" s="7">
        <v>0.66666666666666663</v>
      </c>
      <c r="C1987" s="5">
        <v>226.01</v>
      </c>
      <c r="D1987" s="5">
        <v>226.01</v>
      </c>
      <c r="E1987" s="5">
        <v>226</v>
      </c>
      <c r="F1987" s="5">
        <v>226</v>
      </c>
      <c r="G1987" s="5">
        <v>1300</v>
      </c>
      <c r="Q1987" s="6">
        <v>41183</v>
      </c>
      <c r="R1987" s="7">
        <v>0.66666666666666663</v>
      </c>
      <c r="S1987" s="5">
        <v>127.05</v>
      </c>
      <c r="T1987" s="5">
        <v>133.37</v>
      </c>
      <c r="U1987" s="5">
        <v>127.05</v>
      </c>
      <c r="V1987" s="5">
        <v>133.37</v>
      </c>
      <c r="W1987" s="5">
        <v>2458000</v>
      </c>
    </row>
    <row r="1988" spans="1:23" x14ac:dyDescent="0.3">
      <c r="A1988" s="6">
        <v>41239</v>
      </c>
      <c r="B1988" s="7">
        <v>0.66666666666666663</v>
      </c>
      <c r="C1988" s="5">
        <v>227</v>
      </c>
      <c r="D1988" s="5">
        <v>227</v>
      </c>
      <c r="E1988" s="5">
        <v>226</v>
      </c>
      <c r="F1988" s="5">
        <v>226.12</v>
      </c>
      <c r="G1988" s="5">
        <v>5100</v>
      </c>
      <c r="Q1988" s="6">
        <v>41184</v>
      </c>
      <c r="R1988" s="7">
        <v>0.66666666666666663</v>
      </c>
      <c r="S1988" s="5">
        <v>137.5</v>
      </c>
      <c r="T1988" s="5">
        <v>140.03</v>
      </c>
      <c r="U1988" s="5">
        <v>137</v>
      </c>
      <c r="V1988" s="5">
        <v>140.03</v>
      </c>
      <c r="W1988" s="5">
        <v>4721500</v>
      </c>
    </row>
    <row r="1989" spans="1:23" x14ac:dyDescent="0.3">
      <c r="A1989" s="6">
        <v>41240</v>
      </c>
      <c r="B1989" s="7">
        <v>0.66666666666666663</v>
      </c>
      <c r="C1989" s="5">
        <v>226</v>
      </c>
      <c r="D1989" s="5">
        <v>226</v>
      </c>
      <c r="E1989" s="5">
        <v>226</v>
      </c>
      <c r="F1989" s="5">
        <v>226</v>
      </c>
      <c r="G1989" s="5">
        <v>600</v>
      </c>
      <c r="Q1989" s="6">
        <v>41185</v>
      </c>
      <c r="R1989" s="7">
        <v>0.66666666666666663</v>
      </c>
      <c r="S1989" s="5">
        <v>141</v>
      </c>
      <c r="T1989" s="5">
        <v>147.03</v>
      </c>
      <c r="U1989" s="5">
        <v>139.19999999999999</v>
      </c>
      <c r="V1989" s="5">
        <v>147.03</v>
      </c>
      <c r="W1989" s="5">
        <v>3723300</v>
      </c>
    </row>
    <row r="1990" spans="1:23" x14ac:dyDescent="0.3">
      <c r="A1990" s="6">
        <v>41241</v>
      </c>
      <c r="B1990" s="7">
        <v>0.66666666666666663</v>
      </c>
      <c r="C1990" s="5">
        <v>226</v>
      </c>
      <c r="D1990" s="5">
        <v>226</v>
      </c>
      <c r="E1990" s="5">
        <v>226</v>
      </c>
      <c r="F1990" s="5">
        <v>226</v>
      </c>
      <c r="G1990" s="5">
        <v>1000</v>
      </c>
      <c r="Q1990" s="6">
        <v>41186</v>
      </c>
      <c r="R1990" s="7">
        <v>0.66666666666666663</v>
      </c>
      <c r="S1990" s="5">
        <v>150</v>
      </c>
      <c r="T1990" s="5">
        <v>153.30000000000001</v>
      </c>
      <c r="U1990" s="5">
        <v>150</v>
      </c>
      <c r="V1990" s="5">
        <v>150.87</v>
      </c>
      <c r="W1990" s="5">
        <v>1496100</v>
      </c>
    </row>
    <row r="1991" spans="1:23" x14ac:dyDescent="0.3">
      <c r="A1991" s="6">
        <v>41242</v>
      </c>
      <c r="B1991" s="7">
        <v>0.66666666666666663</v>
      </c>
      <c r="C1991" s="5">
        <v>224.5</v>
      </c>
      <c r="D1991" s="5">
        <v>224.5</v>
      </c>
      <c r="E1991" s="5">
        <v>224.5</v>
      </c>
      <c r="F1991" s="5">
        <v>224.5</v>
      </c>
      <c r="G1991" s="5">
        <v>800</v>
      </c>
      <c r="Q1991" s="6">
        <v>41187</v>
      </c>
      <c r="R1991" s="7">
        <v>0.66666666666666663</v>
      </c>
      <c r="S1991" s="5">
        <v>150.88999999999999</v>
      </c>
      <c r="T1991" s="5">
        <v>158.41</v>
      </c>
      <c r="U1991" s="5">
        <v>148.75</v>
      </c>
      <c r="V1991" s="5">
        <v>158.30000000000001</v>
      </c>
      <c r="W1991" s="5">
        <v>2500900</v>
      </c>
    </row>
    <row r="1992" spans="1:23" x14ac:dyDescent="0.3">
      <c r="A1992" s="6">
        <v>41243</v>
      </c>
      <c r="B1992" s="7">
        <v>0.66666666666666663</v>
      </c>
      <c r="C1992" s="5">
        <v>224.5</v>
      </c>
      <c r="D1992" s="5">
        <v>225.5</v>
      </c>
      <c r="E1992" s="5">
        <v>220</v>
      </c>
      <c r="F1992" s="5">
        <v>224.68</v>
      </c>
      <c r="G1992" s="5">
        <v>8900</v>
      </c>
      <c r="Q1992" s="6">
        <v>41190</v>
      </c>
      <c r="R1992" s="7">
        <v>0.66666666666666663</v>
      </c>
      <c r="S1992" s="5">
        <v>158.05000000000001</v>
      </c>
      <c r="T1992" s="5">
        <v>163.4</v>
      </c>
      <c r="U1992" s="5">
        <v>156.5</v>
      </c>
      <c r="V1992" s="5">
        <v>159.5</v>
      </c>
      <c r="W1992" s="5">
        <v>969000</v>
      </c>
    </row>
    <row r="1993" spans="1:23" x14ac:dyDescent="0.3">
      <c r="A1993" s="6">
        <v>41247</v>
      </c>
      <c r="B1993" s="7">
        <v>0.66666666666666663</v>
      </c>
      <c r="C1993" s="5">
        <v>225</v>
      </c>
      <c r="D1993" s="5">
        <v>230</v>
      </c>
      <c r="E1993" s="5">
        <v>225</v>
      </c>
      <c r="F1993" s="5">
        <v>227.64</v>
      </c>
      <c r="G1993" s="5">
        <v>10600</v>
      </c>
      <c r="Q1993" s="6">
        <v>41191</v>
      </c>
      <c r="R1993" s="7">
        <v>0.66666666666666663</v>
      </c>
      <c r="S1993" s="5">
        <v>160</v>
      </c>
      <c r="T1993" s="5">
        <v>161.25</v>
      </c>
      <c r="U1993" s="5">
        <v>151.53</v>
      </c>
      <c r="V1993" s="5">
        <v>152.22</v>
      </c>
      <c r="W1993" s="5">
        <v>2774800</v>
      </c>
    </row>
    <row r="1994" spans="1:23" x14ac:dyDescent="0.3">
      <c r="A1994" s="6">
        <v>41248</v>
      </c>
      <c r="B1994" s="7">
        <v>0.66666666666666663</v>
      </c>
      <c r="C1994" s="5">
        <v>226</v>
      </c>
      <c r="D1994" s="5">
        <v>227</v>
      </c>
      <c r="E1994" s="5">
        <v>226</v>
      </c>
      <c r="F1994" s="5">
        <v>226.5</v>
      </c>
      <c r="G1994" s="5">
        <v>200</v>
      </c>
      <c r="Q1994" s="6">
        <v>41192</v>
      </c>
      <c r="R1994" s="7">
        <v>0.66666666666666663</v>
      </c>
      <c r="S1994" s="5">
        <v>147.22</v>
      </c>
      <c r="T1994" s="5">
        <v>147.22</v>
      </c>
      <c r="U1994" s="5">
        <v>142.05000000000001</v>
      </c>
      <c r="V1994" s="5">
        <v>143.63999999999999</v>
      </c>
      <c r="W1994" s="5">
        <v>1321900</v>
      </c>
    </row>
    <row r="1995" spans="1:23" x14ac:dyDescent="0.3">
      <c r="A1995" s="6">
        <v>41249</v>
      </c>
      <c r="B1995" s="7">
        <v>0.66666666666666663</v>
      </c>
      <c r="C1995" s="5">
        <v>225</v>
      </c>
      <c r="D1995" s="5">
        <v>228</v>
      </c>
      <c r="E1995" s="5">
        <v>225</v>
      </c>
      <c r="F1995" s="5">
        <v>227.22</v>
      </c>
      <c r="G1995" s="5">
        <v>3300</v>
      </c>
      <c r="Q1995" s="6">
        <v>41193</v>
      </c>
      <c r="R1995" s="7">
        <v>0.66666666666666663</v>
      </c>
      <c r="S1995" s="5">
        <v>144</v>
      </c>
      <c r="T1995" s="5">
        <v>145.85</v>
      </c>
      <c r="U1995" s="5">
        <v>143.55000000000001</v>
      </c>
      <c r="V1995" s="5">
        <v>144</v>
      </c>
      <c r="W1995" s="5">
        <v>446200</v>
      </c>
    </row>
    <row r="1996" spans="1:23" x14ac:dyDescent="0.3">
      <c r="A1996" s="6">
        <v>41250</v>
      </c>
      <c r="B1996" s="7">
        <v>0.66666666666666663</v>
      </c>
      <c r="C1996" s="5">
        <v>227</v>
      </c>
      <c r="D1996" s="5">
        <v>229</v>
      </c>
      <c r="E1996" s="5">
        <v>227</v>
      </c>
      <c r="F1996" s="5">
        <v>227.5</v>
      </c>
      <c r="G1996" s="5">
        <v>2100</v>
      </c>
      <c r="Q1996" s="6">
        <v>41194</v>
      </c>
      <c r="R1996" s="7">
        <v>0.66666666666666663</v>
      </c>
      <c r="S1996" s="5">
        <v>145.44</v>
      </c>
      <c r="T1996" s="5">
        <v>149.65</v>
      </c>
      <c r="U1996" s="5">
        <v>143</v>
      </c>
      <c r="V1996" s="5">
        <v>143.65</v>
      </c>
      <c r="W1996" s="5">
        <v>2324700</v>
      </c>
    </row>
    <row r="1997" spans="1:23" x14ac:dyDescent="0.3">
      <c r="A1997" s="6">
        <v>41253</v>
      </c>
      <c r="B1997" s="7">
        <v>0.66666666666666663</v>
      </c>
      <c r="C1997" s="5">
        <v>227.5</v>
      </c>
      <c r="D1997" s="5">
        <v>233</v>
      </c>
      <c r="E1997" s="5">
        <v>224</v>
      </c>
      <c r="F1997" s="5">
        <v>226.83</v>
      </c>
      <c r="G1997" s="5">
        <v>11600</v>
      </c>
      <c r="Q1997" s="6">
        <v>41197</v>
      </c>
      <c r="R1997" s="7">
        <v>0.66666666666666663</v>
      </c>
      <c r="S1997" s="5">
        <v>144.5</v>
      </c>
      <c r="T1997" s="5">
        <v>144.97</v>
      </c>
      <c r="U1997" s="5">
        <v>142.21</v>
      </c>
      <c r="V1997" s="5">
        <v>142.59</v>
      </c>
      <c r="W1997" s="5">
        <v>181600</v>
      </c>
    </row>
    <row r="1998" spans="1:23" x14ac:dyDescent="0.3">
      <c r="A1998" s="6">
        <v>41254</v>
      </c>
      <c r="B1998" s="7">
        <v>0.66666666666666663</v>
      </c>
      <c r="C1998" s="5">
        <v>222.5</v>
      </c>
      <c r="D1998" s="5">
        <v>231.5</v>
      </c>
      <c r="E1998" s="5">
        <v>222.5</v>
      </c>
      <c r="F1998" s="5">
        <v>227.69</v>
      </c>
      <c r="G1998" s="5">
        <v>14500</v>
      </c>
      <c r="Q1998" s="6">
        <v>41198</v>
      </c>
      <c r="R1998" s="7">
        <v>0.66666666666666663</v>
      </c>
      <c r="S1998" s="5">
        <v>143.5</v>
      </c>
      <c r="T1998" s="5">
        <v>147.75</v>
      </c>
      <c r="U1998" s="5">
        <v>143</v>
      </c>
      <c r="V1998" s="5">
        <v>146.94</v>
      </c>
      <c r="W1998" s="5">
        <v>1354100</v>
      </c>
    </row>
    <row r="1999" spans="1:23" x14ac:dyDescent="0.3">
      <c r="A1999" s="6">
        <v>41255</v>
      </c>
      <c r="B1999" s="7">
        <v>0.66666666666666663</v>
      </c>
      <c r="C1999" s="5">
        <v>226.2</v>
      </c>
      <c r="D1999" s="5">
        <v>226.5</v>
      </c>
      <c r="E1999" s="5">
        <v>226</v>
      </c>
      <c r="F1999" s="5">
        <v>226.25</v>
      </c>
      <c r="G1999" s="5">
        <v>400</v>
      </c>
      <c r="Q1999" s="6">
        <v>41199</v>
      </c>
      <c r="R1999" s="7">
        <v>0.66666666666666663</v>
      </c>
      <c r="S1999" s="5">
        <v>147</v>
      </c>
      <c r="T1999" s="5">
        <v>148.49</v>
      </c>
      <c r="U1999" s="5">
        <v>145.51</v>
      </c>
      <c r="V1999" s="5">
        <v>146.76</v>
      </c>
      <c r="W1999" s="5">
        <v>481400</v>
      </c>
    </row>
    <row r="2000" spans="1:23" x14ac:dyDescent="0.3">
      <c r="A2000" s="6">
        <v>41256</v>
      </c>
      <c r="B2000" s="7">
        <v>0.66666666666666663</v>
      </c>
      <c r="C2000" s="5">
        <v>227.5</v>
      </c>
      <c r="D2000" s="5">
        <v>228</v>
      </c>
      <c r="E2000" s="5">
        <v>227.5</v>
      </c>
      <c r="F2000" s="5">
        <v>227.5</v>
      </c>
      <c r="G2000" s="5">
        <v>6300</v>
      </c>
      <c r="Q2000" s="6">
        <v>41200</v>
      </c>
      <c r="R2000" s="7">
        <v>0.66666666666666663</v>
      </c>
      <c r="S2000" s="5">
        <v>151</v>
      </c>
      <c r="T2000" s="5">
        <v>154.09</v>
      </c>
      <c r="U2000" s="5">
        <v>150.19999999999999</v>
      </c>
      <c r="V2000" s="5">
        <v>154.09</v>
      </c>
      <c r="W2000" s="5">
        <v>1355500</v>
      </c>
    </row>
    <row r="2001" spans="1:23" x14ac:dyDescent="0.3">
      <c r="A2001" s="6">
        <v>41257</v>
      </c>
      <c r="B2001" s="7">
        <v>0.66666666666666663</v>
      </c>
      <c r="C2001" s="5">
        <v>225</v>
      </c>
      <c r="D2001" s="5">
        <v>225.1</v>
      </c>
      <c r="E2001" s="5">
        <v>225</v>
      </c>
      <c r="F2001" s="5">
        <v>225.1</v>
      </c>
      <c r="G2001" s="5">
        <v>400</v>
      </c>
      <c r="Q2001" s="6">
        <v>41201</v>
      </c>
      <c r="R2001" s="7">
        <v>0.66666666666666663</v>
      </c>
      <c r="S2001" s="5">
        <v>159.97999999999999</v>
      </c>
      <c r="T2001" s="5">
        <v>161.79</v>
      </c>
      <c r="U2001" s="5">
        <v>159.80000000000001</v>
      </c>
      <c r="V2001" s="5">
        <v>161.79</v>
      </c>
      <c r="W2001" s="5">
        <v>536100</v>
      </c>
    </row>
    <row r="2002" spans="1:23" x14ac:dyDescent="0.3">
      <c r="A2002" s="6">
        <v>41260</v>
      </c>
      <c r="B2002" s="7">
        <v>0.66666666666666663</v>
      </c>
      <c r="C2002" s="5">
        <v>226</v>
      </c>
      <c r="D2002" s="5">
        <v>227</v>
      </c>
      <c r="E2002" s="5">
        <v>226</v>
      </c>
      <c r="F2002" s="5">
        <v>226.99</v>
      </c>
      <c r="G2002" s="5">
        <v>5200</v>
      </c>
      <c r="Q2002" s="6">
        <v>41204</v>
      </c>
      <c r="R2002" s="7">
        <v>0.66666666666666663</v>
      </c>
      <c r="S2002" s="5">
        <v>163.96</v>
      </c>
      <c r="T2002" s="5">
        <v>169.87</v>
      </c>
      <c r="U2002" s="5">
        <v>159.69999999999999</v>
      </c>
      <c r="V2002" s="5">
        <v>169.47</v>
      </c>
      <c r="W2002" s="5">
        <v>2933400</v>
      </c>
    </row>
    <row r="2003" spans="1:23" x14ac:dyDescent="0.3">
      <c r="A2003" s="6">
        <v>41261</v>
      </c>
      <c r="B2003" s="7">
        <v>0.66666666666666663</v>
      </c>
      <c r="C2003" s="5">
        <v>227</v>
      </c>
      <c r="D2003" s="5">
        <v>228</v>
      </c>
      <c r="E2003" s="5">
        <v>226</v>
      </c>
      <c r="F2003" s="5">
        <v>226.92</v>
      </c>
      <c r="G2003" s="5">
        <v>10300</v>
      </c>
      <c r="Q2003" s="6">
        <v>41205</v>
      </c>
      <c r="R2003" s="7">
        <v>0.66666666666666663</v>
      </c>
      <c r="S2003" s="5">
        <v>171.99</v>
      </c>
      <c r="T2003" s="5">
        <v>175.8</v>
      </c>
      <c r="U2003" s="5">
        <v>169.02</v>
      </c>
      <c r="V2003" s="5">
        <v>172.08</v>
      </c>
      <c r="W2003" s="5">
        <v>2438400</v>
      </c>
    </row>
    <row r="2004" spans="1:23" x14ac:dyDescent="0.3">
      <c r="A2004" s="6">
        <v>41262</v>
      </c>
      <c r="B2004" s="7">
        <v>0.66666666666666663</v>
      </c>
      <c r="C2004" s="5">
        <v>224.2</v>
      </c>
      <c r="D2004" s="5">
        <v>230</v>
      </c>
      <c r="E2004" s="5">
        <v>222</v>
      </c>
      <c r="F2004" s="5">
        <v>227.1</v>
      </c>
      <c r="G2004" s="5">
        <v>34100</v>
      </c>
      <c r="Q2004" s="6">
        <v>41206</v>
      </c>
      <c r="R2004" s="7">
        <v>0.66666666666666663</v>
      </c>
      <c r="S2004" s="5">
        <v>172.7</v>
      </c>
      <c r="T2004" s="5">
        <v>173.4</v>
      </c>
      <c r="U2004" s="5">
        <v>169.1</v>
      </c>
      <c r="V2004" s="5">
        <v>169.65</v>
      </c>
      <c r="W2004" s="5">
        <v>1089500</v>
      </c>
    </row>
    <row r="2005" spans="1:23" x14ac:dyDescent="0.3">
      <c r="A2005" s="6">
        <v>41263</v>
      </c>
      <c r="B2005" s="7">
        <v>0.66666666666666663</v>
      </c>
      <c r="C2005" s="5">
        <v>225</v>
      </c>
      <c r="D2005" s="5">
        <v>227.99</v>
      </c>
      <c r="E2005" s="5">
        <v>224</v>
      </c>
      <c r="F2005" s="5">
        <v>225</v>
      </c>
      <c r="G2005" s="5">
        <v>18100</v>
      </c>
      <c r="Q2005" s="6">
        <v>41207</v>
      </c>
      <c r="R2005" s="7">
        <v>0.66666666666666663</v>
      </c>
      <c r="S2005" s="5">
        <v>170.5</v>
      </c>
      <c r="T2005" s="5">
        <v>174.9</v>
      </c>
      <c r="U2005" s="5">
        <v>162.61000000000001</v>
      </c>
      <c r="V2005" s="5">
        <v>172.5</v>
      </c>
      <c r="W2005" s="5">
        <v>2241600</v>
      </c>
    </row>
    <row r="2006" spans="1:23" x14ac:dyDescent="0.3">
      <c r="A2006" s="6">
        <v>41264</v>
      </c>
      <c r="B2006" s="7">
        <v>0.66666666666666663</v>
      </c>
      <c r="C2006" s="5">
        <v>222.7</v>
      </c>
      <c r="D2006" s="5">
        <v>226.5</v>
      </c>
      <c r="E2006" s="5">
        <v>221.8</v>
      </c>
      <c r="F2006" s="5">
        <v>225.01</v>
      </c>
      <c r="G2006" s="5">
        <v>54500</v>
      </c>
      <c r="Q2006" s="6">
        <v>41212</v>
      </c>
      <c r="R2006" s="7">
        <v>0.66666666666666663</v>
      </c>
      <c r="S2006" s="5">
        <v>173.5</v>
      </c>
      <c r="T2006" s="5">
        <v>175</v>
      </c>
      <c r="U2006" s="5">
        <v>170.32</v>
      </c>
      <c r="V2006" s="5">
        <v>171.58</v>
      </c>
      <c r="W2006" s="5">
        <v>689800</v>
      </c>
    </row>
    <row r="2007" spans="1:23" x14ac:dyDescent="0.3">
      <c r="A2007" s="6">
        <v>41267</v>
      </c>
      <c r="B2007" s="7">
        <v>0.66666666666666663</v>
      </c>
      <c r="C2007" s="5">
        <v>225</v>
      </c>
      <c r="D2007" s="5">
        <v>226.5</v>
      </c>
      <c r="E2007" s="5">
        <v>225</v>
      </c>
      <c r="F2007" s="5">
        <v>226.5</v>
      </c>
      <c r="G2007" s="5">
        <v>1800</v>
      </c>
      <c r="Q2007" s="6">
        <v>41213</v>
      </c>
      <c r="R2007" s="7">
        <v>0.66666666666666663</v>
      </c>
      <c r="S2007" s="5">
        <v>171.5</v>
      </c>
      <c r="T2007" s="5">
        <v>171.5</v>
      </c>
      <c r="U2007" s="5">
        <v>163.01</v>
      </c>
      <c r="V2007" s="5">
        <v>163.01</v>
      </c>
      <c r="W2007" s="5">
        <v>2532500</v>
      </c>
    </row>
    <row r="2008" spans="1:23" x14ac:dyDescent="0.3">
      <c r="A2008" s="6">
        <v>41269</v>
      </c>
      <c r="B2008" s="7">
        <v>0.66666666666666663</v>
      </c>
      <c r="C2008" s="5">
        <v>226.5</v>
      </c>
      <c r="D2008" s="5">
        <v>226.5</v>
      </c>
      <c r="E2008" s="5">
        <v>226</v>
      </c>
      <c r="F2008" s="5">
        <v>226</v>
      </c>
      <c r="G2008" s="5">
        <v>7200</v>
      </c>
      <c r="Q2008" s="6">
        <v>41214</v>
      </c>
      <c r="R2008" s="7">
        <v>0.66666666666666663</v>
      </c>
      <c r="S2008" s="5">
        <v>162</v>
      </c>
      <c r="T2008" s="5">
        <v>166.1</v>
      </c>
      <c r="U2008" s="5">
        <v>158.6</v>
      </c>
      <c r="V2008" s="5">
        <v>164.98</v>
      </c>
      <c r="W2008" s="5">
        <v>2713400</v>
      </c>
    </row>
    <row r="2009" spans="1:23" x14ac:dyDescent="0.3">
      <c r="A2009" s="6">
        <v>41270</v>
      </c>
      <c r="B2009" s="7">
        <v>0.66666666666666663</v>
      </c>
      <c r="C2009" s="5">
        <v>226.8</v>
      </c>
      <c r="D2009" s="5">
        <v>226.8</v>
      </c>
      <c r="E2009" s="5">
        <v>226.5</v>
      </c>
      <c r="F2009" s="5">
        <v>226.51</v>
      </c>
      <c r="G2009" s="5">
        <v>6100</v>
      </c>
      <c r="Q2009" s="6">
        <v>41215</v>
      </c>
      <c r="R2009" s="7">
        <v>0.66666666666666663</v>
      </c>
      <c r="S2009" s="5">
        <v>165.25</v>
      </c>
      <c r="T2009" s="5">
        <v>166.1</v>
      </c>
      <c r="U2009" s="5">
        <v>162.03</v>
      </c>
      <c r="V2009" s="5">
        <v>162.69</v>
      </c>
      <c r="W2009" s="5">
        <v>931400</v>
      </c>
    </row>
    <row r="2010" spans="1:23" x14ac:dyDescent="0.3">
      <c r="A2010" s="6">
        <v>41271</v>
      </c>
      <c r="B2010" s="7">
        <v>0.66666666666666663</v>
      </c>
      <c r="C2010" s="5">
        <v>226</v>
      </c>
      <c r="D2010" s="5">
        <v>226.45</v>
      </c>
      <c r="E2010" s="5">
        <v>226</v>
      </c>
      <c r="F2010" s="5">
        <v>226</v>
      </c>
      <c r="G2010" s="5">
        <v>11600</v>
      </c>
      <c r="Q2010" s="6">
        <v>41218</v>
      </c>
      <c r="R2010" s="7">
        <v>0.66666666666666663</v>
      </c>
      <c r="S2010" s="5">
        <v>163.1</v>
      </c>
      <c r="T2010" s="5">
        <v>163.99</v>
      </c>
      <c r="U2010" s="5">
        <v>154.99</v>
      </c>
      <c r="V2010" s="5">
        <v>156.91</v>
      </c>
      <c r="W2010" s="5">
        <v>1789100</v>
      </c>
    </row>
    <row r="2011" spans="1:23" x14ac:dyDescent="0.3">
      <c r="A2011" s="6">
        <v>41274</v>
      </c>
      <c r="B2011" s="7">
        <v>0.66666666666666663</v>
      </c>
      <c r="C2011" s="5">
        <v>226.5</v>
      </c>
      <c r="D2011" s="5">
        <v>234</v>
      </c>
      <c r="E2011" s="5">
        <v>226.25</v>
      </c>
      <c r="F2011" s="5">
        <v>229.5</v>
      </c>
      <c r="G2011" s="5">
        <v>34900</v>
      </c>
      <c r="Q2011" s="6">
        <v>41219</v>
      </c>
      <c r="R2011" s="7">
        <v>0.66666666666666663</v>
      </c>
      <c r="S2011" s="5">
        <v>155.97999999999999</v>
      </c>
      <c r="T2011" s="5">
        <v>155.97999999999999</v>
      </c>
      <c r="U2011" s="5">
        <v>150.02000000000001</v>
      </c>
      <c r="V2011" s="5">
        <v>152.38</v>
      </c>
      <c r="W2011" s="5">
        <v>3268300</v>
      </c>
    </row>
    <row r="2012" spans="1:23" x14ac:dyDescent="0.3">
      <c r="A2012" s="6">
        <v>41275</v>
      </c>
      <c r="B2012" s="7">
        <v>0.66666666666666663</v>
      </c>
      <c r="C2012" s="5">
        <v>230</v>
      </c>
      <c r="D2012" s="5">
        <v>232</v>
      </c>
      <c r="E2012" s="5">
        <v>228</v>
      </c>
      <c r="F2012" s="5">
        <v>228.14</v>
      </c>
      <c r="G2012" s="5">
        <v>4200</v>
      </c>
      <c r="Q2012" s="6">
        <v>41220</v>
      </c>
      <c r="R2012" s="7">
        <v>0.66666666666666663</v>
      </c>
      <c r="S2012" s="5">
        <v>152.6</v>
      </c>
      <c r="T2012" s="5">
        <v>159.99</v>
      </c>
      <c r="U2012" s="5">
        <v>152.6</v>
      </c>
      <c r="V2012" s="5">
        <v>159.99</v>
      </c>
      <c r="W2012" s="5">
        <v>2776000</v>
      </c>
    </row>
    <row r="2013" spans="1:23" x14ac:dyDescent="0.3">
      <c r="A2013" s="6">
        <v>41276</v>
      </c>
      <c r="B2013" s="7">
        <v>0.66666666666666663</v>
      </c>
      <c r="C2013" s="5">
        <v>228</v>
      </c>
      <c r="D2013" s="5">
        <v>228</v>
      </c>
      <c r="E2013" s="5">
        <v>216.74</v>
      </c>
      <c r="F2013" s="5">
        <v>217.67</v>
      </c>
      <c r="G2013" s="5">
        <v>2400</v>
      </c>
      <c r="Q2013" s="6">
        <v>41221</v>
      </c>
      <c r="R2013" s="7">
        <v>0.66666666666666663</v>
      </c>
      <c r="S2013" s="5">
        <v>162.1</v>
      </c>
      <c r="T2013" s="5">
        <v>167.98</v>
      </c>
      <c r="U2013" s="5">
        <v>161</v>
      </c>
      <c r="V2013" s="5">
        <v>167.6</v>
      </c>
      <c r="W2013" s="5">
        <v>4063700</v>
      </c>
    </row>
    <row r="2014" spans="1:23" x14ac:dyDescent="0.3">
      <c r="A2014" s="6">
        <v>41281</v>
      </c>
      <c r="B2014" s="7">
        <v>0.66666666666666663</v>
      </c>
      <c r="C2014" s="5">
        <v>217</v>
      </c>
      <c r="D2014" s="5">
        <v>219.96</v>
      </c>
      <c r="E2014" s="5">
        <v>213</v>
      </c>
      <c r="F2014" s="5">
        <v>213.02</v>
      </c>
      <c r="G2014" s="5">
        <v>1100</v>
      </c>
      <c r="Q2014" s="6">
        <v>41225</v>
      </c>
      <c r="R2014" s="7">
        <v>0.66666666666666663</v>
      </c>
      <c r="S2014" s="5">
        <v>167.03</v>
      </c>
      <c r="T2014" s="5">
        <v>170</v>
      </c>
      <c r="U2014" s="5">
        <v>165</v>
      </c>
      <c r="V2014" s="5">
        <v>167.64</v>
      </c>
      <c r="W2014" s="5">
        <v>1720300</v>
      </c>
    </row>
    <row r="2015" spans="1:23" x14ac:dyDescent="0.3">
      <c r="A2015" s="6">
        <v>41283</v>
      </c>
      <c r="B2015" s="7">
        <v>0.66666666666666663</v>
      </c>
      <c r="C2015" s="5">
        <v>213.02</v>
      </c>
      <c r="D2015" s="5">
        <v>213.02</v>
      </c>
      <c r="E2015" s="5">
        <v>203</v>
      </c>
      <c r="F2015" s="5">
        <v>203.67</v>
      </c>
      <c r="G2015" s="5">
        <v>3500</v>
      </c>
      <c r="Q2015" s="6">
        <v>41226</v>
      </c>
      <c r="R2015" s="7">
        <v>0.66666666666666663</v>
      </c>
      <c r="S2015" s="5">
        <v>168</v>
      </c>
      <c r="T2015" s="5">
        <v>169.45</v>
      </c>
      <c r="U2015" s="5">
        <v>166.01</v>
      </c>
      <c r="V2015" s="5">
        <v>167.86</v>
      </c>
      <c r="W2015" s="5">
        <v>985400</v>
      </c>
    </row>
    <row r="2016" spans="1:23" x14ac:dyDescent="0.3">
      <c r="A2016" s="6">
        <v>41284</v>
      </c>
      <c r="B2016" s="7">
        <v>0.66666666666666663</v>
      </c>
      <c r="C2016" s="5">
        <v>210</v>
      </c>
      <c r="D2016" s="5">
        <v>213.85</v>
      </c>
      <c r="E2016" s="5">
        <v>201.5</v>
      </c>
      <c r="F2016" s="5">
        <v>201.63</v>
      </c>
      <c r="G2016" s="5">
        <v>3400</v>
      </c>
      <c r="Q2016" s="6">
        <v>41227</v>
      </c>
      <c r="R2016" s="7">
        <v>0.66666666666666663</v>
      </c>
      <c r="S2016" s="5">
        <v>168.49</v>
      </c>
      <c r="T2016" s="5">
        <v>170.85</v>
      </c>
      <c r="U2016" s="5">
        <v>168.25</v>
      </c>
      <c r="V2016" s="5">
        <v>168.75</v>
      </c>
      <c r="W2016" s="5">
        <v>1660700</v>
      </c>
    </row>
    <row r="2017" spans="1:23" x14ac:dyDescent="0.3">
      <c r="A2017" s="6">
        <v>41285</v>
      </c>
      <c r="B2017" s="7">
        <v>0.66666666666666663</v>
      </c>
      <c r="C2017" s="5">
        <v>201.63</v>
      </c>
      <c r="D2017" s="5">
        <v>207</v>
      </c>
      <c r="E2017" s="5">
        <v>201.63</v>
      </c>
      <c r="F2017" s="5">
        <v>201.63</v>
      </c>
      <c r="G2017" s="5">
        <v>300</v>
      </c>
      <c r="Q2017" s="6">
        <v>41228</v>
      </c>
      <c r="R2017" s="7">
        <v>0.66666666666666663</v>
      </c>
      <c r="S2017" s="5">
        <v>169.2</v>
      </c>
      <c r="T2017" s="5">
        <v>176.83</v>
      </c>
      <c r="U2017" s="5">
        <v>168.75</v>
      </c>
      <c r="V2017" s="5">
        <v>174.98</v>
      </c>
      <c r="W2017" s="5">
        <v>3899800</v>
      </c>
    </row>
    <row r="2018" spans="1:23" x14ac:dyDescent="0.3">
      <c r="A2018" s="6">
        <v>41289</v>
      </c>
      <c r="B2018" s="7">
        <v>0.66666666666666663</v>
      </c>
      <c r="C2018" s="5">
        <v>206</v>
      </c>
      <c r="D2018" s="5">
        <v>206</v>
      </c>
      <c r="E2018" s="5">
        <v>197.25</v>
      </c>
      <c r="F2018" s="5">
        <v>198.23</v>
      </c>
      <c r="G2018" s="5">
        <v>7400</v>
      </c>
      <c r="Q2018" s="6">
        <v>41229</v>
      </c>
      <c r="R2018" s="7">
        <v>0.66666666666666663</v>
      </c>
      <c r="S2018" s="5">
        <v>174.55</v>
      </c>
      <c r="T2018" s="5">
        <v>175.25</v>
      </c>
      <c r="U2018" s="5">
        <v>168.75</v>
      </c>
      <c r="V2018" s="5">
        <v>170.94</v>
      </c>
      <c r="W2018" s="5">
        <v>1289100</v>
      </c>
    </row>
    <row r="2019" spans="1:23" x14ac:dyDescent="0.3">
      <c r="A2019" s="6">
        <v>41290</v>
      </c>
      <c r="B2019" s="7">
        <v>0.66666666666666663</v>
      </c>
      <c r="C2019" s="5">
        <v>206.9</v>
      </c>
      <c r="D2019" s="5">
        <v>208.14</v>
      </c>
      <c r="E2019" s="5">
        <v>206</v>
      </c>
      <c r="F2019" s="5">
        <v>207.43</v>
      </c>
      <c r="G2019" s="5">
        <v>1100</v>
      </c>
      <c r="Q2019" s="6">
        <v>41232</v>
      </c>
      <c r="R2019" s="7">
        <v>0.66666666666666663</v>
      </c>
      <c r="S2019" s="5">
        <v>169</v>
      </c>
      <c r="T2019" s="5">
        <v>170.8</v>
      </c>
      <c r="U2019" s="5">
        <v>165.65</v>
      </c>
      <c r="V2019" s="5">
        <v>166.63</v>
      </c>
      <c r="W2019" s="5">
        <v>1846900</v>
      </c>
    </row>
    <row r="2020" spans="1:23" x14ac:dyDescent="0.3">
      <c r="A2020" s="6">
        <v>41291</v>
      </c>
      <c r="B2020" s="7">
        <v>0.66666666666666663</v>
      </c>
      <c r="C2020" s="5">
        <v>203</v>
      </c>
      <c r="D2020" s="5">
        <v>206</v>
      </c>
      <c r="E2020" s="5">
        <v>202.51</v>
      </c>
      <c r="F2020" s="5">
        <v>205.42</v>
      </c>
      <c r="G2020" s="5">
        <v>900</v>
      </c>
      <c r="Q2020" s="6">
        <v>41233</v>
      </c>
      <c r="R2020" s="7">
        <v>0.66666666666666663</v>
      </c>
      <c r="S2020" s="5">
        <v>166.47</v>
      </c>
      <c r="T2020" s="5">
        <v>168.7</v>
      </c>
      <c r="U2020" s="5">
        <v>163.72</v>
      </c>
      <c r="V2020" s="5">
        <v>165.5</v>
      </c>
      <c r="W2020" s="5">
        <v>1641300</v>
      </c>
    </row>
    <row r="2021" spans="1:23" x14ac:dyDescent="0.3">
      <c r="A2021" s="6">
        <v>41292</v>
      </c>
      <c r="B2021" s="7">
        <v>0.66666666666666663</v>
      </c>
      <c r="C2021" s="5">
        <v>204</v>
      </c>
      <c r="D2021" s="5">
        <v>204</v>
      </c>
      <c r="E2021" s="5">
        <v>204</v>
      </c>
      <c r="F2021" s="5">
        <v>204</v>
      </c>
      <c r="G2021" s="5">
        <v>100</v>
      </c>
      <c r="Q2021" s="6">
        <v>41234</v>
      </c>
      <c r="R2021" s="7">
        <v>0.66666666666666663</v>
      </c>
      <c r="S2021" s="5">
        <v>164.87</v>
      </c>
      <c r="T2021" s="5">
        <v>168.2</v>
      </c>
      <c r="U2021" s="5">
        <v>163.51</v>
      </c>
      <c r="V2021" s="5">
        <v>167.58</v>
      </c>
      <c r="W2021" s="5">
        <v>2132200</v>
      </c>
    </row>
    <row r="2022" spans="1:23" x14ac:dyDescent="0.3">
      <c r="A2022" s="6">
        <v>41295</v>
      </c>
      <c r="B2022" s="7">
        <v>0.66666666666666663</v>
      </c>
      <c r="C2022" s="5">
        <v>213</v>
      </c>
      <c r="D2022" s="5">
        <v>215</v>
      </c>
      <c r="E2022" s="5">
        <v>208</v>
      </c>
      <c r="F2022" s="5">
        <v>208</v>
      </c>
      <c r="G2022" s="5">
        <v>3200</v>
      </c>
      <c r="Q2022" s="6">
        <v>41235</v>
      </c>
      <c r="R2022" s="7">
        <v>0.66666666666666663</v>
      </c>
      <c r="S2022" s="5">
        <v>167.65</v>
      </c>
      <c r="T2022" s="5">
        <v>168.5</v>
      </c>
      <c r="U2022" s="5">
        <v>166.02</v>
      </c>
      <c r="V2022" s="5">
        <v>166.58</v>
      </c>
      <c r="W2022" s="5">
        <v>859000</v>
      </c>
    </row>
    <row r="2023" spans="1:23" x14ac:dyDescent="0.3">
      <c r="A2023" s="6">
        <v>41296</v>
      </c>
      <c r="B2023" s="7">
        <v>0.66666666666666663</v>
      </c>
      <c r="C2023" s="5">
        <v>211</v>
      </c>
      <c r="D2023" s="5">
        <v>211</v>
      </c>
      <c r="E2023" s="5">
        <v>209</v>
      </c>
      <c r="F2023" s="5">
        <v>209.14</v>
      </c>
      <c r="G2023" s="5">
        <v>3700</v>
      </c>
      <c r="Q2023" s="6">
        <v>41236</v>
      </c>
      <c r="R2023" s="7">
        <v>0.66666666666666663</v>
      </c>
      <c r="S2023" s="5">
        <v>166.99</v>
      </c>
      <c r="T2023" s="5">
        <v>167.39</v>
      </c>
      <c r="U2023" s="5">
        <v>165.31</v>
      </c>
      <c r="V2023" s="5">
        <v>166</v>
      </c>
      <c r="W2023" s="5">
        <v>333300</v>
      </c>
    </row>
    <row r="2024" spans="1:23" x14ac:dyDescent="0.3">
      <c r="A2024" s="6">
        <v>41297</v>
      </c>
      <c r="B2024" s="7">
        <v>0.66666666666666663</v>
      </c>
      <c r="C2024" s="5">
        <v>211</v>
      </c>
      <c r="D2024" s="5">
        <v>211</v>
      </c>
      <c r="E2024" s="5">
        <v>210</v>
      </c>
      <c r="F2024" s="5">
        <v>211</v>
      </c>
      <c r="G2024" s="5">
        <v>2700</v>
      </c>
      <c r="Q2024" s="6">
        <v>41239</v>
      </c>
      <c r="R2024" s="7">
        <v>0.66666666666666663</v>
      </c>
      <c r="S2024" s="5">
        <v>167.45</v>
      </c>
      <c r="T2024" s="5">
        <v>168.37</v>
      </c>
      <c r="U2024" s="5">
        <v>165.5</v>
      </c>
      <c r="V2024" s="5">
        <v>165.6</v>
      </c>
      <c r="W2024" s="5">
        <v>562800</v>
      </c>
    </row>
    <row r="2025" spans="1:23" x14ac:dyDescent="0.3">
      <c r="A2025" s="6">
        <v>41298</v>
      </c>
      <c r="B2025" s="7">
        <v>0.66666666666666663</v>
      </c>
      <c r="C2025" s="5">
        <v>211.01</v>
      </c>
      <c r="D2025" s="5">
        <v>215</v>
      </c>
      <c r="E2025" s="5">
        <v>211</v>
      </c>
      <c r="F2025" s="5">
        <v>212</v>
      </c>
      <c r="G2025" s="5">
        <v>1800</v>
      </c>
      <c r="Q2025" s="6">
        <v>41240</v>
      </c>
      <c r="R2025" s="7">
        <v>0.66666666666666663</v>
      </c>
      <c r="S2025" s="5">
        <v>166.34</v>
      </c>
      <c r="T2025" s="5">
        <v>166.49</v>
      </c>
      <c r="U2025" s="5">
        <v>164.12</v>
      </c>
      <c r="V2025" s="5">
        <v>164.42</v>
      </c>
      <c r="W2025" s="5">
        <v>760700</v>
      </c>
    </row>
    <row r="2026" spans="1:23" x14ac:dyDescent="0.3">
      <c r="A2026" s="6">
        <v>41302</v>
      </c>
      <c r="B2026" s="7">
        <v>0.66666666666666663</v>
      </c>
      <c r="C2026" s="5">
        <v>214</v>
      </c>
      <c r="D2026" s="5">
        <v>214</v>
      </c>
      <c r="E2026" s="5">
        <v>212</v>
      </c>
      <c r="F2026" s="5">
        <v>212</v>
      </c>
      <c r="G2026" s="5">
        <v>100</v>
      </c>
      <c r="Q2026" s="6">
        <v>41241</v>
      </c>
      <c r="R2026" s="7">
        <v>0.66666666666666663</v>
      </c>
      <c r="S2026" s="5">
        <v>165.25</v>
      </c>
      <c r="T2026" s="5">
        <v>165.88</v>
      </c>
      <c r="U2026" s="5">
        <v>162.5</v>
      </c>
      <c r="V2026" s="5">
        <v>163.16</v>
      </c>
      <c r="W2026" s="5">
        <v>704700</v>
      </c>
    </row>
    <row r="2027" spans="1:23" x14ac:dyDescent="0.3">
      <c r="A2027" s="6">
        <v>41303</v>
      </c>
      <c r="B2027" s="7">
        <v>0.66666666666666663</v>
      </c>
      <c r="C2027" s="5">
        <v>214</v>
      </c>
      <c r="D2027" s="5">
        <v>218</v>
      </c>
      <c r="E2027" s="5">
        <v>214</v>
      </c>
      <c r="F2027" s="5">
        <v>218</v>
      </c>
      <c r="G2027" s="5">
        <v>3400</v>
      </c>
      <c r="Q2027" s="6">
        <v>41242</v>
      </c>
      <c r="R2027" s="7">
        <v>0.66666666666666663</v>
      </c>
      <c r="S2027" s="5">
        <v>163.30000000000001</v>
      </c>
      <c r="T2027" s="5">
        <v>167.85</v>
      </c>
      <c r="U2027" s="5">
        <v>163.19999999999999</v>
      </c>
      <c r="V2027" s="5">
        <v>165.55</v>
      </c>
      <c r="W2027" s="5">
        <v>1203100</v>
      </c>
    </row>
    <row r="2028" spans="1:23" x14ac:dyDescent="0.3">
      <c r="A2028" s="6">
        <v>41304</v>
      </c>
      <c r="B2028" s="7">
        <v>0.66666666666666663</v>
      </c>
      <c r="C2028" s="5">
        <v>215</v>
      </c>
      <c r="D2028" s="5">
        <v>215</v>
      </c>
      <c r="E2028" s="5">
        <v>214.01</v>
      </c>
      <c r="F2028" s="5">
        <v>214.34</v>
      </c>
      <c r="G2028" s="5">
        <v>1900</v>
      </c>
      <c r="Q2028" s="6">
        <v>41243</v>
      </c>
      <c r="R2028" s="7">
        <v>0.66666666666666663</v>
      </c>
      <c r="S2028" s="5">
        <v>166.2</v>
      </c>
      <c r="T2028" s="5">
        <v>171.99</v>
      </c>
      <c r="U2028" s="5">
        <v>166</v>
      </c>
      <c r="V2028" s="5">
        <v>170.27</v>
      </c>
      <c r="W2028" s="5">
        <v>2917400</v>
      </c>
    </row>
    <row r="2029" spans="1:23" x14ac:dyDescent="0.3">
      <c r="A2029" s="6">
        <v>41305</v>
      </c>
      <c r="B2029" s="7">
        <v>0.66666666666666663</v>
      </c>
      <c r="C2029" s="5">
        <v>214</v>
      </c>
      <c r="D2029" s="5">
        <v>214.1</v>
      </c>
      <c r="E2029" s="5">
        <v>214</v>
      </c>
      <c r="F2029" s="5">
        <v>214.01</v>
      </c>
      <c r="G2029" s="5">
        <v>5500</v>
      </c>
      <c r="Q2029" s="6">
        <v>41246</v>
      </c>
      <c r="R2029" s="7">
        <v>0.66666666666666663</v>
      </c>
      <c r="S2029" s="5">
        <v>171.2</v>
      </c>
      <c r="T2029" s="5">
        <v>172</v>
      </c>
      <c r="U2029" s="5">
        <v>167.42</v>
      </c>
      <c r="V2029" s="5">
        <v>167.83</v>
      </c>
      <c r="W2029" s="5">
        <v>631300</v>
      </c>
    </row>
    <row r="2030" spans="1:23" x14ac:dyDescent="0.3">
      <c r="A2030" s="6">
        <v>41306</v>
      </c>
      <c r="B2030" s="7">
        <v>0.66666666666666663</v>
      </c>
      <c r="C2030" s="5">
        <v>214.1</v>
      </c>
      <c r="D2030" s="5">
        <v>214.1</v>
      </c>
      <c r="E2030" s="5">
        <v>214</v>
      </c>
      <c r="F2030" s="5">
        <v>214.03</v>
      </c>
      <c r="G2030" s="5">
        <v>6400</v>
      </c>
      <c r="Q2030" s="6">
        <v>41247</v>
      </c>
      <c r="R2030" s="7">
        <v>0.66666666666666663</v>
      </c>
      <c r="S2030" s="5">
        <v>168.35</v>
      </c>
      <c r="T2030" s="5">
        <v>169.5</v>
      </c>
      <c r="U2030" s="5">
        <v>167.21</v>
      </c>
      <c r="V2030" s="5">
        <v>167.99</v>
      </c>
      <c r="W2030" s="5">
        <v>383700</v>
      </c>
    </row>
    <row r="2031" spans="1:23" x14ac:dyDescent="0.3">
      <c r="A2031" s="6">
        <v>41309</v>
      </c>
      <c r="B2031" s="7">
        <v>0.66666666666666663</v>
      </c>
      <c r="C2031" s="5">
        <v>214.1</v>
      </c>
      <c r="D2031" s="5">
        <v>214.1</v>
      </c>
      <c r="E2031" s="5">
        <v>214</v>
      </c>
      <c r="F2031" s="5">
        <v>214</v>
      </c>
      <c r="G2031" s="5">
        <v>5600</v>
      </c>
      <c r="Q2031" s="6">
        <v>41248</v>
      </c>
      <c r="R2031" s="7">
        <v>0.66666666666666663</v>
      </c>
      <c r="S2031" s="5">
        <v>168.89</v>
      </c>
      <c r="T2031" s="5">
        <v>170.1</v>
      </c>
      <c r="U2031" s="5">
        <v>167.7</v>
      </c>
      <c r="V2031" s="5">
        <v>168.17</v>
      </c>
      <c r="W2031" s="5">
        <v>259300</v>
      </c>
    </row>
    <row r="2032" spans="1:23" x14ac:dyDescent="0.3">
      <c r="A2032" s="6">
        <v>41311</v>
      </c>
      <c r="B2032" s="7">
        <v>0.66666666666666663</v>
      </c>
      <c r="C2032" s="5">
        <v>218.35</v>
      </c>
      <c r="D2032" s="5">
        <v>220</v>
      </c>
      <c r="E2032" s="5">
        <v>218.35</v>
      </c>
      <c r="F2032" s="5">
        <v>220</v>
      </c>
      <c r="G2032" s="5">
        <v>2400</v>
      </c>
      <c r="Q2032" s="6">
        <v>41249</v>
      </c>
      <c r="R2032" s="7">
        <v>0.66666666666666663</v>
      </c>
      <c r="S2032" s="5">
        <v>168.5</v>
      </c>
      <c r="T2032" s="5">
        <v>173.25</v>
      </c>
      <c r="U2032" s="5">
        <v>168.2</v>
      </c>
      <c r="V2032" s="5">
        <v>170.52</v>
      </c>
      <c r="W2032" s="5">
        <v>1962300</v>
      </c>
    </row>
    <row r="2033" spans="1:23" x14ac:dyDescent="0.3">
      <c r="A2033" s="6">
        <v>41312</v>
      </c>
      <c r="B2033" s="7">
        <v>0.66666666666666663</v>
      </c>
      <c r="C2033" s="5">
        <v>222</v>
      </c>
      <c r="D2033" s="5">
        <v>227.5</v>
      </c>
      <c r="E2033" s="5">
        <v>222</v>
      </c>
      <c r="F2033" s="5">
        <v>225.06</v>
      </c>
      <c r="G2033" s="5">
        <v>1300</v>
      </c>
      <c r="Q2033" s="6">
        <v>41250</v>
      </c>
      <c r="R2033" s="7">
        <v>0.66666666666666663</v>
      </c>
      <c r="S2033" s="5">
        <v>171.2</v>
      </c>
      <c r="T2033" s="5">
        <v>171.4</v>
      </c>
      <c r="U2033" s="5">
        <v>168.13</v>
      </c>
      <c r="V2033" s="5">
        <v>168.72</v>
      </c>
      <c r="W2033" s="5">
        <v>432600</v>
      </c>
    </row>
    <row r="2034" spans="1:23" x14ac:dyDescent="0.3">
      <c r="A2034" s="6">
        <v>41313</v>
      </c>
      <c r="B2034" s="7">
        <v>0.66666666666666663</v>
      </c>
      <c r="C2034" s="5">
        <v>226</v>
      </c>
      <c r="D2034" s="5">
        <v>226</v>
      </c>
      <c r="E2034" s="5">
        <v>225.06</v>
      </c>
      <c r="F2034" s="5">
        <v>225.06</v>
      </c>
      <c r="G2034" s="5">
        <v>100</v>
      </c>
      <c r="Q2034" s="6">
        <v>41253</v>
      </c>
      <c r="R2034" s="7">
        <v>0.66666666666666663</v>
      </c>
      <c r="S2034" s="5">
        <v>168.99</v>
      </c>
      <c r="T2034" s="5">
        <v>169.5</v>
      </c>
      <c r="U2034" s="5">
        <v>167.02</v>
      </c>
      <c r="V2034" s="5">
        <v>167.23</v>
      </c>
      <c r="W2034" s="5">
        <v>302900</v>
      </c>
    </row>
    <row r="2035" spans="1:23" x14ac:dyDescent="0.3">
      <c r="A2035" s="6">
        <v>41316</v>
      </c>
      <c r="B2035" s="7">
        <v>0.66666666666666663</v>
      </c>
      <c r="C2035" s="5">
        <v>220.35</v>
      </c>
      <c r="D2035" s="5">
        <v>225.06</v>
      </c>
      <c r="E2035" s="5">
        <v>220.35</v>
      </c>
      <c r="F2035" s="5">
        <v>225.06</v>
      </c>
      <c r="G2035" s="5">
        <v>100</v>
      </c>
      <c r="Q2035" s="6">
        <v>41254</v>
      </c>
      <c r="R2035" s="7">
        <v>0.66666666666666663</v>
      </c>
      <c r="S2035" s="5">
        <v>167.85</v>
      </c>
      <c r="T2035" s="5">
        <v>168.5</v>
      </c>
      <c r="U2035" s="5">
        <v>167</v>
      </c>
      <c r="V2035" s="5">
        <v>167.33</v>
      </c>
      <c r="W2035" s="5">
        <v>310700</v>
      </c>
    </row>
    <row r="2036" spans="1:23" x14ac:dyDescent="0.3">
      <c r="A2036" s="6">
        <v>41317</v>
      </c>
      <c r="B2036" s="7">
        <v>0.66666666666666663</v>
      </c>
      <c r="C2036" s="5">
        <v>221</v>
      </c>
      <c r="D2036" s="5">
        <v>225.06</v>
      </c>
      <c r="E2036" s="5">
        <v>221</v>
      </c>
      <c r="F2036" s="5">
        <v>225.06</v>
      </c>
      <c r="G2036" s="5">
        <v>100</v>
      </c>
      <c r="Q2036" s="6">
        <v>41255</v>
      </c>
      <c r="R2036" s="7">
        <v>0.66666666666666663</v>
      </c>
      <c r="S2036" s="5">
        <v>167.85</v>
      </c>
      <c r="T2036" s="5">
        <v>169.65</v>
      </c>
      <c r="U2036" s="5">
        <v>167.52</v>
      </c>
      <c r="V2036" s="5">
        <v>167.94</v>
      </c>
      <c r="W2036" s="5">
        <v>1757500</v>
      </c>
    </row>
    <row r="2037" spans="1:23" x14ac:dyDescent="0.3">
      <c r="A2037" s="6">
        <v>41318</v>
      </c>
      <c r="B2037" s="7">
        <v>0.66666666666666663</v>
      </c>
      <c r="C2037" s="5">
        <v>225.06</v>
      </c>
      <c r="D2037" s="5">
        <v>226.99</v>
      </c>
      <c r="E2037" s="5">
        <v>219</v>
      </c>
      <c r="F2037" s="5">
        <v>226.04</v>
      </c>
      <c r="G2037" s="5">
        <v>7000</v>
      </c>
      <c r="Q2037" s="6">
        <v>41256</v>
      </c>
      <c r="R2037" s="7">
        <v>0.66666666666666663</v>
      </c>
      <c r="S2037" s="5">
        <v>168.4</v>
      </c>
      <c r="T2037" s="5">
        <v>172.4</v>
      </c>
      <c r="U2037" s="5">
        <v>168.26</v>
      </c>
      <c r="V2037" s="5">
        <v>170.79</v>
      </c>
      <c r="W2037" s="5">
        <v>1629300</v>
      </c>
    </row>
    <row r="2038" spans="1:23" x14ac:dyDescent="0.3">
      <c r="A2038" s="6">
        <v>41319</v>
      </c>
      <c r="B2038" s="7">
        <v>0.66666666666666663</v>
      </c>
      <c r="C2038" s="5">
        <v>226.04</v>
      </c>
      <c r="D2038" s="5">
        <v>226.04</v>
      </c>
      <c r="E2038" s="5">
        <v>219</v>
      </c>
      <c r="F2038" s="5">
        <v>220</v>
      </c>
      <c r="G2038" s="5">
        <v>12500</v>
      </c>
      <c r="Q2038" s="6">
        <v>41257</v>
      </c>
      <c r="R2038" s="7">
        <v>0.66666666666666663</v>
      </c>
      <c r="S2038" s="5">
        <v>171.24</v>
      </c>
      <c r="T2038" s="5">
        <v>175.25</v>
      </c>
      <c r="U2038" s="5">
        <v>171</v>
      </c>
      <c r="V2038" s="5">
        <v>173.31</v>
      </c>
      <c r="W2038" s="5">
        <v>1679800</v>
      </c>
    </row>
    <row r="2039" spans="1:23" x14ac:dyDescent="0.3">
      <c r="A2039" s="6">
        <v>41320</v>
      </c>
      <c r="B2039" s="7">
        <v>0.66666666666666663</v>
      </c>
      <c r="C2039" s="5">
        <v>220</v>
      </c>
      <c r="D2039" s="5">
        <v>220</v>
      </c>
      <c r="E2039" s="5">
        <v>218.25</v>
      </c>
      <c r="F2039" s="5">
        <v>220</v>
      </c>
      <c r="G2039" s="5">
        <v>1600</v>
      </c>
      <c r="Q2039" s="6">
        <v>41260</v>
      </c>
      <c r="R2039" s="7">
        <v>0.66666666666666663</v>
      </c>
      <c r="S2039" s="5">
        <v>174.11</v>
      </c>
      <c r="T2039" s="5">
        <v>174.11</v>
      </c>
      <c r="U2039" s="5">
        <v>170.02</v>
      </c>
      <c r="V2039" s="5">
        <v>170.34</v>
      </c>
      <c r="W2039" s="5">
        <v>503900</v>
      </c>
    </row>
    <row r="2040" spans="1:23" x14ac:dyDescent="0.3">
      <c r="A2040" s="6">
        <v>41323</v>
      </c>
      <c r="B2040" s="7">
        <v>0.66666666666666663</v>
      </c>
      <c r="C2040" s="5">
        <v>220</v>
      </c>
      <c r="D2040" s="5">
        <v>220.01</v>
      </c>
      <c r="E2040" s="5">
        <v>220</v>
      </c>
      <c r="F2040" s="5">
        <v>220.01</v>
      </c>
      <c r="G2040" s="5">
        <v>300</v>
      </c>
      <c r="Q2040" s="6">
        <v>41261</v>
      </c>
      <c r="R2040" s="7">
        <v>0.66666666666666663</v>
      </c>
      <c r="S2040" s="5">
        <v>170.34</v>
      </c>
      <c r="T2040" s="5">
        <v>171.9</v>
      </c>
      <c r="U2040" s="5">
        <v>169.75</v>
      </c>
      <c r="V2040" s="5">
        <v>170.04</v>
      </c>
      <c r="W2040" s="5">
        <v>369700</v>
      </c>
    </row>
    <row r="2041" spans="1:23" x14ac:dyDescent="0.3">
      <c r="A2041" s="6">
        <v>41324</v>
      </c>
      <c r="B2041" s="7">
        <v>0.66666666666666663</v>
      </c>
      <c r="C2041" s="5">
        <v>220</v>
      </c>
      <c r="D2041" s="5">
        <v>221.5</v>
      </c>
      <c r="E2041" s="5">
        <v>220</v>
      </c>
      <c r="F2041" s="5">
        <v>221.5</v>
      </c>
      <c r="G2041" s="5">
        <v>2800</v>
      </c>
      <c r="Q2041" s="6">
        <v>41262</v>
      </c>
      <c r="R2041" s="7">
        <v>0.66666666666666663</v>
      </c>
      <c r="S2041" s="5">
        <v>170.49</v>
      </c>
      <c r="T2041" s="5">
        <v>171.65</v>
      </c>
      <c r="U2041" s="5">
        <v>169.92</v>
      </c>
      <c r="V2041" s="5">
        <v>171.03</v>
      </c>
      <c r="W2041" s="5">
        <v>345900</v>
      </c>
    </row>
    <row r="2042" spans="1:23" x14ac:dyDescent="0.3">
      <c r="A2042" s="6">
        <v>41325</v>
      </c>
      <c r="B2042" s="7">
        <v>0.66666666666666663</v>
      </c>
      <c r="C2042" s="5">
        <v>213</v>
      </c>
      <c r="D2042" s="5">
        <v>220</v>
      </c>
      <c r="E2042" s="5">
        <v>212</v>
      </c>
      <c r="F2042" s="5">
        <v>217.39</v>
      </c>
      <c r="G2042" s="5">
        <v>1600</v>
      </c>
      <c r="Q2042" s="6">
        <v>41263</v>
      </c>
      <c r="R2042" s="7">
        <v>0.66666666666666663</v>
      </c>
      <c r="S2042" s="5">
        <v>171.49</v>
      </c>
      <c r="T2042" s="5">
        <v>172.25</v>
      </c>
      <c r="U2042" s="5">
        <v>170.6</v>
      </c>
      <c r="V2042" s="5">
        <v>170.96</v>
      </c>
      <c r="W2042" s="5">
        <v>625400</v>
      </c>
    </row>
    <row r="2043" spans="1:23" x14ac:dyDescent="0.3">
      <c r="A2043" s="6">
        <v>41326</v>
      </c>
      <c r="B2043" s="7">
        <v>0.66666666666666663</v>
      </c>
      <c r="C2043" s="5">
        <v>218</v>
      </c>
      <c r="D2043" s="5">
        <v>220</v>
      </c>
      <c r="E2043" s="5">
        <v>210</v>
      </c>
      <c r="F2043" s="5">
        <v>220</v>
      </c>
      <c r="G2043" s="5">
        <v>15000</v>
      </c>
      <c r="Q2043" s="6">
        <v>41264</v>
      </c>
      <c r="R2043" s="7">
        <v>0.66666666666666663</v>
      </c>
      <c r="S2043" s="5">
        <v>171</v>
      </c>
      <c r="T2043" s="5">
        <v>171.35</v>
      </c>
      <c r="U2043" s="5">
        <v>168.81</v>
      </c>
      <c r="V2043" s="5">
        <v>169.01</v>
      </c>
      <c r="W2043" s="5">
        <v>365900</v>
      </c>
    </row>
    <row r="2044" spans="1:23" x14ac:dyDescent="0.3">
      <c r="A2044" s="6">
        <v>41327</v>
      </c>
      <c r="B2044" s="7">
        <v>0.66666666666666663</v>
      </c>
      <c r="C2044" s="5">
        <v>220</v>
      </c>
      <c r="D2044" s="5">
        <v>220</v>
      </c>
      <c r="E2044" s="5">
        <v>220</v>
      </c>
      <c r="F2044" s="5">
        <v>220</v>
      </c>
      <c r="G2044" s="5">
        <v>300</v>
      </c>
      <c r="Q2044" s="6">
        <v>41267</v>
      </c>
      <c r="R2044" s="7">
        <v>0.66666666666666663</v>
      </c>
      <c r="S2044" s="5">
        <v>169.58</v>
      </c>
      <c r="T2044" s="5">
        <v>169.58</v>
      </c>
      <c r="U2044" s="5">
        <v>167.55</v>
      </c>
      <c r="V2044" s="5">
        <v>168.31</v>
      </c>
      <c r="W2044" s="5">
        <v>231300</v>
      </c>
    </row>
    <row r="2045" spans="1:23" x14ac:dyDescent="0.3">
      <c r="A2045" s="6">
        <v>41330</v>
      </c>
      <c r="B2045" s="7">
        <v>0.66666666666666663</v>
      </c>
      <c r="C2045" s="5">
        <v>213</v>
      </c>
      <c r="D2045" s="5">
        <v>220</v>
      </c>
      <c r="E2045" s="5">
        <v>212.8</v>
      </c>
      <c r="F2045" s="5">
        <v>217.78</v>
      </c>
      <c r="G2045" s="5">
        <v>7900</v>
      </c>
      <c r="Q2045" s="6">
        <v>41269</v>
      </c>
      <c r="R2045" s="7">
        <v>0.66666666666666663</v>
      </c>
      <c r="S2045" s="5">
        <v>169</v>
      </c>
      <c r="T2045" s="5">
        <v>170.69</v>
      </c>
      <c r="U2045" s="5">
        <v>168.1</v>
      </c>
      <c r="V2045" s="5">
        <v>168.78</v>
      </c>
      <c r="W2045" s="5">
        <v>417400</v>
      </c>
    </row>
    <row r="2046" spans="1:23" x14ac:dyDescent="0.3">
      <c r="A2046" s="6">
        <v>41331</v>
      </c>
      <c r="B2046" s="7">
        <v>0.66666666666666663</v>
      </c>
      <c r="C2046" s="5">
        <v>215</v>
      </c>
      <c r="D2046" s="5">
        <v>220</v>
      </c>
      <c r="E2046" s="5">
        <v>212</v>
      </c>
      <c r="F2046" s="5">
        <v>218.94</v>
      </c>
      <c r="G2046" s="5">
        <v>9700</v>
      </c>
      <c r="Q2046" s="6">
        <v>41270</v>
      </c>
      <c r="R2046" s="7">
        <v>0.66666666666666663</v>
      </c>
      <c r="S2046" s="5">
        <v>169.05</v>
      </c>
      <c r="T2046" s="5">
        <v>169.6</v>
      </c>
      <c r="U2046" s="5">
        <v>168.22</v>
      </c>
      <c r="V2046" s="5">
        <v>168.46</v>
      </c>
      <c r="W2046" s="5">
        <v>385300</v>
      </c>
    </row>
    <row r="2047" spans="1:23" x14ac:dyDescent="0.3">
      <c r="A2047" s="6">
        <v>41333</v>
      </c>
      <c r="B2047" s="7">
        <v>0.66666666666666663</v>
      </c>
      <c r="C2047" s="5">
        <v>221.45</v>
      </c>
      <c r="D2047" s="5">
        <v>221.45</v>
      </c>
      <c r="E2047" s="5">
        <v>218.94</v>
      </c>
      <c r="F2047" s="5">
        <v>218.94</v>
      </c>
      <c r="G2047" s="5">
        <v>100</v>
      </c>
      <c r="Q2047" s="6">
        <v>41271</v>
      </c>
      <c r="R2047" s="7">
        <v>0.66666666666666663</v>
      </c>
      <c r="S2047" s="5">
        <v>168.6</v>
      </c>
      <c r="T2047" s="5">
        <v>169.5</v>
      </c>
      <c r="U2047" s="5">
        <v>167.76</v>
      </c>
      <c r="V2047" s="5">
        <v>168.34</v>
      </c>
      <c r="W2047" s="5">
        <v>609100</v>
      </c>
    </row>
    <row r="2048" spans="1:23" x14ac:dyDescent="0.3">
      <c r="A2048" s="6">
        <v>41334</v>
      </c>
      <c r="B2048" s="7">
        <v>0.66666666666666663</v>
      </c>
      <c r="C2048" s="5">
        <v>213.25</v>
      </c>
      <c r="D2048" s="5">
        <v>220</v>
      </c>
      <c r="E2048" s="5">
        <v>209</v>
      </c>
      <c r="F2048" s="5">
        <v>209.6</v>
      </c>
      <c r="G2048" s="5">
        <v>36300</v>
      </c>
      <c r="Q2048" s="6">
        <v>41274</v>
      </c>
      <c r="R2048" s="7">
        <v>0.66666666666666663</v>
      </c>
      <c r="S2048" s="5">
        <v>167.14</v>
      </c>
      <c r="T2048" s="5">
        <v>169.95</v>
      </c>
      <c r="U2048" s="5">
        <v>167.14</v>
      </c>
      <c r="V2048" s="5">
        <v>167.58</v>
      </c>
      <c r="W2048" s="5">
        <v>220300</v>
      </c>
    </row>
    <row r="2049" spans="1:23" x14ac:dyDescent="0.3">
      <c r="A2049" s="6">
        <v>41337</v>
      </c>
      <c r="B2049" s="7">
        <v>0.66666666666666663</v>
      </c>
      <c r="C2049" s="5">
        <v>214.95</v>
      </c>
      <c r="D2049" s="5">
        <v>215</v>
      </c>
      <c r="E2049" s="5">
        <v>209.1</v>
      </c>
      <c r="F2049" s="5">
        <v>211.53</v>
      </c>
      <c r="G2049" s="5">
        <v>1200</v>
      </c>
      <c r="Q2049" s="6">
        <v>41275</v>
      </c>
      <c r="R2049" s="7">
        <v>0.66666666666666663</v>
      </c>
      <c r="S2049" s="5">
        <v>168.02</v>
      </c>
      <c r="T2049" s="5">
        <v>169.89</v>
      </c>
      <c r="U2049" s="5">
        <v>167.15</v>
      </c>
      <c r="V2049" s="5">
        <v>167.41</v>
      </c>
      <c r="W2049" s="5">
        <v>259800</v>
      </c>
    </row>
    <row r="2050" spans="1:23" x14ac:dyDescent="0.3">
      <c r="A2050" s="6">
        <v>41338</v>
      </c>
      <c r="B2050" s="7">
        <v>0.66666666666666663</v>
      </c>
      <c r="C2050" s="5">
        <v>209.01</v>
      </c>
      <c r="D2050" s="5">
        <v>210</v>
      </c>
      <c r="E2050" s="5">
        <v>209</v>
      </c>
      <c r="F2050" s="5">
        <v>210</v>
      </c>
      <c r="G2050" s="5">
        <v>1800</v>
      </c>
      <c r="Q2050" s="6">
        <v>41276</v>
      </c>
      <c r="R2050" s="7">
        <v>0.66666666666666663</v>
      </c>
      <c r="S2050" s="5">
        <v>167.65</v>
      </c>
      <c r="T2050" s="5">
        <v>167.99</v>
      </c>
      <c r="U2050" s="5">
        <v>161.02000000000001</v>
      </c>
      <c r="V2050" s="5">
        <v>163.12</v>
      </c>
      <c r="W2050" s="5">
        <v>542800</v>
      </c>
    </row>
    <row r="2051" spans="1:23" x14ac:dyDescent="0.3">
      <c r="A2051" s="6">
        <v>41339</v>
      </c>
      <c r="B2051" s="7">
        <v>0.66666666666666663</v>
      </c>
      <c r="C2051" s="5">
        <v>214.99</v>
      </c>
      <c r="D2051" s="5">
        <v>214.99</v>
      </c>
      <c r="E2051" s="5">
        <v>205.05</v>
      </c>
      <c r="F2051" s="5">
        <v>210</v>
      </c>
      <c r="G2051" s="5">
        <v>2500</v>
      </c>
      <c r="Q2051" s="6">
        <v>41277</v>
      </c>
      <c r="R2051" s="7">
        <v>0.66666666666666663</v>
      </c>
      <c r="S2051" s="5">
        <v>163</v>
      </c>
      <c r="T2051" s="5">
        <v>164</v>
      </c>
      <c r="U2051" s="5">
        <v>161.75</v>
      </c>
      <c r="V2051" s="5">
        <v>163.03</v>
      </c>
      <c r="W2051" s="5">
        <v>113400</v>
      </c>
    </row>
    <row r="2052" spans="1:23" x14ac:dyDescent="0.3">
      <c r="A2052" s="6">
        <v>41340</v>
      </c>
      <c r="B2052" s="7">
        <v>0.66666666666666663</v>
      </c>
      <c r="C2052" s="5">
        <v>210</v>
      </c>
      <c r="D2052" s="5">
        <v>214</v>
      </c>
      <c r="E2052" s="5">
        <v>210</v>
      </c>
      <c r="F2052" s="5">
        <v>210</v>
      </c>
      <c r="G2052" s="5">
        <v>900</v>
      </c>
      <c r="Q2052" s="6">
        <v>41278</v>
      </c>
      <c r="R2052" s="7">
        <v>0.66666666666666663</v>
      </c>
      <c r="S2052" s="5">
        <v>163.5</v>
      </c>
      <c r="T2052" s="5">
        <v>164.5</v>
      </c>
      <c r="U2052" s="5">
        <v>163.26</v>
      </c>
      <c r="V2052" s="5">
        <v>163.83000000000001</v>
      </c>
      <c r="W2052" s="5">
        <v>97200</v>
      </c>
    </row>
    <row r="2053" spans="1:23" x14ac:dyDescent="0.3">
      <c r="A2053" s="6">
        <v>41341</v>
      </c>
      <c r="B2053" s="7">
        <v>0.66666666666666663</v>
      </c>
      <c r="C2053" s="5">
        <v>203.3</v>
      </c>
      <c r="D2053" s="5">
        <v>209.98</v>
      </c>
      <c r="E2053" s="5">
        <v>203.3</v>
      </c>
      <c r="F2053" s="5">
        <v>209.92</v>
      </c>
      <c r="G2053" s="5">
        <v>3000</v>
      </c>
      <c r="Q2053" s="6">
        <v>41281</v>
      </c>
      <c r="R2053" s="7">
        <v>0.66666666666666663</v>
      </c>
      <c r="S2053" s="5">
        <v>163.65</v>
      </c>
      <c r="T2053" s="5">
        <v>163.65</v>
      </c>
      <c r="U2053" s="5">
        <v>161.25</v>
      </c>
      <c r="V2053" s="5">
        <v>162.32</v>
      </c>
      <c r="W2053" s="5">
        <v>196500</v>
      </c>
    </row>
    <row r="2054" spans="1:23" x14ac:dyDescent="0.3">
      <c r="A2054" s="6">
        <v>41344</v>
      </c>
      <c r="B2054" s="7">
        <v>0.66666666666666663</v>
      </c>
      <c r="C2054" s="5">
        <v>205</v>
      </c>
      <c r="D2054" s="5">
        <v>205</v>
      </c>
      <c r="E2054" s="5">
        <v>204</v>
      </c>
      <c r="F2054" s="5">
        <v>204.67</v>
      </c>
      <c r="G2054" s="5">
        <v>500</v>
      </c>
      <c r="Q2054" s="6">
        <v>41282</v>
      </c>
      <c r="R2054" s="7">
        <v>0.66666666666666663</v>
      </c>
      <c r="S2054" s="5">
        <v>162</v>
      </c>
      <c r="T2054" s="5">
        <v>166</v>
      </c>
      <c r="U2054" s="5">
        <v>162</v>
      </c>
      <c r="V2054" s="5">
        <v>165.43</v>
      </c>
      <c r="W2054" s="5">
        <v>339900</v>
      </c>
    </row>
    <row r="2055" spans="1:23" x14ac:dyDescent="0.3">
      <c r="A2055" s="6">
        <v>41346</v>
      </c>
      <c r="B2055" s="7">
        <v>0.66666666666666663</v>
      </c>
      <c r="C2055" s="5">
        <v>200</v>
      </c>
      <c r="D2055" s="5">
        <v>210</v>
      </c>
      <c r="E2055" s="5">
        <v>200</v>
      </c>
      <c r="F2055" s="5">
        <v>209.17</v>
      </c>
      <c r="G2055" s="5">
        <v>3100</v>
      </c>
      <c r="Q2055" s="6">
        <v>41283</v>
      </c>
      <c r="R2055" s="7">
        <v>0.66666666666666663</v>
      </c>
      <c r="S2055" s="5">
        <v>165.43</v>
      </c>
      <c r="T2055" s="5">
        <v>165.9</v>
      </c>
      <c r="U2055" s="5">
        <v>164.1</v>
      </c>
      <c r="V2055" s="5">
        <v>164.6</v>
      </c>
      <c r="W2055" s="5">
        <v>125400</v>
      </c>
    </row>
    <row r="2056" spans="1:23" x14ac:dyDescent="0.3">
      <c r="A2056" s="6">
        <v>41347</v>
      </c>
      <c r="B2056" s="7">
        <v>0.66666666666666663</v>
      </c>
      <c r="C2056" s="5">
        <v>205</v>
      </c>
      <c r="D2056" s="5">
        <v>209.75</v>
      </c>
      <c r="E2056" s="5">
        <v>205</v>
      </c>
      <c r="F2056" s="5">
        <v>209.73</v>
      </c>
      <c r="G2056" s="5">
        <v>500</v>
      </c>
      <c r="Q2056" s="6">
        <v>41284</v>
      </c>
      <c r="R2056" s="7">
        <v>0.66666666666666663</v>
      </c>
      <c r="S2056" s="5">
        <v>164.6</v>
      </c>
      <c r="T2056" s="5">
        <v>165</v>
      </c>
      <c r="U2056" s="5">
        <v>162.4</v>
      </c>
      <c r="V2056" s="5">
        <v>162.77000000000001</v>
      </c>
      <c r="W2056" s="5">
        <v>116200</v>
      </c>
    </row>
    <row r="2057" spans="1:23" x14ac:dyDescent="0.3">
      <c r="A2057" s="6">
        <v>41348</v>
      </c>
      <c r="B2057" s="7">
        <v>0.66666666666666663</v>
      </c>
      <c r="C2057" s="5">
        <v>204</v>
      </c>
      <c r="D2057" s="5">
        <v>207.9</v>
      </c>
      <c r="E2057" s="5">
        <v>201</v>
      </c>
      <c r="F2057" s="5">
        <v>204.46</v>
      </c>
      <c r="G2057" s="5">
        <v>900</v>
      </c>
      <c r="Q2057" s="6">
        <v>41285</v>
      </c>
      <c r="R2057" s="7">
        <v>0.66666666666666663</v>
      </c>
      <c r="S2057" s="5">
        <v>162.80000000000001</v>
      </c>
      <c r="T2057" s="5">
        <v>164.89</v>
      </c>
      <c r="U2057" s="5">
        <v>157.5</v>
      </c>
      <c r="V2057" s="5">
        <v>158.30000000000001</v>
      </c>
      <c r="W2057" s="5">
        <v>714000</v>
      </c>
    </row>
    <row r="2058" spans="1:23" x14ac:dyDescent="0.3">
      <c r="A2058" s="6">
        <v>41351</v>
      </c>
      <c r="B2058" s="7">
        <v>0.66666666666666663</v>
      </c>
      <c r="C2058" s="5">
        <v>204</v>
      </c>
      <c r="D2058" s="5">
        <v>210</v>
      </c>
      <c r="E2058" s="5">
        <v>204</v>
      </c>
      <c r="F2058" s="5">
        <v>209.07</v>
      </c>
      <c r="G2058" s="5">
        <v>4000</v>
      </c>
      <c r="Q2058" s="6">
        <v>41288</v>
      </c>
      <c r="R2058" s="7">
        <v>0.66666666666666663</v>
      </c>
      <c r="S2058" s="5">
        <v>158.30000000000001</v>
      </c>
      <c r="T2058" s="5">
        <v>158.6</v>
      </c>
      <c r="U2058" s="5">
        <v>155.81</v>
      </c>
      <c r="V2058" s="5">
        <v>157.65</v>
      </c>
      <c r="W2058" s="5">
        <v>122100</v>
      </c>
    </row>
    <row r="2059" spans="1:23" x14ac:dyDescent="0.3">
      <c r="A2059" s="6">
        <v>41352</v>
      </c>
      <c r="B2059" s="7">
        <v>0.66666666666666663</v>
      </c>
      <c r="C2059" s="5">
        <v>208</v>
      </c>
      <c r="D2059" s="5">
        <v>210</v>
      </c>
      <c r="E2059" s="5">
        <v>208</v>
      </c>
      <c r="F2059" s="5">
        <v>209.4</v>
      </c>
      <c r="G2059" s="5">
        <v>3000</v>
      </c>
      <c r="Q2059" s="6">
        <v>41289</v>
      </c>
      <c r="R2059" s="7">
        <v>0.66666666666666663</v>
      </c>
      <c r="S2059" s="5">
        <v>156.65</v>
      </c>
      <c r="T2059" s="5">
        <v>159.6</v>
      </c>
      <c r="U2059" s="5">
        <v>150</v>
      </c>
      <c r="V2059" s="5">
        <v>150.55000000000001</v>
      </c>
      <c r="W2059" s="5">
        <v>493300</v>
      </c>
    </row>
    <row r="2060" spans="1:23" x14ac:dyDescent="0.3">
      <c r="A2060" s="6">
        <v>41353</v>
      </c>
      <c r="B2060" s="7">
        <v>0.66666666666666663</v>
      </c>
      <c r="C2060" s="5">
        <v>211.99</v>
      </c>
      <c r="D2060" s="5">
        <v>211.99</v>
      </c>
      <c r="E2060" s="5">
        <v>211.99</v>
      </c>
      <c r="F2060" s="5">
        <v>209.4</v>
      </c>
      <c r="G2060" s="5">
        <v>100</v>
      </c>
      <c r="Q2060" s="6">
        <v>41290</v>
      </c>
      <c r="R2060" s="7">
        <v>0.66666666666666663</v>
      </c>
      <c r="S2060" s="5">
        <v>150.25</v>
      </c>
      <c r="T2060" s="5">
        <v>155.25</v>
      </c>
      <c r="U2060" s="5">
        <v>148.12</v>
      </c>
      <c r="V2060" s="5">
        <v>154.15</v>
      </c>
      <c r="W2060" s="5">
        <v>845400</v>
      </c>
    </row>
    <row r="2061" spans="1:23" x14ac:dyDescent="0.3">
      <c r="A2061" s="6">
        <v>41358</v>
      </c>
      <c r="B2061" s="7">
        <v>0.66666666666666663</v>
      </c>
      <c r="C2061" s="5">
        <v>205</v>
      </c>
      <c r="D2061" s="5">
        <v>209.99</v>
      </c>
      <c r="E2061" s="5">
        <v>204.15</v>
      </c>
      <c r="F2061" s="5">
        <v>208.8</v>
      </c>
      <c r="G2061" s="5">
        <v>2500</v>
      </c>
      <c r="Q2061" s="6">
        <v>41291</v>
      </c>
      <c r="R2061" s="7">
        <v>0.66666666666666663</v>
      </c>
      <c r="S2061" s="5">
        <v>155.97999999999999</v>
      </c>
      <c r="T2061" s="5">
        <v>159.25</v>
      </c>
      <c r="U2061" s="5">
        <v>155.02000000000001</v>
      </c>
      <c r="V2061" s="5">
        <v>157.26</v>
      </c>
      <c r="W2061" s="5">
        <v>744900</v>
      </c>
    </row>
    <row r="2062" spans="1:23" x14ac:dyDescent="0.3">
      <c r="A2062" s="6">
        <v>41359</v>
      </c>
      <c r="B2062" s="7">
        <v>0.66666666666666663</v>
      </c>
      <c r="C2062" s="5">
        <v>204.25</v>
      </c>
      <c r="D2062" s="5">
        <v>209</v>
      </c>
      <c r="E2062" s="5">
        <v>204.15</v>
      </c>
      <c r="F2062" s="5">
        <v>209</v>
      </c>
      <c r="G2062" s="5">
        <v>2000</v>
      </c>
      <c r="Q2062" s="6">
        <v>41292</v>
      </c>
      <c r="R2062" s="7">
        <v>0.66666666666666663</v>
      </c>
      <c r="S2062" s="5">
        <v>160.5</v>
      </c>
      <c r="T2062" s="5">
        <v>165.12</v>
      </c>
      <c r="U2062" s="5">
        <v>160.5</v>
      </c>
      <c r="V2062" s="5">
        <v>165.12</v>
      </c>
      <c r="W2062" s="5">
        <v>914000</v>
      </c>
    </row>
    <row r="2063" spans="1:23" x14ac:dyDescent="0.3">
      <c r="A2063" s="6">
        <v>41361</v>
      </c>
      <c r="B2063" s="7">
        <v>0.66666666666666663</v>
      </c>
      <c r="C2063" s="5">
        <v>206</v>
      </c>
      <c r="D2063" s="5">
        <v>209</v>
      </c>
      <c r="E2063" s="5">
        <v>206</v>
      </c>
      <c r="F2063" s="5">
        <v>207.5</v>
      </c>
      <c r="G2063" s="5">
        <v>200</v>
      </c>
      <c r="Q2063" s="6">
        <v>41295</v>
      </c>
      <c r="R2063" s="7">
        <v>0.66666666666666663</v>
      </c>
      <c r="S2063" s="5">
        <v>167.01</v>
      </c>
      <c r="T2063" s="5">
        <v>172.4</v>
      </c>
      <c r="U2063" s="5">
        <v>162.5</v>
      </c>
      <c r="V2063" s="5">
        <v>164.53</v>
      </c>
      <c r="W2063" s="5">
        <v>2824400</v>
      </c>
    </row>
    <row r="2064" spans="1:23" x14ac:dyDescent="0.3">
      <c r="A2064" s="6">
        <v>41362</v>
      </c>
      <c r="B2064" s="7">
        <v>0.66666666666666663</v>
      </c>
      <c r="C2064" s="5">
        <v>209</v>
      </c>
      <c r="D2064" s="5">
        <v>209</v>
      </c>
      <c r="E2064" s="5">
        <v>209</v>
      </c>
      <c r="F2064" s="5">
        <v>207.5</v>
      </c>
      <c r="G2064" s="5">
        <v>100</v>
      </c>
      <c r="Q2064" s="6">
        <v>41296</v>
      </c>
      <c r="R2064" s="7">
        <v>0.66666666666666663</v>
      </c>
      <c r="S2064" s="5">
        <v>163.5</v>
      </c>
      <c r="T2064" s="5">
        <v>170.45</v>
      </c>
      <c r="U2064" s="5">
        <v>163.05000000000001</v>
      </c>
      <c r="V2064" s="5">
        <v>168.88</v>
      </c>
      <c r="W2064" s="5">
        <v>2040400</v>
      </c>
    </row>
    <row r="2065" spans="1:23" x14ac:dyDescent="0.3">
      <c r="A2065" s="6">
        <v>41365</v>
      </c>
      <c r="B2065" s="7">
        <v>0.66666666666666663</v>
      </c>
      <c r="C2065" s="5">
        <v>200.55</v>
      </c>
      <c r="D2065" s="5">
        <v>217.87</v>
      </c>
      <c r="E2065" s="5">
        <v>200.55</v>
      </c>
      <c r="F2065" s="5">
        <v>217.16</v>
      </c>
      <c r="G2065" s="5">
        <v>4900</v>
      </c>
      <c r="Q2065" s="6">
        <v>41297</v>
      </c>
      <c r="R2065" s="7">
        <v>0.66666666666666663</v>
      </c>
      <c r="S2065" s="5">
        <v>170.49</v>
      </c>
      <c r="T2065" s="5">
        <v>171.4</v>
      </c>
      <c r="U2065" s="5">
        <v>167.8</v>
      </c>
      <c r="V2065" s="5">
        <v>169.07</v>
      </c>
      <c r="W2065" s="5">
        <v>1152900</v>
      </c>
    </row>
    <row r="2066" spans="1:23" x14ac:dyDescent="0.3">
      <c r="A2066" s="6">
        <v>41366</v>
      </c>
      <c r="B2066" s="7">
        <v>0.66666666666666663</v>
      </c>
      <c r="C2066" s="5">
        <v>216.95</v>
      </c>
      <c r="D2066" s="5">
        <v>217</v>
      </c>
      <c r="E2066" s="5">
        <v>212.5</v>
      </c>
      <c r="F2066" s="5">
        <v>217</v>
      </c>
      <c r="G2066" s="5">
        <v>3800</v>
      </c>
      <c r="Q2066" s="6">
        <v>41298</v>
      </c>
      <c r="R2066" s="7">
        <v>0.66666666666666663</v>
      </c>
      <c r="S2066" s="5">
        <v>169.7</v>
      </c>
      <c r="T2066" s="5">
        <v>170.49</v>
      </c>
      <c r="U2066" s="5">
        <v>167</v>
      </c>
      <c r="V2066" s="5">
        <v>167.73</v>
      </c>
      <c r="W2066" s="5">
        <v>985000</v>
      </c>
    </row>
    <row r="2067" spans="1:23" x14ac:dyDescent="0.3">
      <c r="A2067" s="6">
        <v>41367</v>
      </c>
      <c r="B2067" s="7">
        <v>0.66666666666666663</v>
      </c>
      <c r="C2067" s="5">
        <v>220</v>
      </c>
      <c r="D2067" s="5">
        <v>222</v>
      </c>
      <c r="E2067" s="5">
        <v>213.5</v>
      </c>
      <c r="F2067" s="5">
        <v>221</v>
      </c>
      <c r="G2067" s="5">
        <v>2300</v>
      </c>
      <c r="Q2067" s="6">
        <v>41302</v>
      </c>
      <c r="R2067" s="7">
        <v>0.66666666666666663</v>
      </c>
      <c r="S2067" s="5">
        <v>168.15</v>
      </c>
      <c r="T2067" s="5">
        <v>170.75</v>
      </c>
      <c r="U2067" s="5">
        <v>165.85</v>
      </c>
      <c r="V2067" s="5">
        <v>166.58</v>
      </c>
      <c r="W2067" s="5">
        <v>3373400</v>
      </c>
    </row>
    <row r="2068" spans="1:23" x14ac:dyDescent="0.3">
      <c r="A2068" s="6">
        <v>41368</v>
      </c>
      <c r="B2068" s="7">
        <v>0.66666666666666663</v>
      </c>
      <c r="C2068" s="5">
        <v>219.7</v>
      </c>
      <c r="D2068" s="5">
        <v>222</v>
      </c>
      <c r="E2068" s="5">
        <v>211.1</v>
      </c>
      <c r="F2068" s="5">
        <v>222</v>
      </c>
      <c r="G2068" s="5">
        <v>5700</v>
      </c>
      <c r="Q2068" s="6">
        <v>41303</v>
      </c>
      <c r="R2068" s="7">
        <v>0.66666666666666663</v>
      </c>
      <c r="S2068" s="5">
        <v>166.75</v>
      </c>
      <c r="T2068" s="5">
        <v>168.5</v>
      </c>
      <c r="U2068" s="5">
        <v>165.5</v>
      </c>
      <c r="V2068" s="5">
        <v>167.82</v>
      </c>
      <c r="W2068" s="5">
        <v>2539500</v>
      </c>
    </row>
    <row r="2069" spans="1:23" x14ac:dyDescent="0.3">
      <c r="A2069" s="6">
        <v>41369</v>
      </c>
      <c r="B2069" s="7">
        <v>0.66666666666666663</v>
      </c>
      <c r="C2069" s="5">
        <v>224.99</v>
      </c>
      <c r="D2069" s="5">
        <v>230</v>
      </c>
      <c r="E2069" s="5">
        <v>224.99</v>
      </c>
      <c r="F2069" s="5">
        <v>225</v>
      </c>
      <c r="G2069" s="5">
        <v>4100</v>
      </c>
      <c r="Q2069" s="6">
        <v>41304</v>
      </c>
      <c r="R2069" s="7">
        <v>0.66666666666666663</v>
      </c>
      <c r="S2069" s="5">
        <v>167.38</v>
      </c>
      <c r="T2069" s="5">
        <v>169.2</v>
      </c>
      <c r="U2069" s="5">
        <v>166.42</v>
      </c>
      <c r="V2069" s="5">
        <v>167.88</v>
      </c>
      <c r="W2069" s="5">
        <v>2533000</v>
      </c>
    </row>
    <row r="2070" spans="1:23" x14ac:dyDescent="0.3">
      <c r="A2070" s="6">
        <v>41372</v>
      </c>
      <c r="B2070" s="7">
        <v>0.66666666666666663</v>
      </c>
      <c r="C2070" s="5">
        <v>225.1</v>
      </c>
      <c r="D2070" s="5">
        <v>227</v>
      </c>
      <c r="E2070" s="5">
        <v>225</v>
      </c>
      <c r="F2070" s="5">
        <v>225.01</v>
      </c>
      <c r="G2070" s="5">
        <v>1700</v>
      </c>
      <c r="Q2070" s="6">
        <v>41305</v>
      </c>
      <c r="R2070" s="7">
        <v>0.66666666666666663</v>
      </c>
      <c r="S2070" s="5">
        <v>168.2</v>
      </c>
      <c r="T2070" s="5">
        <v>172.72</v>
      </c>
      <c r="U2070" s="5">
        <v>168</v>
      </c>
      <c r="V2070" s="5">
        <v>171.43</v>
      </c>
      <c r="W2070" s="5">
        <v>3674100</v>
      </c>
    </row>
    <row r="2071" spans="1:23" x14ac:dyDescent="0.3">
      <c r="A2071" s="6">
        <v>41373</v>
      </c>
      <c r="B2071" s="7">
        <v>0.66666666666666663</v>
      </c>
      <c r="C2071" s="5">
        <v>226.95</v>
      </c>
      <c r="D2071" s="5">
        <v>236.26</v>
      </c>
      <c r="E2071" s="5">
        <v>226.95</v>
      </c>
      <c r="F2071" s="5">
        <v>235.52</v>
      </c>
      <c r="G2071" s="5">
        <v>18400</v>
      </c>
      <c r="Q2071" s="6">
        <v>41306</v>
      </c>
      <c r="R2071" s="7">
        <v>0.66666666666666663</v>
      </c>
      <c r="S2071" s="5">
        <v>170.85</v>
      </c>
      <c r="T2071" s="5">
        <v>174.75</v>
      </c>
      <c r="U2071" s="5">
        <v>170.85</v>
      </c>
      <c r="V2071" s="5">
        <v>172.56</v>
      </c>
      <c r="W2071" s="5">
        <v>2143700</v>
      </c>
    </row>
    <row r="2072" spans="1:23" x14ac:dyDescent="0.3">
      <c r="A2072" s="6">
        <v>41374</v>
      </c>
      <c r="B2072" s="7">
        <v>0.66666666666666663</v>
      </c>
      <c r="C2072" s="5">
        <v>226.25</v>
      </c>
      <c r="D2072" s="5">
        <v>236</v>
      </c>
      <c r="E2072" s="5">
        <v>226.25</v>
      </c>
      <c r="F2072" s="5">
        <v>236</v>
      </c>
      <c r="G2072" s="5">
        <v>2400</v>
      </c>
      <c r="Q2072" s="6">
        <v>41309</v>
      </c>
      <c r="R2072" s="7">
        <v>0.66666666666666663</v>
      </c>
      <c r="S2072" s="5">
        <v>173.54</v>
      </c>
      <c r="T2072" s="5">
        <v>174.39</v>
      </c>
      <c r="U2072" s="5">
        <v>172.3</v>
      </c>
      <c r="V2072" s="5">
        <v>172.51</v>
      </c>
      <c r="W2072" s="5">
        <v>760300</v>
      </c>
    </row>
    <row r="2073" spans="1:23" x14ac:dyDescent="0.3">
      <c r="A2073" s="6">
        <v>41375</v>
      </c>
      <c r="B2073" s="7">
        <v>0.66666666666666663</v>
      </c>
      <c r="C2073" s="5">
        <v>235</v>
      </c>
      <c r="D2073" s="5">
        <v>237</v>
      </c>
      <c r="E2073" s="5">
        <v>230.01</v>
      </c>
      <c r="F2073" s="5">
        <v>230.02</v>
      </c>
      <c r="G2073" s="5">
        <v>1900</v>
      </c>
      <c r="Q2073" s="6">
        <v>41311</v>
      </c>
      <c r="R2073" s="7">
        <v>0.66666666666666663</v>
      </c>
      <c r="S2073" s="5">
        <v>173.45</v>
      </c>
      <c r="T2073" s="5">
        <v>181.13</v>
      </c>
      <c r="U2073" s="5">
        <v>173.01</v>
      </c>
      <c r="V2073" s="5">
        <v>177.89</v>
      </c>
      <c r="W2073" s="5">
        <v>4209600</v>
      </c>
    </row>
    <row r="2074" spans="1:23" x14ac:dyDescent="0.3">
      <c r="A2074" s="6">
        <v>41376</v>
      </c>
      <c r="B2074" s="7">
        <v>0.66666666666666663</v>
      </c>
      <c r="C2074" s="5">
        <v>226.02</v>
      </c>
      <c r="D2074" s="5">
        <v>226.02</v>
      </c>
      <c r="E2074" s="5">
        <v>226.02</v>
      </c>
      <c r="F2074" s="5">
        <v>226.02</v>
      </c>
      <c r="G2074" s="5">
        <v>100</v>
      </c>
      <c r="Q2074" s="6">
        <v>41312</v>
      </c>
      <c r="R2074" s="7">
        <v>0.66666666666666663</v>
      </c>
      <c r="S2074" s="5">
        <v>178.45</v>
      </c>
      <c r="T2074" s="5">
        <v>179.1</v>
      </c>
      <c r="U2074" s="5">
        <v>175.51</v>
      </c>
      <c r="V2074" s="5">
        <v>175.83</v>
      </c>
      <c r="W2074" s="5">
        <v>1145600</v>
      </c>
    </row>
    <row r="2075" spans="1:23" x14ac:dyDescent="0.3">
      <c r="A2075" s="6">
        <v>41379</v>
      </c>
      <c r="B2075" s="7">
        <v>0.66666666666666663</v>
      </c>
      <c r="C2075" s="5">
        <v>222</v>
      </c>
      <c r="D2075" s="5">
        <v>226.5</v>
      </c>
      <c r="E2075" s="5">
        <v>214.72</v>
      </c>
      <c r="F2075" s="5">
        <v>224.78</v>
      </c>
      <c r="G2075" s="5">
        <v>6200</v>
      </c>
      <c r="Q2075" s="6">
        <v>41313</v>
      </c>
      <c r="R2075" s="7">
        <v>0.66666666666666663</v>
      </c>
      <c r="S2075" s="5">
        <v>175.61</v>
      </c>
      <c r="T2075" s="5">
        <v>178.25</v>
      </c>
      <c r="U2075" s="5">
        <v>175.61</v>
      </c>
      <c r="V2075" s="5">
        <v>176.7</v>
      </c>
      <c r="W2075" s="5">
        <v>1720200</v>
      </c>
    </row>
    <row r="2076" spans="1:23" x14ac:dyDescent="0.3">
      <c r="A2076" s="6">
        <v>41380</v>
      </c>
      <c r="B2076" s="7">
        <v>0.66666666666666663</v>
      </c>
      <c r="C2076" s="5">
        <v>226.99</v>
      </c>
      <c r="D2076" s="5">
        <v>232</v>
      </c>
      <c r="E2076" s="5">
        <v>225</v>
      </c>
      <c r="F2076" s="5">
        <v>230.37</v>
      </c>
      <c r="G2076" s="5">
        <v>5600</v>
      </c>
      <c r="Q2076" s="6">
        <v>41316</v>
      </c>
      <c r="R2076" s="7">
        <v>0.66666666666666663</v>
      </c>
      <c r="S2076" s="5">
        <v>177.35</v>
      </c>
      <c r="T2076" s="5">
        <v>181.2</v>
      </c>
      <c r="U2076" s="5">
        <v>176.45</v>
      </c>
      <c r="V2076" s="5">
        <v>178.25</v>
      </c>
      <c r="W2076" s="5">
        <v>1691900</v>
      </c>
    </row>
    <row r="2077" spans="1:23" x14ac:dyDescent="0.3">
      <c r="A2077" s="6">
        <v>41381</v>
      </c>
      <c r="B2077" s="7">
        <v>0.66666666666666663</v>
      </c>
      <c r="C2077" s="5">
        <v>226.01</v>
      </c>
      <c r="D2077" s="5">
        <v>232</v>
      </c>
      <c r="E2077" s="5">
        <v>226.01</v>
      </c>
      <c r="F2077" s="5">
        <v>232</v>
      </c>
      <c r="G2077" s="5">
        <v>4100</v>
      </c>
      <c r="Q2077" s="6">
        <v>41317</v>
      </c>
      <c r="R2077" s="7">
        <v>0.66666666666666663</v>
      </c>
      <c r="S2077" s="5">
        <v>178.65</v>
      </c>
      <c r="T2077" s="5">
        <v>181.6</v>
      </c>
      <c r="U2077" s="5">
        <v>177.56</v>
      </c>
      <c r="V2077" s="5">
        <v>178.33</v>
      </c>
      <c r="W2077" s="5">
        <v>2523600</v>
      </c>
    </row>
    <row r="2078" spans="1:23" x14ac:dyDescent="0.3">
      <c r="A2078" s="6">
        <v>41382</v>
      </c>
      <c r="B2078" s="7">
        <v>0.66666666666666663</v>
      </c>
      <c r="C2078" s="5">
        <v>243.5</v>
      </c>
      <c r="D2078" s="5">
        <v>243.6</v>
      </c>
      <c r="E2078" s="5">
        <v>238</v>
      </c>
      <c r="F2078" s="5">
        <v>243.6</v>
      </c>
      <c r="G2078" s="5">
        <v>12200</v>
      </c>
      <c r="Q2078" s="6">
        <v>41318</v>
      </c>
      <c r="R2078" s="7">
        <v>0.66666666666666663</v>
      </c>
      <c r="S2078" s="5">
        <v>178.5</v>
      </c>
      <c r="T2078" s="5">
        <v>181.18</v>
      </c>
      <c r="U2078" s="5">
        <v>177.71</v>
      </c>
      <c r="V2078" s="5">
        <v>179.49</v>
      </c>
      <c r="W2078" s="5">
        <v>2180500</v>
      </c>
    </row>
    <row r="2079" spans="1:23" x14ac:dyDescent="0.3">
      <c r="A2079" s="6">
        <v>41383</v>
      </c>
      <c r="B2079" s="7">
        <v>0.66666666666666663</v>
      </c>
      <c r="C2079" s="5">
        <v>255</v>
      </c>
      <c r="D2079" s="5">
        <v>255.78</v>
      </c>
      <c r="E2079" s="5">
        <v>252</v>
      </c>
      <c r="F2079" s="5">
        <v>255.78</v>
      </c>
      <c r="G2079" s="5">
        <v>6200</v>
      </c>
      <c r="Q2079" s="6">
        <v>41319</v>
      </c>
      <c r="R2079" s="7">
        <v>0.66666666666666663</v>
      </c>
      <c r="S2079" s="5">
        <v>179.7</v>
      </c>
      <c r="T2079" s="5">
        <v>183.79</v>
      </c>
      <c r="U2079" s="5">
        <v>179.1</v>
      </c>
      <c r="V2079" s="5">
        <v>181.13</v>
      </c>
      <c r="W2079" s="5">
        <v>2943200</v>
      </c>
    </row>
    <row r="2080" spans="1:23" x14ac:dyDescent="0.3">
      <c r="A2080" s="6">
        <v>41386</v>
      </c>
      <c r="B2080" s="7">
        <v>0.66666666666666663</v>
      </c>
      <c r="C2080" s="5">
        <v>267</v>
      </c>
      <c r="D2080" s="5">
        <v>268</v>
      </c>
      <c r="E2080" s="5">
        <v>256</v>
      </c>
      <c r="F2080" s="5">
        <v>267</v>
      </c>
      <c r="G2080" s="5">
        <v>4800</v>
      </c>
      <c r="Q2080" s="6">
        <v>41320</v>
      </c>
      <c r="R2080" s="7">
        <v>0.66666666666666663</v>
      </c>
      <c r="S2080" s="5">
        <v>181.5</v>
      </c>
      <c r="T2080" s="5">
        <v>182.7</v>
      </c>
      <c r="U2080" s="5">
        <v>177.51</v>
      </c>
      <c r="V2080" s="5">
        <v>181.8</v>
      </c>
      <c r="W2080" s="5">
        <v>1903000</v>
      </c>
    </row>
    <row r="2081" spans="1:23" x14ac:dyDescent="0.3">
      <c r="A2081" s="6">
        <v>41387</v>
      </c>
      <c r="B2081" s="7">
        <v>0.66666666666666663</v>
      </c>
      <c r="C2081" s="5">
        <v>270.05</v>
      </c>
      <c r="D2081" s="5">
        <v>279</v>
      </c>
      <c r="E2081" s="5">
        <v>255.1</v>
      </c>
      <c r="F2081" s="5">
        <v>259.31</v>
      </c>
      <c r="G2081" s="5">
        <v>13400</v>
      </c>
      <c r="Q2081" s="6">
        <v>41323</v>
      </c>
      <c r="R2081" s="7">
        <v>0.66666666666666663</v>
      </c>
      <c r="S2081" s="5">
        <v>180.49</v>
      </c>
      <c r="T2081" s="5">
        <v>183.05</v>
      </c>
      <c r="U2081" s="5">
        <v>179.85</v>
      </c>
      <c r="V2081" s="5">
        <v>181.42</v>
      </c>
      <c r="W2081" s="5">
        <v>753600</v>
      </c>
    </row>
    <row r="2082" spans="1:23" x14ac:dyDescent="0.3">
      <c r="A2082" s="6">
        <v>41388</v>
      </c>
      <c r="B2082" s="7">
        <v>0.66666666666666663</v>
      </c>
      <c r="C2082" s="5">
        <v>259.31</v>
      </c>
      <c r="D2082" s="5">
        <v>264</v>
      </c>
      <c r="E2082" s="5">
        <v>253</v>
      </c>
      <c r="F2082" s="5">
        <v>253.1</v>
      </c>
      <c r="G2082" s="5">
        <v>600</v>
      </c>
      <c r="Q2082" s="6">
        <v>41324</v>
      </c>
      <c r="R2082" s="7">
        <v>0.66666666666666663</v>
      </c>
      <c r="S2082" s="5">
        <v>181.99</v>
      </c>
      <c r="T2082" s="5">
        <v>184</v>
      </c>
      <c r="U2082" s="5">
        <v>180.4</v>
      </c>
      <c r="V2082" s="5">
        <v>182.01</v>
      </c>
      <c r="W2082" s="5">
        <v>2498500</v>
      </c>
    </row>
    <row r="2083" spans="1:23" x14ac:dyDescent="0.3">
      <c r="A2083" s="6">
        <v>41389</v>
      </c>
      <c r="B2083" s="7">
        <v>0.66666666666666663</v>
      </c>
      <c r="C2083" s="5">
        <v>250</v>
      </c>
      <c r="D2083" s="5">
        <v>264</v>
      </c>
      <c r="E2083" s="5">
        <v>250</v>
      </c>
      <c r="F2083" s="5">
        <v>257.91000000000003</v>
      </c>
      <c r="G2083" s="5">
        <v>5600</v>
      </c>
      <c r="Q2083" s="6">
        <v>41325</v>
      </c>
      <c r="R2083" s="7">
        <v>0.66666666666666663</v>
      </c>
      <c r="S2083" s="5">
        <v>182.9</v>
      </c>
      <c r="T2083" s="5">
        <v>183.7</v>
      </c>
      <c r="U2083" s="5">
        <v>181</v>
      </c>
      <c r="V2083" s="5">
        <v>183.08</v>
      </c>
      <c r="W2083" s="5">
        <v>2195600</v>
      </c>
    </row>
    <row r="2084" spans="1:23" x14ac:dyDescent="0.3">
      <c r="A2084" s="6">
        <v>41390</v>
      </c>
      <c r="B2084" s="7">
        <v>0.66666666666666663</v>
      </c>
      <c r="C2084" s="5">
        <v>254</v>
      </c>
      <c r="D2084" s="5">
        <v>270.8</v>
      </c>
      <c r="E2084" s="5">
        <v>254</v>
      </c>
      <c r="F2084" s="5">
        <v>266.56</v>
      </c>
      <c r="G2084" s="5">
        <v>11300</v>
      </c>
      <c r="Q2084" s="6">
        <v>41326</v>
      </c>
      <c r="R2084" s="7">
        <v>0.66666666666666663</v>
      </c>
      <c r="S2084" s="5">
        <v>183.31</v>
      </c>
      <c r="T2084" s="5">
        <v>192</v>
      </c>
      <c r="U2084" s="5">
        <v>182</v>
      </c>
      <c r="V2084" s="5">
        <v>187.07</v>
      </c>
      <c r="W2084" s="5">
        <v>2198200</v>
      </c>
    </row>
    <row r="2085" spans="1:23" x14ac:dyDescent="0.3">
      <c r="A2085" s="6">
        <v>41393</v>
      </c>
      <c r="B2085" s="7">
        <v>0.66666666666666663</v>
      </c>
      <c r="C2085" s="5">
        <v>270</v>
      </c>
      <c r="D2085" s="5">
        <v>279</v>
      </c>
      <c r="E2085" s="5">
        <v>266.2</v>
      </c>
      <c r="F2085" s="5">
        <v>268.85000000000002</v>
      </c>
      <c r="G2085" s="5">
        <v>8100</v>
      </c>
      <c r="Q2085" s="6">
        <v>41327</v>
      </c>
      <c r="R2085" s="7">
        <v>0.66666666666666663</v>
      </c>
      <c r="S2085" s="5">
        <v>187.98</v>
      </c>
      <c r="T2085" s="5">
        <v>189.39</v>
      </c>
      <c r="U2085" s="5">
        <v>186.5</v>
      </c>
      <c r="V2085" s="5">
        <v>188.42</v>
      </c>
      <c r="W2085" s="5">
        <v>752000</v>
      </c>
    </row>
    <row r="2086" spans="1:23" x14ac:dyDescent="0.3">
      <c r="A2086" s="6">
        <v>41394</v>
      </c>
      <c r="B2086" s="7">
        <v>0.66666666666666663</v>
      </c>
      <c r="C2086" s="5">
        <v>262</v>
      </c>
      <c r="D2086" s="5">
        <v>282.29000000000002</v>
      </c>
      <c r="E2086" s="5">
        <v>262</v>
      </c>
      <c r="F2086" s="5">
        <v>279.25</v>
      </c>
      <c r="G2086" s="5">
        <v>8300</v>
      </c>
      <c r="Q2086" s="6">
        <v>41330</v>
      </c>
      <c r="R2086" s="7">
        <v>0.66666666666666663</v>
      </c>
      <c r="S2086" s="5">
        <v>188.9</v>
      </c>
      <c r="T2086" s="5">
        <v>190.7</v>
      </c>
      <c r="U2086" s="5">
        <v>185.5</v>
      </c>
      <c r="V2086" s="5">
        <v>186.04</v>
      </c>
      <c r="W2086" s="5">
        <v>666700</v>
      </c>
    </row>
    <row r="2087" spans="1:23" x14ac:dyDescent="0.3">
      <c r="A2087" s="6">
        <v>41396</v>
      </c>
      <c r="B2087" s="7">
        <v>0.66666666666666663</v>
      </c>
      <c r="C2087" s="5">
        <v>279.25</v>
      </c>
      <c r="D2087" s="5">
        <v>289</v>
      </c>
      <c r="E2087" s="5">
        <v>269</v>
      </c>
      <c r="F2087" s="5">
        <v>272.74</v>
      </c>
      <c r="G2087" s="5">
        <v>15300</v>
      </c>
      <c r="Q2087" s="6">
        <v>41331</v>
      </c>
      <c r="R2087" s="7">
        <v>0.66666666666666663</v>
      </c>
      <c r="S2087" s="5">
        <v>186.1</v>
      </c>
      <c r="T2087" s="5">
        <v>186.95</v>
      </c>
      <c r="U2087" s="5">
        <v>183.25</v>
      </c>
      <c r="V2087" s="5">
        <v>184.51</v>
      </c>
      <c r="W2087" s="5">
        <v>422700</v>
      </c>
    </row>
    <row r="2088" spans="1:23" x14ac:dyDescent="0.3">
      <c r="A2088" s="6">
        <v>41397</v>
      </c>
      <c r="B2088" s="7">
        <v>0.66666666666666663</v>
      </c>
      <c r="C2088" s="5">
        <v>272.74</v>
      </c>
      <c r="D2088" s="5">
        <v>274</v>
      </c>
      <c r="E2088" s="5">
        <v>268.01</v>
      </c>
      <c r="F2088" s="5">
        <v>268.01</v>
      </c>
      <c r="G2088" s="5">
        <v>2500</v>
      </c>
      <c r="Q2088" s="6">
        <v>41332</v>
      </c>
      <c r="R2088" s="7">
        <v>0.66666666666666663</v>
      </c>
      <c r="S2088" s="5">
        <v>183.81</v>
      </c>
      <c r="T2088" s="5">
        <v>185.76</v>
      </c>
      <c r="U2088" s="5">
        <v>181.86</v>
      </c>
      <c r="V2088" s="5">
        <v>182.74</v>
      </c>
      <c r="W2088" s="5">
        <v>658000</v>
      </c>
    </row>
    <row r="2089" spans="1:23" x14ac:dyDescent="0.3">
      <c r="A2089" s="6">
        <v>41400</v>
      </c>
      <c r="B2089" s="7">
        <v>0.66666666666666663</v>
      </c>
      <c r="C2089" s="5">
        <v>271.5</v>
      </c>
      <c r="D2089" s="5">
        <v>275</v>
      </c>
      <c r="E2089" s="5">
        <v>269.5</v>
      </c>
      <c r="F2089" s="5">
        <v>270.2</v>
      </c>
      <c r="G2089" s="5">
        <v>4700</v>
      </c>
      <c r="Q2089" s="6">
        <v>41333</v>
      </c>
      <c r="R2089" s="7">
        <v>0.66666666666666663</v>
      </c>
      <c r="S2089" s="5">
        <v>182.7</v>
      </c>
      <c r="T2089" s="5">
        <v>186.5</v>
      </c>
      <c r="U2089" s="5">
        <v>182.7</v>
      </c>
      <c r="V2089" s="5">
        <v>184.21</v>
      </c>
      <c r="W2089" s="5">
        <v>751600</v>
      </c>
    </row>
    <row r="2090" spans="1:23" x14ac:dyDescent="0.3">
      <c r="A2090" s="6">
        <v>41401</v>
      </c>
      <c r="B2090" s="7">
        <v>0.66666666666666663</v>
      </c>
      <c r="C2090" s="5">
        <v>265.14999999999998</v>
      </c>
      <c r="D2090" s="5">
        <v>274</v>
      </c>
      <c r="E2090" s="5">
        <v>265.14999999999998</v>
      </c>
      <c r="F2090" s="5">
        <v>274</v>
      </c>
      <c r="G2090" s="5">
        <v>700</v>
      </c>
      <c r="Q2090" s="6">
        <v>41334</v>
      </c>
      <c r="R2090" s="7">
        <v>0.66666666666666663</v>
      </c>
      <c r="S2090" s="5">
        <v>184.98</v>
      </c>
      <c r="T2090" s="5">
        <v>187.5</v>
      </c>
      <c r="U2090" s="5">
        <v>183.81</v>
      </c>
      <c r="V2090" s="5">
        <v>184.34</v>
      </c>
      <c r="W2090" s="5">
        <v>863600</v>
      </c>
    </row>
    <row r="2091" spans="1:23" x14ac:dyDescent="0.3">
      <c r="A2091" s="6">
        <v>41402</v>
      </c>
      <c r="B2091" s="7">
        <v>0.66666666666666663</v>
      </c>
      <c r="C2091" s="5">
        <v>275.39999999999998</v>
      </c>
      <c r="D2091" s="5">
        <v>280</v>
      </c>
      <c r="E2091" s="5">
        <v>266.5</v>
      </c>
      <c r="F2091" s="5">
        <v>279.58</v>
      </c>
      <c r="G2091" s="5">
        <v>26500</v>
      </c>
      <c r="Q2091" s="6">
        <v>41337</v>
      </c>
      <c r="R2091" s="7">
        <v>0.66666666666666663</v>
      </c>
      <c r="S2091" s="5">
        <v>184.6</v>
      </c>
      <c r="T2091" s="5">
        <v>184.6</v>
      </c>
      <c r="U2091" s="5">
        <v>183</v>
      </c>
      <c r="V2091" s="5">
        <v>183.21</v>
      </c>
      <c r="W2091" s="5">
        <v>89300</v>
      </c>
    </row>
    <row r="2092" spans="1:23" x14ac:dyDescent="0.3">
      <c r="A2092" s="6">
        <v>41403</v>
      </c>
      <c r="B2092" s="7">
        <v>0.66666666666666663</v>
      </c>
      <c r="C2092" s="5">
        <v>276</v>
      </c>
      <c r="D2092" s="5">
        <v>281</v>
      </c>
      <c r="E2092" s="5">
        <v>273.01</v>
      </c>
      <c r="F2092" s="5">
        <v>277.54000000000002</v>
      </c>
      <c r="G2092" s="5">
        <v>7600</v>
      </c>
      <c r="Q2092" s="6">
        <v>41338</v>
      </c>
      <c r="R2092" s="7">
        <v>0.66666666666666663</v>
      </c>
      <c r="S2092" s="5">
        <v>186</v>
      </c>
      <c r="T2092" s="5">
        <v>192.37</v>
      </c>
      <c r="U2092" s="5">
        <v>185.5</v>
      </c>
      <c r="V2092" s="5">
        <v>192.37</v>
      </c>
      <c r="W2092" s="5">
        <v>2731000</v>
      </c>
    </row>
    <row r="2093" spans="1:23" x14ac:dyDescent="0.3">
      <c r="A2093" s="6">
        <v>41404</v>
      </c>
      <c r="B2093" s="7">
        <v>0.66666666666666663</v>
      </c>
      <c r="C2093" s="5">
        <v>279.89</v>
      </c>
      <c r="D2093" s="5">
        <v>280</v>
      </c>
      <c r="E2093" s="5">
        <v>275</v>
      </c>
      <c r="F2093" s="5">
        <v>279.39</v>
      </c>
      <c r="G2093" s="5">
        <v>8300</v>
      </c>
      <c r="Q2093" s="6">
        <v>41339</v>
      </c>
      <c r="R2093" s="7">
        <v>0.66666666666666663</v>
      </c>
      <c r="S2093" s="5">
        <v>196.37</v>
      </c>
      <c r="T2093" s="5">
        <v>201.98</v>
      </c>
      <c r="U2093" s="5">
        <v>195.5</v>
      </c>
      <c r="V2093" s="5">
        <v>201.16</v>
      </c>
      <c r="W2093" s="5">
        <v>2786200</v>
      </c>
    </row>
    <row r="2094" spans="1:23" x14ac:dyDescent="0.3">
      <c r="A2094" s="6">
        <v>41407</v>
      </c>
      <c r="B2094" s="7">
        <v>0.66666666666666663</v>
      </c>
      <c r="C2094" s="5">
        <v>282</v>
      </c>
      <c r="D2094" s="5">
        <v>289.99</v>
      </c>
      <c r="E2094" s="5">
        <v>280</v>
      </c>
      <c r="F2094" s="5">
        <v>287.42</v>
      </c>
      <c r="G2094" s="5">
        <v>25400</v>
      </c>
      <c r="Q2094" s="6">
        <v>41340</v>
      </c>
      <c r="R2094" s="7">
        <v>0.66666666666666663</v>
      </c>
      <c r="S2094" s="5">
        <v>203.66</v>
      </c>
      <c r="T2094" s="5">
        <v>207.5</v>
      </c>
      <c r="U2094" s="5">
        <v>195.6</v>
      </c>
      <c r="V2094" s="5">
        <v>202.57</v>
      </c>
      <c r="W2094" s="5">
        <v>1760200</v>
      </c>
    </row>
    <row r="2095" spans="1:23" x14ac:dyDescent="0.3">
      <c r="A2095" s="6">
        <v>41408</v>
      </c>
      <c r="B2095" s="7">
        <v>0.66666666666666663</v>
      </c>
      <c r="C2095" s="5">
        <v>285</v>
      </c>
      <c r="D2095" s="5">
        <v>285</v>
      </c>
      <c r="E2095" s="5">
        <v>284.25</v>
      </c>
      <c r="F2095" s="5">
        <v>284.97000000000003</v>
      </c>
      <c r="G2095" s="5">
        <v>2200</v>
      </c>
      <c r="Q2095" s="6">
        <v>41341</v>
      </c>
      <c r="R2095" s="7">
        <v>0.66666666666666663</v>
      </c>
      <c r="S2095" s="5">
        <v>207.5</v>
      </c>
      <c r="T2095" s="5">
        <v>210.98</v>
      </c>
      <c r="U2095" s="5">
        <v>205</v>
      </c>
      <c r="V2095" s="5">
        <v>208.28</v>
      </c>
      <c r="W2095" s="5">
        <v>1672800</v>
      </c>
    </row>
    <row r="2096" spans="1:23" x14ac:dyDescent="0.3">
      <c r="A2096" s="6">
        <v>41409</v>
      </c>
      <c r="B2096" s="7">
        <v>0.66666666666666663</v>
      </c>
      <c r="C2096" s="5">
        <v>285</v>
      </c>
      <c r="D2096" s="5">
        <v>285</v>
      </c>
      <c r="E2096" s="5">
        <v>281</v>
      </c>
      <c r="F2096" s="5">
        <v>284.92</v>
      </c>
      <c r="G2096" s="5">
        <v>7400</v>
      </c>
      <c r="Q2096" s="6">
        <v>41344</v>
      </c>
      <c r="R2096" s="7">
        <v>0.66666666666666663</v>
      </c>
      <c r="S2096" s="5">
        <v>208.98</v>
      </c>
      <c r="T2096" s="5">
        <v>209.25</v>
      </c>
      <c r="U2096" s="5">
        <v>198</v>
      </c>
      <c r="V2096" s="5">
        <v>199.78</v>
      </c>
      <c r="W2096" s="5">
        <v>622900</v>
      </c>
    </row>
    <row r="2097" spans="1:23" x14ac:dyDescent="0.3">
      <c r="A2097" s="6">
        <v>41410</v>
      </c>
      <c r="B2097" s="7">
        <v>0.66666666666666663</v>
      </c>
      <c r="C2097" s="5">
        <v>281.10000000000002</v>
      </c>
      <c r="D2097" s="5">
        <v>297</v>
      </c>
      <c r="E2097" s="5">
        <v>281</v>
      </c>
      <c r="F2097" s="5">
        <v>290</v>
      </c>
      <c r="G2097" s="5">
        <v>25300</v>
      </c>
      <c r="Q2097" s="6">
        <v>41345</v>
      </c>
      <c r="R2097" s="7">
        <v>0.66666666666666663</v>
      </c>
      <c r="S2097" s="5">
        <v>201.94</v>
      </c>
      <c r="T2097" s="5">
        <v>205.75</v>
      </c>
      <c r="U2097" s="5">
        <v>197.51</v>
      </c>
      <c r="V2097" s="5">
        <v>200.5</v>
      </c>
      <c r="W2097" s="5">
        <v>1043500</v>
      </c>
    </row>
    <row r="2098" spans="1:23" x14ac:dyDescent="0.3">
      <c r="A2098" s="6">
        <v>41411</v>
      </c>
      <c r="B2098" s="7">
        <v>0.66666666666666663</v>
      </c>
      <c r="C2098" s="5">
        <v>296</v>
      </c>
      <c r="D2098" s="5">
        <v>300.89999999999998</v>
      </c>
      <c r="E2098" s="5">
        <v>295</v>
      </c>
      <c r="F2098" s="5">
        <v>297.19</v>
      </c>
      <c r="G2098" s="5">
        <v>102100</v>
      </c>
      <c r="Q2098" s="6">
        <v>41346</v>
      </c>
      <c r="R2098" s="7">
        <v>0.66666666666666663</v>
      </c>
      <c r="S2098" s="5">
        <v>198.75</v>
      </c>
      <c r="T2098" s="5">
        <v>206.9</v>
      </c>
      <c r="U2098" s="5">
        <v>197.4</v>
      </c>
      <c r="V2098" s="5">
        <v>200.15</v>
      </c>
      <c r="W2098" s="5">
        <v>2554500</v>
      </c>
    </row>
    <row r="2099" spans="1:23" x14ac:dyDescent="0.3">
      <c r="A2099" s="6">
        <v>41414</v>
      </c>
      <c r="B2099" s="7">
        <v>0.66666666666666663</v>
      </c>
      <c r="C2099" s="5">
        <v>297.02</v>
      </c>
      <c r="D2099" s="5">
        <v>308.5</v>
      </c>
      <c r="E2099" s="5">
        <v>297</v>
      </c>
      <c r="F2099" s="5">
        <v>308.5</v>
      </c>
      <c r="G2099" s="5">
        <v>76800</v>
      </c>
      <c r="Q2099" s="6">
        <v>41347</v>
      </c>
      <c r="R2099" s="7">
        <v>0.66666666666666663</v>
      </c>
      <c r="S2099" s="5">
        <v>201.82</v>
      </c>
      <c r="T2099" s="5">
        <v>202.5</v>
      </c>
      <c r="U2099" s="5">
        <v>198.5</v>
      </c>
      <c r="V2099" s="5">
        <v>199.22</v>
      </c>
      <c r="W2099" s="5">
        <v>454900</v>
      </c>
    </row>
    <row r="2100" spans="1:23" x14ac:dyDescent="0.3">
      <c r="A2100" s="6">
        <v>41415</v>
      </c>
      <c r="B2100" s="7">
        <v>0.66666666666666663</v>
      </c>
      <c r="C2100" s="5">
        <v>307.5</v>
      </c>
      <c r="D2100" s="5">
        <v>307.5</v>
      </c>
      <c r="E2100" s="5">
        <v>304</v>
      </c>
      <c r="F2100" s="5">
        <v>304</v>
      </c>
      <c r="G2100" s="5">
        <v>2200</v>
      </c>
      <c r="Q2100" s="6">
        <v>41348</v>
      </c>
      <c r="R2100" s="7">
        <v>0.66666666666666663</v>
      </c>
      <c r="S2100" s="5">
        <v>200</v>
      </c>
      <c r="T2100" s="5">
        <v>200.99</v>
      </c>
      <c r="U2100" s="5">
        <v>198.13</v>
      </c>
      <c r="V2100" s="5">
        <v>199.25</v>
      </c>
      <c r="W2100" s="5">
        <v>480400</v>
      </c>
    </row>
    <row r="2101" spans="1:23" x14ac:dyDescent="0.3">
      <c r="A2101" s="6">
        <v>41416</v>
      </c>
      <c r="B2101" s="7">
        <v>0.66666666666666663</v>
      </c>
      <c r="C2101" s="5">
        <v>300</v>
      </c>
      <c r="D2101" s="5">
        <v>301</v>
      </c>
      <c r="E2101" s="5">
        <v>298</v>
      </c>
      <c r="F2101" s="5">
        <v>299.89999999999998</v>
      </c>
      <c r="G2101" s="5">
        <v>2300</v>
      </c>
      <c r="Q2101" s="6">
        <v>41351</v>
      </c>
      <c r="R2101" s="7">
        <v>0.66666666666666663</v>
      </c>
      <c r="S2101" s="5">
        <v>198.75</v>
      </c>
      <c r="T2101" s="5">
        <v>198.75</v>
      </c>
      <c r="U2101" s="5">
        <v>191.5</v>
      </c>
      <c r="V2101" s="5">
        <v>192.46</v>
      </c>
      <c r="W2101" s="5">
        <v>593300</v>
      </c>
    </row>
    <row r="2102" spans="1:23" x14ac:dyDescent="0.3">
      <c r="A2102" s="6">
        <v>41417</v>
      </c>
      <c r="B2102" s="7">
        <v>0.66666666666666663</v>
      </c>
      <c r="C2102" s="5">
        <v>301.89999999999998</v>
      </c>
      <c r="D2102" s="5">
        <v>301.89999999999998</v>
      </c>
      <c r="E2102" s="5">
        <v>290.3</v>
      </c>
      <c r="F2102" s="5">
        <v>294.91000000000003</v>
      </c>
      <c r="G2102" s="5">
        <v>3200</v>
      </c>
      <c r="Q2102" s="6">
        <v>41352</v>
      </c>
      <c r="R2102" s="7">
        <v>0.66666666666666663</v>
      </c>
      <c r="S2102" s="5">
        <v>193.98</v>
      </c>
      <c r="T2102" s="5">
        <v>196.25</v>
      </c>
      <c r="U2102" s="5">
        <v>192.85</v>
      </c>
      <c r="V2102" s="5">
        <v>195.1</v>
      </c>
      <c r="W2102" s="5">
        <v>660700</v>
      </c>
    </row>
    <row r="2103" spans="1:23" x14ac:dyDescent="0.3">
      <c r="A2103" s="6">
        <v>41418</v>
      </c>
      <c r="B2103" s="7">
        <v>0.66666666666666663</v>
      </c>
      <c r="C2103" s="5">
        <v>294.91000000000003</v>
      </c>
      <c r="D2103" s="5">
        <v>295</v>
      </c>
      <c r="E2103" s="5">
        <v>285</v>
      </c>
      <c r="F2103" s="5">
        <v>295</v>
      </c>
      <c r="G2103" s="5">
        <v>4900</v>
      </c>
      <c r="Q2103" s="6">
        <v>41353</v>
      </c>
      <c r="R2103" s="7">
        <v>0.66666666666666663</v>
      </c>
      <c r="S2103" s="5">
        <v>196</v>
      </c>
      <c r="T2103" s="5">
        <v>198.59</v>
      </c>
      <c r="U2103" s="5">
        <v>193.1</v>
      </c>
      <c r="V2103" s="5">
        <v>197.84</v>
      </c>
      <c r="W2103" s="5">
        <v>1236500</v>
      </c>
    </row>
    <row r="2104" spans="1:23" x14ac:dyDescent="0.3">
      <c r="A2104" s="6">
        <v>41421</v>
      </c>
      <c r="B2104" s="7">
        <v>0.66666666666666663</v>
      </c>
      <c r="C2104" s="5">
        <v>295</v>
      </c>
      <c r="D2104" s="5">
        <v>295</v>
      </c>
      <c r="E2104" s="5">
        <v>294</v>
      </c>
      <c r="F2104" s="5">
        <v>294.92</v>
      </c>
      <c r="G2104" s="5">
        <v>1400</v>
      </c>
      <c r="Q2104" s="6">
        <v>41354</v>
      </c>
      <c r="R2104" s="7">
        <v>0.66666666666666663</v>
      </c>
      <c r="S2104" s="5">
        <v>198.1</v>
      </c>
      <c r="T2104" s="5">
        <v>201.25</v>
      </c>
      <c r="U2104" s="5">
        <v>197.51</v>
      </c>
      <c r="V2104" s="5">
        <v>198.84</v>
      </c>
      <c r="W2104" s="5">
        <v>1464100</v>
      </c>
    </row>
    <row r="2105" spans="1:23" x14ac:dyDescent="0.3">
      <c r="A2105" s="6">
        <v>41422</v>
      </c>
      <c r="B2105" s="7">
        <v>0.66666666666666663</v>
      </c>
      <c r="C2105" s="5">
        <v>295</v>
      </c>
      <c r="D2105" s="5">
        <v>295.25</v>
      </c>
      <c r="E2105" s="5">
        <v>295</v>
      </c>
      <c r="F2105" s="5">
        <v>295</v>
      </c>
      <c r="G2105" s="5">
        <v>5700</v>
      </c>
      <c r="Q2105" s="6">
        <v>41355</v>
      </c>
      <c r="R2105" s="7">
        <v>0.66666666666666663</v>
      </c>
      <c r="S2105" s="5">
        <v>199</v>
      </c>
      <c r="T2105" s="5">
        <v>199.4</v>
      </c>
      <c r="U2105" s="5">
        <v>197.4</v>
      </c>
      <c r="V2105" s="5">
        <v>197.7</v>
      </c>
      <c r="W2105" s="5">
        <v>166100</v>
      </c>
    </row>
    <row r="2106" spans="1:23" x14ac:dyDescent="0.3">
      <c r="A2106" s="6">
        <v>41423</v>
      </c>
      <c r="B2106" s="7">
        <v>0.66666666666666663</v>
      </c>
      <c r="C2106" s="5">
        <v>300</v>
      </c>
      <c r="D2106" s="5">
        <v>300</v>
      </c>
      <c r="E2106" s="5">
        <v>295</v>
      </c>
      <c r="F2106" s="5">
        <v>295</v>
      </c>
      <c r="G2106" s="5">
        <v>2800</v>
      </c>
      <c r="Q2106" s="6">
        <v>41358</v>
      </c>
      <c r="R2106" s="7">
        <v>0.66666666666666663</v>
      </c>
      <c r="S2106" s="5">
        <v>200</v>
      </c>
      <c r="T2106" s="5">
        <v>201.58</v>
      </c>
      <c r="U2106" s="5">
        <v>194.7</v>
      </c>
      <c r="V2106" s="5">
        <v>195.83</v>
      </c>
      <c r="W2106" s="5">
        <v>854000</v>
      </c>
    </row>
    <row r="2107" spans="1:23" x14ac:dyDescent="0.3">
      <c r="A2107" s="6">
        <v>41424</v>
      </c>
      <c r="B2107" s="7">
        <v>0.66666666666666663</v>
      </c>
      <c r="C2107" s="5">
        <v>298</v>
      </c>
      <c r="D2107" s="5">
        <v>298</v>
      </c>
      <c r="E2107" s="5">
        <v>290</v>
      </c>
      <c r="F2107" s="5">
        <v>292</v>
      </c>
      <c r="G2107" s="5">
        <v>1500</v>
      </c>
      <c r="Q2107" s="6">
        <v>41359</v>
      </c>
      <c r="R2107" s="7">
        <v>0.66666666666666663</v>
      </c>
      <c r="S2107" s="5">
        <v>195.12</v>
      </c>
      <c r="T2107" s="5">
        <v>196</v>
      </c>
      <c r="U2107" s="5">
        <v>193.3</v>
      </c>
      <c r="V2107" s="5">
        <v>193.77</v>
      </c>
      <c r="W2107" s="5">
        <v>257700</v>
      </c>
    </row>
    <row r="2108" spans="1:23" x14ac:dyDescent="0.3">
      <c r="A2108" s="6">
        <v>41425</v>
      </c>
      <c r="B2108" s="7">
        <v>0.66666666666666663</v>
      </c>
      <c r="C2108" s="5">
        <v>285</v>
      </c>
      <c r="D2108" s="5">
        <v>295</v>
      </c>
      <c r="E2108" s="5">
        <v>285</v>
      </c>
      <c r="F2108" s="5">
        <v>294.85000000000002</v>
      </c>
      <c r="G2108" s="5">
        <v>4800</v>
      </c>
      <c r="Q2108" s="6">
        <v>41360</v>
      </c>
      <c r="R2108" s="7">
        <v>0.66666666666666663</v>
      </c>
      <c r="S2108" s="5">
        <v>194.9</v>
      </c>
      <c r="T2108" s="5">
        <v>203.29</v>
      </c>
      <c r="U2108" s="5">
        <v>194.6</v>
      </c>
      <c r="V2108" s="5">
        <v>201.98</v>
      </c>
      <c r="W2108" s="5">
        <v>2386700</v>
      </c>
    </row>
    <row r="2109" spans="1:23" x14ac:dyDescent="0.3">
      <c r="A2109" s="6">
        <v>41428</v>
      </c>
      <c r="B2109" s="7">
        <v>0.66666666666666663</v>
      </c>
      <c r="C2109" s="5">
        <v>295</v>
      </c>
      <c r="D2109" s="5">
        <v>296</v>
      </c>
      <c r="E2109" s="5">
        <v>290.2</v>
      </c>
      <c r="F2109" s="5">
        <v>295</v>
      </c>
      <c r="G2109" s="5">
        <v>3500</v>
      </c>
      <c r="Q2109" s="6">
        <v>41361</v>
      </c>
      <c r="R2109" s="7">
        <v>0.66666666666666663</v>
      </c>
      <c r="S2109" s="5">
        <v>202.5</v>
      </c>
      <c r="T2109" s="5">
        <v>203.99</v>
      </c>
      <c r="U2109" s="5">
        <v>198.5</v>
      </c>
      <c r="V2109" s="5">
        <v>199.12</v>
      </c>
      <c r="W2109" s="5">
        <v>657800</v>
      </c>
    </row>
    <row r="2110" spans="1:23" x14ac:dyDescent="0.3">
      <c r="A2110" s="6">
        <v>41429</v>
      </c>
      <c r="B2110" s="7">
        <v>0.66666666666666663</v>
      </c>
      <c r="C2110" s="5">
        <v>290</v>
      </c>
      <c r="D2110" s="5">
        <v>298</v>
      </c>
      <c r="E2110" s="5">
        <v>288</v>
      </c>
      <c r="F2110" s="5">
        <v>295.63</v>
      </c>
      <c r="G2110" s="5">
        <v>16900</v>
      </c>
      <c r="Q2110" s="6">
        <v>41362</v>
      </c>
      <c r="R2110" s="7">
        <v>0.66666666666666663</v>
      </c>
      <c r="S2110" s="5">
        <v>199.5</v>
      </c>
      <c r="T2110" s="5">
        <v>204.05</v>
      </c>
      <c r="U2110" s="5">
        <v>199.11</v>
      </c>
      <c r="V2110" s="5">
        <v>200.49</v>
      </c>
      <c r="W2110" s="5">
        <v>1617000</v>
      </c>
    </row>
    <row r="2111" spans="1:23" x14ac:dyDescent="0.3">
      <c r="A2111" s="6">
        <v>41430</v>
      </c>
      <c r="B2111" s="7">
        <v>0.66666666666666663</v>
      </c>
      <c r="C2111" s="5">
        <v>299</v>
      </c>
      <c r="D2111" s="5">
        <v>305</v>
      </c>
      <c r="E2111" s="5">
        <v>295</v>
      </c>
      <c r="F2111" s="5">
        <v>300</v>
      </c>
      <c r="G2111" s="5">
        <v>232200</v>
      </c>
      <c r="Q2111" s="6">
        <v>41365</v>
      </c>
      <c r="R2111" s="7">
        <v>0.66666666666666663</v>
      </c>
      <c r="S2111" s="5">
        <v>201</v>
      </c>
      <c r="T2111" s="5">
        <v>203.49</v>
      </c>
      <c r="U2111" s="5">
        <v>200.53</v>
      </c>
      <c r="V2111" s="5">
        <v>201.34</v>
      </c>
      <c r="W2111" s="5">
        <v>1360300</v>
      </c>
    </row>
    <row r="2112" spans="1:23" x14ac:dyDescent="0.3">
      <c r="A2112" s="6">
        <v>41431</v>
      </c>
      <c r="B2112" s="7">
        <v>0.66666666666666663</v>
      </c>
      <c r="C2112" s="5">
        <v>301.99</v>
      </c>
      <c r="D2112" s="5">
        <v>310</v>
      </c>
      <c r="E2112" s="5">
        <v>301.99</v>
      </c>
      <c r="F2112" s="5">
        <v>308.22000000000003</v>
      </c>
      <c r="G2112" s="5">
        <v>318600</v>
      </c>
      <c r="Q2112" s="6">
        <v>41366</v>
      </c>
      <c r="R2112" s="7">
        <v>0.66666666666666663</v>
      </c>
      <c r="S2112" s="5">
        <v>202</v>
      </c>
      <c r="T2112" s="5">
        <v>203.25</v>
      </c>
      <c r="U2112" s="5">
        <v>195.3</v>
      </c>
      <c r="V2112" s="5">
        <v>197.6</v>
      </c>
      <c r="W2112" s="5">
        <v>2095000</v>
      </c>
    </row>
    <row r="2113" spans="1:23" x14ac:dyDescent="0.3">
      <c r="A2113" s="6">
        <v>41432</v>
      </c>
      <c r="B2113" s="7">
        <v>0.66666666666666663</v>
      </c>
      <c r="C2113" s="5">
        <v>310</v>
      </c>
      <c r="D2113" s="5">
        <v>323.63</v>
      </c>
      <c r="E2113" s="5">
        <v>310</v>
      </c>
      <c r="F2113" s="5">
        <v>323.63</v>
      </c>
      <c r="G2113" s="5">
        <v>535100</v>
      </c>
      <c r="Q2113" s="6">
        <v>41367</v>
      </c>
      <c r="R2113" s="7">
        <v>0.66666666666666663</v>
      </c>
      <c r="S2113" s="5">
        <v>196.49</v>
      </c>
      <c r="T2113" s="5">
        <v>201.4</v>
      </c>
      <c r="U2113" s="5">
        <v>195.99</v>
      </c>
      <c r="V2113" s="5">
        <v>199.94</v>
      </c>
      <c r="W2113" s="5">
        <v>2188600</v>
      </c>
    </row>
    <row r="2114" spans="1:23" x14ac:dyDescent="0.3">
      <c r="A2114" s="6">
        <v>41435</v>
      </c>
      <c r="B2114" s="7">
        <v>0.66666666666666663</v>
      </c>
      <c r="C2114" s="5">
        <v>332.99</v>
      </c>
      <c r="D2114" s="5">
        <v>334</v>
      </c>
      <c r="E2114" s="5">
        <v>320.5</v>
      </c>
      <c r="F2114" s="5">
        <v>333.25</v>
      </c>
      <c r="G2114" s="5">
        <v>11000</v>
      </c>
      <c r="Q2114" s="6">
        <v>41368</v>
      </c>
      <c r="R2114" s="7">
        <v>0.66666666666666663</v>
      </c>
      <c r="S2114" s="5">
        <v>200.02</v>
      </c>
      <c r="T2114" s="5">
        <v>209.4</v>
      </c>
      <c r="U2114" s="5">
        <v>200</v>
      </c>
      <c r="V2114" s="5">
        <v>206.97</v>
      </c>
      <c r="W2114" s="5">
        <v>2960900</v>
      </c>
    </row>
    <row r="2115" spans="1:23" x14ac:dyDescent="0.3">
      <c r="A2115" s="6">
        <v>41436</v>
      </c>
      <c r="B2115" s="7">
        <v>0.66666666666666663</v>
      </c>
      <c r="C2115" s="5">
        <v>329</v>
      </c>
      <c r="D2115" s="5">
        <v>329</v>
      </c>
      <c r="E2115" s="5">
        <v>325</v>
      </c>
      <c r="F2115" s="5">
        <v>325.29000000000002</v>
      </c>
      <c r="G2115" s="5">
        <v>6700</v>
      </c>
      <c r="Q2115" s="6">
        <v>41369</v>
      </c>
      <c r="R2115" s="7">
        <v>0.66666666666666663</v>
      </c>
      <c r="S2115" s="5">
        <v>206.97</v>
      </c>
      <c r="T2115" s="5">
        <v>208.19</v>
      </c>
      <c r="U2115" s="5">
        <v>200</v>
      </c>
      <c r="V2115" s="5">
        <v>201.42</v>
      </c>
      <c r="W2115" s="5">
        <v>1218100</v>
      </c>
    </row>
    <row r="2116" spans="1:23" x14ac:dyDescent="0.3">
      <c r="A2116" s="6">
        <v>41437</v>
      </c>
      <c r="B2116" s="7">
        <v>0.66666666666666663</v>
      </c>
      <c r="C2116" s="5">
        <v>322</v>
      </c>
      <c r="D2116" s="5">
        <v>334</v>
      </c>
      <c r="E2116" s="5">
        <v>318.2</v>
      </c>
      <c r="F2116" s="5">
        <v>319.54000000000002</v>
      </c>
      <c r="G2116" s="5">
        <v>45800</v>
      </c>
      <c r="Q2116" s="6">
        <v>41372</v>
      </c>
      <c r="R2116" s="7">
        <v>0.66666666666666663</v>
      </c>
      <c r="S2116" s="5">
        <v>200.79</v>
      </c>
      <c r="T2116" s="5">
        <v>202.48</v>
      </c>
      <c r="U2116" s="5">
        <v>199.7</v>
      </c>
      <c r="V2116" s="5">
        <v>200.01</v>
      </c>
      <c r="W2116" s="5">
        <v>816200</v>
      </c>
    </row>
    <row r="2117" spans="1:23" x14ac:dyDescent="0.3">
      <c r="A2117" s="6">
        <v>41438</v>
      </c>
      <c r="B2117" s="7">
        <v>0.66666666666666663</v>
      </c>
      <c r="C2117" s="5">
        <v>329.74</v>
      </c>
      <c r="D2117" s="5">
        <v>329.74</v>
      </c>
      <c r="E2117" s="5">
        <v>325</v>
      </c>
      <c r="F2117" s="5">
        <v>328.53</v>
      </c>
      <c r="G2117" s="5">
        <v>5800</v>
      </c>
      <c r="Q2117" s="6">
        <v>41373</v>
      </c>
      <c r="R2117" s="7">
        <v>0.66666666666666663</v>
      </c>
      <c r="S2117" s="5">
        <v>200.99</v>
      </c>
      <c r="T2117" s="5">
        <v>201.99</v>
      </c>
      <c r="U2117" s="5">
        <v>199.6</v>
      </c>
      <c r="V2117" s="5">
        <v>200.41</v>
      </c>
      <c r="W2117" s="5">
        <v>300200</v>
      </c>
    </row>
    <row r="2118" spans="1:23" x14ac:dyDescent="0.3">
      <c r="A2118" s="6">
        <v>41439</v>
      </c>
      <c r="B2118" s="7">
        <v>0.66666666666666663</v>
      </c>
      <c r="C2118" s="5">
        <v>340</v>
      </c>
      <c r="D2118" s="5">
        <v>340</v>
      </c>
      <c r="E2118" s="5">
        <v>313</v>
      </c>
      <c r="F2118" s="5">
        <v>327.73</v>
      </c>
      <c r="G2118" s="5">
        <v>4400</v>
      </c>
      <c r="Q2118" s="6">
        <v>41374</v>
      </c>
      <c r="R2118" s="7">
        <v>0.66666666666666663</v>
      </c>
      <c r="S2118" s="5">
        <v>200.99</v>
      </c>
      <c r="T2118" s="5">
        <v>204.85</v>
      </c>
      <c r="U2118" s="5">
        <v>200.99</v>
      </c>
      <c r="V2118" s="5">
        <v>201.9</v>
      </c>
      <c r="W2118" s="5">
        <v>805500</v>
      </c>
    </row>
    <row r="2119" spans="1:23" x14ac:dyDescent="0.3">
      <c r="A2119" s="6">
        <v>41442</v>
      </c>
      <c r="B2119" s="7">
        <v>0.66666666666666663</v>
      </c>
      <c r="C2119" s="5">
        <v>320.01</v>
      </c>
      <c r="D2119" s="5">
        <v>330</v>
      </c>
      <c r="E2119" s="5">
        <v>320</v>
      </c>
      <c r="F2119" s="5">
        <v>322.17</v>
      </c>
      <c r="G2119" s="5">
        <v>8300</v>
      </c>
      <c r="Q2119" s="6">
        <v>41375</v>
      </c>
      <c r="R2119" s="7">
        <v>0.66666666666666663</v>
      </c>
      <c r="S2119" s="5">
        <v>202.99</v>
      </c>
      <c r="T2119" s="5">
        <v>203.2</v>
      </c>
      <c r="U2119" s="5">
        <v>199.1</v>
      </c>
      <c r="V2119" s="5">
        <v>199.88</v>
      </c>
      <c r="W2119" s="5">
        <v>1058500</v>
      </c>
    </row>
    <row r="2120" spans="1:23" x14ac:dyDescent="0.3">
      <c r="A2120" s="6">
        <v>41443</v>
      </c>
      <c r="B2120" s="7">
        <v>0.66666666666666663</v>
      </c>
      <c r="C2120" s="5">
        <v>328</v>
      </c>
      <c r="D2120" s="5">
        <v>338.27</v>
      </c>
      <c r="E2120" s="5">
        <v>328</v>
      </c>
      <c r="F2120" s="5">
        <v>337.59</v>
      </c>
      <c r="G2120" s="5">
        <v>666800</v>
      </c>
      <c r="Q2120" s="6">
        <v>41376</v>
      </c>
      <c r="R2120" s="7">
        <v>0.66666666666666663</v>
      </c>
      <c r="S2120" s="5">
        <v>199.25</v>
      </c>
      <c r="T2120" s="5">
        <v>201.4</v>
      </c>
      <c r="U2120" s="5">
        <v>196</v>
      </c>
      <c r="V2120" s="5">
        <v>197.27</v>
      </c>
      <c r="W2120" s="5">
        <v>851900</v>
      </c>
    </row>
    <row r="2121" spans="1:23" x14ac:dyDescent="0.3">
      <c r="A2121" s="6">
        <v>41444</v>
      </c>
      <c r="B2121" s="7">
        <v>0.66666666666666663</v>
      </c>
      <c r="C2121" s="5">
        <v>338.5</v>
      </c>
      <c r="D2121" s="5">
        <v>354.46</v>
      </c>
      <c r="E2121" s="5">
        <v>338.5</v>
      </c>
      <c r="F2121" s="5">
        <v>349.09</v>
      </c>
      <c r="G2121" s="5">
        <v>41500</v>
      </c>
      <c r="Q2121" s="6">
        <v>41379</v>
      </c>
      <c r="R2121" s="7">
        <v>0.66666666666666663</v>
      </c>
      <c r="S2121" s="5">
        <v>198</v>
      </c>
      <c r="T2121" s="5">
        <v>198.88</v>
      </c>
      <c r="U2121" s="5">
        <v>192.3</v>
      </c>
      <c r="V2121" s="5">
        <v>194.51</v>
      </c>
      <c r="W2121" s="5">
        <v>647100</v>
      </c>
    </row>
    <row r="2122" spans="1:23" x14ac:dyDescent="0.3">
      <c r="A2122" s="6">
        <v>41445</v>
      </c>
      <c r="B2122" s="7">
        <v>0.66666666666666663</v>
      </c>
      <c r="C2122" s="5">
        <v>350</v>
      </c>
      <c r="D2122" s="5">
        <v>350</v>
      </c>
      <c r="E2122" s="5">
        <v>332</v>
      </c>
      <c r="F2122" s="5">
        <v>341.57</v>
      </c>
      <c r="G2122" s="5">
        <v>4600</v>
      </c>
      <c r="Q2122" s="6">
        <v>41380</v>
      </c>
      <c r="R2122" s="7">
        <v>0.66666666666666663</v>
      </c>
      <c r="S2122" s="5">
        <v>192</v>
      </c>
      <c r="T2122" s="5">
        <v>192.55</v>
      </c>
      <c r="U2122" s="5">
        <v>184.79</v>
      </c>
      <c r="V2122" s="5">
        <v>184.79</v>
      </c>
      <c r="W2122" s="5">
        <v>932200</v>
      </c>
    </row>
    <row r="2123" spans="1:23" x14ac:dyDescent="0.3">
      <c r="A2123" s="6">
        <v>41446</v>
      </c>
      <c r="B2123" s="7">
        <v>0.66666666666666663</v>
      </c>
      <c r="C2123" s="5">
        <v>341.57</v>
      </c>
      <c r="D2123" s="5">
        <v>342</v>
      </c>
      <c r="E2123" s="5">
        <v>332.01</v>
      </c>
      <c r="F2123" s="5">
        <v>340</v>
      </c>
      <c r="G2123" s="5">
        <v>31200</v>
      </c>
      <c r="Q2123" s="6">
        <v>41381</v>
      </c>
      <c r="R2123" s="7">
        <v>0.66666666666666663</v>
      </c>
      <c r="S2123" s="5">
        <v>184</v>
      </c>
      <c r="T2123" s="5">
        <v>188.25</v>
      </c>
      <c r="U2123" s="5">
        <v>179</v>
      </c>
      <c r="V2123" s="5">
        <v>186.17</v>
      </c>
      <c r="W2123" s="5">
        <v>1596600</v>
      </c>
    </row>
    <row r="2124" spans="1:23" x14ac:dyDescent="0.3">
      <c r="A2124" s="6">
        <v>41449</v>
      </c>
      <c r="B2124" s="7">
        <v>0.66666666666666663</v>
      </c>
      <c r="C2124" s="5">
        <v>325.11</v>
      </c>
      <c r="D2124" s="5">
        <v>330</v>
      </c>
      <c r="E2124" s="5">
        <v>323</v>
      </c>
      <c r="F2124" s="5">
        <v>328.08</v>
      </c>
      <c r="G2124" s="5">
        <v>6000</v>
      </c>
      <c r="Q2124" s="6">
        <v>41382</v>
      </c>
      <c r="R2124" s="7">
        <v>0.66666666666666663</v>
      </c>
      <c r="S2124" s="5">
        <v>186.3</v>
      </c>
      <c r="T2124" s="5">
        <v>188.9</v>
      </c>
      <c r="U2124" s="5">
        <v>184.01</v>
      </c>
      <c r="V2124" s="5">
        <v>188.05</v>
      </c>
      <c r="W2124" s="5">
        <v>950900</v>
      </c>
    </row>
    <row r="2125" spans="1:23" x14ac:dyDescent="0.3">
      <c r="A2125" s="6">
        <v>41450</v>
      </c>
      <c r="B2125" s="7">
        <v>0.66666666666666663</v>
      </c>
      <c r="C2125" s="5">
        <v>330</v>
      </c>
      <c r="D2125" s="5">
        <v>334</v>
      </c>
      <c r="E2125" s="5">
        <v>325</v>
      </c>
      <c r="F2125" s="5">
        <v>329.48</v>
      </c>
      <c r="G2125" s="5">
        <v>1800</v>
      </c>
      <c r="Q2125" s="6">
        <v>41383</v>
      </c>
      <c r="R2125" s="7">
        <v>0.66666666666666663</v>
      </c>
      <c r="S2125" s="5">
        <v>189</v>
      </c>
      <c r="T2125" s="5">
        <v>194.8</v>
      </c>
      <c r="U2125" s="5">
        <v>188.31</v>
      </c>
      <c r="V2125" s="5">
        <v>192.57</v>
      </c>
      <c r="W2125" s="5">
        <v>1493000</v>
      </c>
    </row>
    <row r="2126" spans="1:23" x14ac:dyDescent="0.3">
      <c r="A2126" s="6">
        <v>41451</v>
      </c>
      <c r="B2126" s="7">
        <v>0.66666666666666663</v>
      </c>
      <c r="C2126" s="5">
        <v>330</v>
      </c>
      <c r="D2126" s="5">
        <v>340</v>
      </c>
      <c r="E2126" s="5">
        <v>330</v>
      </c>
      <c r="F2126" s="5">
        <v>337.01</v>
      </c>
      <c r="G2126" s="5">
        <v>29300</v>
      </c>
      <c r="Q2126" s="6">
        <v>41386</v>
      </c>
      <c r="R2126" s="7">
        <v>0.66666666666666663</v>
      </c>
      <c r="S2126" s="5">
        <v>192.89</v>
      </c>
      <c r="T2126" s="5">
        <v>194</v>
      </c>
      <c r="U2126" s="5">
        <v>190.2</v>
      </c>
      <c r="V2126" s="5">
        <v>193.16</v>
      </c>
      <c r="W2126" s="5">
        <v>593100</v>
      </c>
    </row>
    <row r="2127" spans="1:23" x14ac:dyDescent="0.3">
      <c r="A2127" s="6">
        <v>41452</v>
      </c>
      <c r="B2127" s="7">
        <v>0.66666666666666663</v>
      </c>
      <c r="C2127" s="5">
        <v>349</v>
      </c>
      <c r="D2127" s="5">
        <v>349</v>
      </c>
      <c r="E2127" s="5">
        <v>330</v>
      </c>
      <c r="F2127" s="5">
        <v>330.51</v>
      </c>
      <c r="G2127" s="5">
        <v>8200</v>
      </c>
      <c r="Q2127" s="6">
        <v>41387</v>
      </c>
      <c r="R2127" s="7">
        <v>0.66666666666666663</v>
      </c>
      <c r="S2127" s="5">
        <v>193.9</v>
      </c>
      <c r="T2127" s="5">
        <v>196.2</v>
      </c>
      <c r="U2127" s="5">
        <v>191.3</v>
      </c>
      <c r="V2127" s="5">
        <v>192.95</v>
      </c>
      <c r="W2127" s="5">
        <v>363600</v>
      </c>
    </row>
    <row r="2128" spans="1:23" x14ac:dyDescent="0.3">
      <c r="A2128" s="6">
        <v>41453</v>
      </c>
      <c r="B2128" s="7">
        <v>0.66666666666666663</v>
      </c>
      <c r="C2128" s="5">
        <v>330</v>
      </c>
      <c r="D2128" s="5">
        <v>334</v>
      </c>
      <c r="E2128" s="5">
        <v>321</v>
      </c>
      <c r="F2128" s="5">
        <v>328.09</v>
      </c>
      <c r="G2128" s="5">
        <v>9000</v>
      </c>
      <c r="Q2128" s="6">
        <v>41388</v>
      </c>
      <c r="R2128" s="7">
        <v>0.66666666666666663</v>
      </c>
      <c r="S2128" s="5">
        <v>193.12</v>
      </c>
      <c r="T2128" s="5">
        <v>195.87</v>
      </c>
      <c r="U2128" s="5">
        <v>192.7</v>
      </c>
      <c r="V2128" s="5">
        <v>193.01</v>
      </c>
      <c r="W2128" s="5">
        <v>329200</v>
      </c>
    </row>
    <row r="2129" spans="1:23" x14ac:dyDescent="0.3">
      <c r="A2129" s="6">
        <v>41456</v>
      </c>
      <c r="B2129" s="7">
        <v>0.66666666666666663</v>
      </c>
      <c r="C2129" s="5">
        <v>330</v>
      </c>
      <c r="D2129" s="5">
        <v>340</v>
      </c>
      <c r="E2129" s="5">
        <v>330</v>
      </c>
      <c r="F2129" s="5">
        <v>339.64</v>
      </c>
      <c r="G2129" s="5">
        <v>9400</v>
      </c>
      <c r="Q2129" s="6">
        <v>41389</v>
      </c>
      <c r="R2129" s="7">
        <v>0.66666666666666663</v>
      </c>
      <c r="S2129" s="5">
        <v>194.95</v>
      </c>
      <c r="T2129" s="5">
        <v>195.52</v>
      </c>
      <c r="U2129" s="5">
        <v>193.51</v>
      </c>
      <c r="V2129" s="5">
        <v>193.81</v>
      </c>
      <c r="W2129" s="5">
        <v>244200</v>
      </c>
    </row>
    <row r="2130" spans="1:23" x14ac:dyDescent="0.3">
      <c r="A2130" s="6">
        <v>41457</v>
      </c>
      <c r="B2130" s="7">
        <v>0.66666666666666663</v>
      </c>
      <c r="C2130" s="5">
        <v>332</v>
      </c>
      <c r="D2130" s="5">
        <v>345</v>
      </c>
      <c r="E2130" s="5">
        <v>332</v>
      </c>
      <c r="F2130" s="5">
        <v>341</v>
      </c>
      <c r="G2130" s="5">
        <v>4900</v>
      </c>
      <c r="Q2130" s="6">
        <v>41390</v>
      </c>
      <c r="R2130" s="7">
        <v>0.66666666666666663</v>
      </c>
      <c r="S2130" s="5">
        <v>194.1</v>
      </c>
      <c r="T2130" s="5">
        <v>194.88</v>
      </c>
      <c r="U2130" s="5">
        <v>192.5</v>
      </c>
      <c r="V2130" s="5">
        <v>193.01</v>
      </c>
      <c r="W2130" s="5">
        <v>235800</v>
      </c>
    </row>
    <row r="2131" spans="1:23" x14ac:dyDescent="0.3">
      <c r="A2131" s="6">
        <v>41458</v>
      </c>
      <c r="B2131" s="7">
        <v>0.66666666666666663</v>
      </c>
      <c r="C2131" s="5">
        <v>349</v>
      </c>
      <c r="D2131" s="5">
        <v>350</v>
      </c>
      <c r="E2131" s="5">
        <v>341</v>
      </c>
      <c r="F2131" s="5">
        <v>350</v>
      </c>
      <c r="G2131" s="5">
        <v>10400</v>
      </c>
      <c r="Q2131" s="6">
        <v>41393</v>
      </c>
      <c r="R2131" s="7">
        <v>0.66666666666666663</v>
      </c>
      <c r="S2131" s="5">
        <v>192.6</v>
      </c>
      <c r="T2131" s="5">
        <v>193.5</v>
      </c>
      <c r="U2131" s="5">
        <v>191.51</v>
      </c>
      <c r="V2131" s="5">
        <v>192.45</v>
      </c>
      <c r="W2131" s="5">
        <v>169500</v>
      </c>
    </row>
    <row r="2132" spans="1:23" x14ac:dyDescent="0.3">
      <c r="A2132" s="6">
        <v>41459</v>
      </c>
      <c r="B2132" s="7">
        <v>0.66666666666666663</v>
      </c>
      <c r="C2132" s="5">
        <v>353</v>
      </c>
      <c r="D2132" s="5">
        <v>367.5</v>
      </c>
      <c r="E2132" s="5">
        <v>352</v>
      </c>
      <c r="F2132" s="5">
        <v>357.99</v>
      </c>
      <c r="G2132" s="5">
        <v>9300</v>
      </c>
      <c r="Q2132" s="6">
        <v>41394</v>
      </c>
      <c r="R2132" s="7">
        <v>0.66666666666666663</v>
      </c>
      <c r="S2132" s="5">
        <v>192.45</v>
      </c>
      <c r="T2132" s="5">
        <v>193.65</v>
      </c>
      <c r="U2132" s="5">
        <v>191.6</v>
      </c>
      <c r="V2132" s="5">
        <v>192.65</v>
      </c>
      <c r="W2132" s="5">
        <v>140700</v>
      </c>
    </row>
    <row r="2133" spans="1:23" x14ac:dyDescent="0.3">
      <c r="A2133" s="6">
        <v>41460</v>
      </c>
      <c r="B2133" s="7">
        <v>0.66666666666666663</v>
      </c>
      <c r="C2133" s="5">
        <v>359</v>
      </c>
      <c r="D2133" s="5">
        <v>369</v>
      </c>
      <c r="E2133" s="5">
        <v>355</v>
      </c>
      <c r="F2133" s="5">
        <v>358.65</v>
      </c>
      <c r="G2133" s="5">
        <v>16300</v>
      </c>
      <c r="Q2133" s="6">
        <v>41396</v>
      </c>
      <c r="R2133" s="7">
        <v>0.66666666666666663</v>
      </c>
      <c r="S2133" s="5">
        <v>192.76</v>
      </c>
      <c r="T2133" s="5">
        <v>193.55</v>
      </c>
      <c r="U2133" s="5">
        <v>191.61</v>
      </c>
      <c r="V2133" s="5">
        <v>191.74</v>
      </c>
      <c r="W2133" s="5">
        <v>92900</v>
      </c>
    </row>
    <row r="2134" spans="1:23" x14ac:dyDescent="0.3">
      <c r="A2134" s="6">
        <v>41463</v>
      </c>
      <c r="B2134" s="7">
        <v>0.66666666666666663</v>
      </c>
      <c r="C2134" s="5">
        <v>357</v>
      </c>
      <c r="D2134" s="5">
        <v>358</v>
      </c>
      <c r="E2134" s="5">
        <v>351</v>
      </c>
      <c r="F2134" s="5">
        <v>352.75</v>
      </c>
      <c r="G2134" s="5">
        <v>8000</v>
      </c>
      <c r="Q2134" s="6">
        <v>41397</v>
      </c>
      <c r="R2134" s="7">
        <v>0.66666666666666663</v>
      </c>
      <c r="S2134" s="5">
        <v>191.74</v>
      </c>
      <c r="T2134" s="5">
        <v>194.9</v>
      </c>
      <c r="U2134" s="5">
        <v>191.25</v>
      </c>
      <c r="V2134" s="5">
        <v>192.65</v>
      </c>
      <c r="W2134" s="5">
        <v>250300</v>
      </c>
    </row>
    <row r="2135" spans="1:23" x14ac:dyDescent="0.3">
      <c r="A2135" s="6">
        <v>41464</v>
      </c>
      <c r="B2135" s="7">
        <v>0.66666666666666663</v>
      </c>
      <c r="C2135" s="5">
        <v>351</v>
      </c>
      <c r="D2135" s="5">
        <v>355</v>
      </c>
      <c r="E2135" s="5">
        <v>348</v>
      </c>
      <c r="F2135" s="5">
        <v>351.86</v>
      </c>
      <c r="G2135" s="5">
        <v>7300</v>
      </c>
      <c r="Q2135" s="6">
        <v>41400</v>
      </c>
      <c r="R2135" s="7">
        <v>0.66666666666666663</v>
      </c>
      <c r="S2135" s="5">
        <v>192.5</v>
      </c>
      <c r="T2135" s="5">
        <v>195.8</v>
      </c>
      <c r="U2135" s="5">
        <v>192.5</v>
      </c>
      <c r="V2135" s="5">
        <v>193.36</v>
      </c>
      <c r="W2135" s="5">
        <v>405500</v>
      </c>
    </row>
    <row r="2136" spans="1:23" x14ac:dyDescent="0.3">
      <c r="A2136" s="6">
        <v>41465</v>
      </c>
      <c r="B2136" s="7">
        <v>0.66666666666666663</v>
      </c>
      <c r="C2136" s="5">
        <v>349.5</v>
      </c>
      <c r="D2136" s="5">
        <v>352</v>
      </c>
      <c r="E2136" s="5">
        <v>348.55</v>
      </c>
      <c r="F2136" s="5">
        <v>349</v>
      </c>
      <c r="G2136" s="5">
        <v>1400</v>
      </c>
      <c r="Q2136" s="6">
        <v>41401</v>
      </c>
      <c r="R2136" s="7">
        <v>0.66666666666666663</v>
      </c>
      <c r="S2136" s="5">
        <v>193.36</v>
      </c>
      <c r="T2136" s="5">
        <v>194.4</v>
      </c>
      <c r="U2136" s="5">
        <v>192.01</v>
      </c>
      <c r="V2136" s="5">
        <v>192.12</v>
      </c>
      <c r="W2136" s="5">
        <v>110200</v>
      </c>
    </row>
    <row r="2137" spans="1:23" x14ac:dyDescent="0.3">
      <c r="A2137" s="6">
        <v>41466</v>
      </c>
      <c r="B2137" s="7">
        <v>0.66666666666666663</v>
      </c>
      <c r="C2137" s="5">
        <v>347.05</v>
      </c>
      <c r="D2137" s="5">
        <v>357.75</v>
      </c>
      <c r="E2137" s="5">
        <v>347</v>
      </c>
      <c r="F2137" s="5">
        <v>350</v>
      </c>
      <c r="G2137" s="5">
        <v>1900</v>
      </c>
      <c r="Q2137" s="6">
        <v>41402</v>
      </c>
      <c r="R2137" s="7">
        <v>0.66666666666666663</v>
      </c>
      <c r="S2137" s="5">
        <v>192.7</v>
      </c>
      <c r="T2137" s="5">
        <v>193.89</v>
      </c>
      <c r="U2137" s="5">
        <v>191.7</v>
      </c>
      <c r="V2137" s="5">
        <v>192.59</v>
      </c>
      <c r="W2137" s="5">
        <v>231500</v>
      </c>
    </row>
    <row r="2138" spans="1:23" x14ac:dyDescent="0.3">
      <c r="A2138" s="6">
        <v>41467</v>
      </c>
      <c r="B2138" s="7">
        <v>0.66666666666666663</v>
      </c>
      <c r="C2138" s="5">
        <v>350</v>
      </c>
      <c r="D2138" s="5">
        <v>359.99</v>
      </c>
      <c r="E2138" s="5">
        <v>350</v>
      </c>
      <c r="F2138" s="5">
        <v>357.38</v>
      </c>
      <c r="G2138" s="5">
        <v>22300</v>
      </c>
      <c r="Q2138" s="6">
        <v>41403</v>
      </c>
      <c r="R2138" s="7">
        <v>0.66666666666666663</v>
      </c>
      <c r="S2138" s="5">
        <v>193.05</v>
      </c>
      <c r="T2138" s="5">
        <v>194.89</v>
      </c>
      <c r="U2138" s="5">
        <v>192.05</v>
      </c>
      <c r="V2138" s="5">
        <v>192.37</v>
      </c>
      <c r="W2138" s="5">
        <v>243100</v>
      </c>
    </row>
    <row r="2139" spans="1:23" x14ac:dyDescent="0.3">
      <c r="A2139" s="6">
        <v>41470</v>
      </c>
      <c r="B2139" s="7">
        <v>0.66666666666666663</v>
      </c>
      <c r="C2139" s="5">
        <v>356.5</v>
      </c>
      <c r="D2139" s="5">
        <v>374.1</v>
      </c>
      <c r="E2139" s="5">
        <v>355</v>
      </c>
      <c r="F2139" s="5">
        <v>372.66</v>
      </c>
      <c r="G2139" s="5">
        <v>43500</v>
      </c>
      <c r="Q2139" s="6">
        <v>41404</v>
      </c>
      <c r="R2139" s="7">
        <v>0.66666666666666663</v>
      </c>
      <c r="S2139" s="5">
        <v>192.5</v>
      </c>
      <c r="T2139" s="5">
        <v>195.35</v>
      </c>
      <c r="U2139" s="5">
        <v>192.26</v>
      </c>
      <c r="V2139" s="5">
        <v>193.52</v>
      </c>
      <c r="W2139" s="5">
        <v>517700</v>
      </c>
    </row>
    <row r="2140" spans="1:23" x14ac:dyDescent="0.3">
      <c r="A2140" s="6">
        <v>41471</v>
      </c>
      <c r="B2140" s="7">
        <v>0.66666666666666663</v>
      </c>
      <c r="C2140" s="5">
        <v>385</v>
      </c>
      <c r="D2140" s="5">
        <v>390</v>
      </c>
      <c r="E2140" s="5">
        <v>379.99</v>
      </c>
      <c r="F2140" s="5">
        <v>386.4</v>
      </c>
      <c r="G2140" s="5">
        <v>35900</v>
      </c>
      <c r="Q2140" s="6">
        <v>41407</v>
      </c>
      <c r="R2140" s="7">
        <v>0.66666666666666663</v>
      </c>
      <c r="S2140" s="5">
        <v>195</v>
      </c>
      <c r="T2140" s="5">
        <v>196.99</v>
      </c>
      <c r="U2140" s="5">
        <v>194.2</v>
      </c>
      <c r="V2140" s="5">
        <v>194.68</v>
      </c>
      <c r="W2140" s="5">
        <v>590800</v>
      </c>
    </row>
    <row r="2141" spans="1:23" x14ac:dyDescent="0.3">
      <c r="A2141" s="6">
        <v>41472</v>
      </c>
      <c r="B2141" s="7">
        <v>0.66666666666666663</v>
      </c>
      <c r="C2141" s="5">
        <v>388</v>
      </c>
      <c r="D2141" s="5">
        <v>393</v>
      </c>
      <c r="E2141" s="5">
        <v>385</v>
      </c>
      <c r="F2141" s="5">
        <v>390</v>
      </c>
      <c r="G2141" s="5">
        <v>15100</v>
      </c>
      <c r="Q2141" s="6">
        <v>41408</v>
      </c>
      <c r="R2141" s="7">
        <v>0.66666666666666663</v>
      </c>
      <c r="S2141" s="5">
        <v>195.3</v>
      </c>
      <c r="T2141" s="5">
        <v>196.99</v>
      </c>
      <c r="U2141" s="5">
        <v>190.15</v>
      </c>
      <c r="V2141" s="5">
        <v>191.54</v>
      </c>
      <c r="W2141" s="5">
        <v>1076000</v>
      </c>
    </row>
    <row r="2142" spans="1:23" x14ac:dyDescent="0.3">
      <c r="A2142" s="6">
        <v>41473</v>
      </c>
      <c r="B2142" s="7">
        <v>0.66666666666666663</v>
      </c>
      <c r="C2142" s="5">
        <v>392</v>
      </c>
      <c r="D2142" s="5">
        <v>402</v>
      </c>
      <c r="E2142" s="5">
        <v>384.99</v>
      </c>
      <c r="F2142" s="5">
        <v>398.55</v>
      </c>
      <c r="G2142" s="5">
        <v>73500</v>
      </c>
      <c r="Q2142" s="6">
        <v>41409</v>
      </c>
      <c r="R2142" s="7">
        <v>0.66666666666666663</v>
      </c>
      <c r="S2142" s="5">
        <v>192.69</v>
      </c>
      <c r="T2142" s="5">
        <v>192.99</v>
      </c>
      <c r="U2142" s="5">
        <v>186.5</v>
      </c>
      <c r="V2142" s="5">
        <v>187.92</v>
      </c>
      <c r="W2142" s="5">
        <v>687300</v>
      </c>
    </row>
    <row r="2143" spans="1:23" x14ac:dyDescent="0.3">
      <c r="A2143" s="6">
        <v>41474</v>
      </c>
      <c r="B2143" s="7">
        <v>0.66666666666666663</v>
      </c>
      <c r="C2143" s="5">
        <v>404.9</v>
      </c>
      <c r="D2143" s="5">
        <v>405</v>
      </c>
      <c r="E2143" s="5">
        <v>395</v>
      </c>
      <c r="F2143" s="5">
        <v>398.1</v>
      </c>
      <c r="G2143" s="5">
        <v>23300</v>
      </c>
      <c r="Q2143" s="6">
        <v>41410</v>
      </c>
      <c r="R2143" s="7">
        <v>0.66666666666666663</v>
      </c>
      <c r="S2143" s="5">
        <v>187.95</v>
      </c>
      <c r="T2143" s="5">
        <v>190.01</v>
      </c>
      <c r="U2143" s="5">
        <v>186.3</v>
      </c>
      <c r="V2143" s="5">
        <v>186.84</v>
      </c>
      <c r="W2143" s="5">
        <v>240600</v>
      </c>
    </row>
    <row r="2144" spans="1:23" x14ac:dyDescent="0.3">
      <c r="A2144" s="6">
        <v>41477</v>
      </c>
      <c r="B2144" s="7">
        <v>0.66666666666666663</v>
      </c>
      <c r="C2144" s="5">
        <v>396.99</v>
      </c>
      <c r="D2144" s="5">
        <v>408</v>
      </c>
      <c r="E2144" s="5">
        <v>396.05</v>
      </c>
      <c r="F2144" s="5">
        <v>401.18</v>
      </c>
      <c r="G2144" s="5">
        <v>65300</v>
      </c>
      <c r="Q2144" s="6">
        <v>41411</v>
      </c>
      <c r="R2144" s="7">
        <v>0.66666666666666663</v>
      </c>
      <c r="S2144" s="5">
        <v>186.11</v>
      </c>
      <c r="T2144" s="5">
        <v>188.34</v>
      </c>
      <c r="U2144" s="5">
        <v>186</v>
      </c>
      <c r="V2144" s="5">
        <v>186.32</v>
      </c>
      <c r="W2144" s="5">
        <v>201300</v>
      </c>
    </row>
    <row r="2145" spans="1:23" x14ac:dyDescent="0.3">
      <c r="A2145" s="6">
        <v>41478</v>
      </c>
      <c r="B2145" s="7">
        <v>0.66666666666666663</v>
      </c>
      <c r="C2145" s="5">
        <v>400</v>
      </c>
      <c r="D2145" s="5">
        <v>400</v>
      </c>
      <c r="E2145" s="5">
        <v>390</v>
      </c>
      <c r="F2145" s="5">
        <v>392.93</v>
      </c>
      <c r="G2145" s="5">
        <v>8600</v>
      </c>
      <c r="Q2145" s="6">
        <v>41414</v>
      </c>
      <c r="R2145" s="7">
        <v>0.66666666666666663</v>
      </c>
      <c r="S2145" s="5">
        <v>187.5</v>
      </c>
      <c r="T2145" s="5">
        <v>188.24</v>
      </c>
      <c r="U2145" s="5">
        <v>187.2</v>
      </c>
      <c r="V2145" s="5">
        <v>187.65</v>
      </c>
      <c r="W2145" s="5">
        <v>195600</v>
      </c>
    </row>
    <row r="2146" spans="1:23" x14ac:dyDescent="0.3">
      <c r="A2146" s="6">
        <v>41479</v>
      </c>
      <c r="B2146" s="7">
        <v>0.66666666666666663</v>
      </c>
      <c r="C2146" s="5">
        <v>397.98</v>
      </c>
      <c r="D2146" s="5">
        <v>400</v>
      </c>
      <c r="E2146" s="5">
        <v>385.15</v>
      </c>
      <c r="F2146" s="5">
        <v>397.73</v>
      </c>
      <c r="G2146" s="5">
        <v>2500</v>
      </c>
      <c r="Q2146" s="6">
        <v>41415</v>
      </c>
      <c r="R2146" s="7">
        <v>0.66666666666666663</v>
      </c>
      <c r="S2146" s="5">
        <v>188.3</v>
      </c>
      <c r="T2146" s="5">
        <v>193.7</v>
      </c>
      <c r="U2146" s="5">
        <v>187.53</v>
      </c>
      <c r="V2146" s="5">
        <v>191.38</v>
      </c>
      <c r="W2146" s="5">
        <v>1448600</v>
      </c>
    </row>
    <row r="2147" spans="1:23" x14ac:dyDescent="0.3">
      <c r="A2147" s="6">
        <v>41480</v>
      </c>
      <c r="B2147" s="7">
        <v>0.66666666666666663</v>
      </c>
      <c r="C2147" s="5">
        <v>397</v>
      </c>
      <c r="D2147" s="5">
        <v>397</v>
      </c>
      <c r="E2147" s="5">
        <v>386.6</v>
      </c>
      <c r="F2147" s="5">
        <v>388.77</v>
      </c>
      <c r="G2147" s="5">
        <v>11700</v>
      </c>
      <c r="Q2147" s="6">
        <v>41416</v>
      </c>
      <c r="R2147" s="7">
        <v>0.66666666666666663</v>
      </c>
      <c r="S2147" s="5">
        <v>192.28</v>
      </c>
      <c r="T2147" s="5">
        <v>195.9</v>
      </c>
      <c r="U2147" s="5">
        <v>192.05</v>
      </c>
      <c r="V2147" s="5">
        <v>194.35</v>
      </c>
      <c r="W2147" s="5">
        <v>1453900</v>
      </c>
    </row>
    <row r="2148" spans="1:23" x14ac:dyDescent="0.3">
      <c r="A2148" s="6">
        <v>41481</v>
      </c>
      <c r="B2148" s="7">
        <v>0.66666666666666663</v>
      </c>
      <c r="C2148" s="5">
        <v>395</v>
      </c>
      <c r="D2148" s="5">
        <v>395</v>
      </c>
      <c r="E2148" s="5">
        <v>390</v>
      </c>
      <c r="F2148" s="5">
        <v>393</v>
      </c>
      <c r="G2148" s="5">
        <v>3500</v>
      </c>
      <c r="Q2148" s="6">
        <v>41417</v>
      </c>
      <c r="R2148" s="7">
        <v>0.66666666666666663</v>
      </c>
      <c r="S2148" s="5">
        <v>195.11</v>
      </c>
      <c r="T2148" s="5">
        <v>197.74</v>
      </c>
      <c r="U2148" s="5">
        <v>193.5</v>
      </c>
      <c r="V2148" s="5">
        <v>195.19</v>
      </c>
      <c r="W2148" s="5">
        <v>2122800</v>
      </c>
    </row>
    <row r="2149" spans="1:23" x14ac:dyDescent="0.3">
      <c r="A2149" s="6">
        <v>41484</v>
      </c>
      <c r="B2149" s="7">
        <v>0.66666666666666663</v>
      </c>
      <c r="C2149" s="5">
        <v>389.95</v>
      </c>
      <c r="D2149" s="5">
        <v>412</v>
      </c>
      <c r="E2149" s="5">
        <v>389.95</v>
      </c>
      <c r="F2149" s="5">
        <v>397.85</v>
      </c>
      <c r="G2149" s="5">
        <v>76800</v>
      </c>
      <c r="Q2149" s="6">
        <v>41418</v>
      </c>
      <c r="R2149" s="7">
        <v>0.66666666666666663</v>
      </c>
      <c r="S2149" s="5">
        <v>195.19</v>
      </c>
      <c r="T2149" s="5">
        <v>197.5</v>
      </c>
      <c r="U2149" s="5">
        <v>195</v>
      </c>
      <c r="V2149" s="5">
        <v>196.15</v>
      </c>
      <c r="W2149" s="5">
        <v>1331300</v>
      </c>
    </row>
    <row r="2150" spans="1:23" x14ac:dyDescent="0.3">
      <c r="A2150" s="6">
        <v>41485</v>
      </c>
      <c r="B2150" s="7">
        <v>0.66666666666666663</v>
      </c>
      <c r="C2150" s="5">
        <v>408</v>
      </c>
      <c r="D2150" s="5">
        <v>415</v>
      </c>
      <c r="E2150" s="5">
        <v>407</v>
      </c>
      <c r="F2150" s="5">
        <v>407</v>
      </c>
      <c r="G2150" s="5">
        <v>4100</v>
      </c>
      <c r="Q2150" s="6">
        <v>41421</v>
      </c>
      <c r="R2150" s="7">
        <v>0.66666666666666663</v>
      </c>
      <c r="S2150" s="5">
        <v>197.2</v>
      </c>
      <c r="T2150" s="5">
        <v>197.5</v>
      </c>
      <c r="U2150" s="5">
        <v>193</v>
      </c>
      <c r="V2150" s="5">
        <v>193.65</v>
      </c>
      <c r="W2150" s="5">
        <v>686300</v>
      </c>
    </row>
    <row r="2151" spans="1:23" x14ac:dyDescent="0.3">
      <c r="A2151" s="6">
        <v>41486</v>
      </c>
      <c r="B2151" s="7">
        <v>0.66666666666666663</v>
      </c>
      <c r="C2151" s="5">
        <v>412.95</v>
      </c>
      <c r="D2151" s="5">
        <v>415</v>
      </c>
      <c r="E2151" s="5">
        <v>408</v>
      </c>
      <c r="F2151" s="5">
        <v>412.01</v>
      </c>
      <c r="G2151" s="5">
        <v>3200</v>
      </c>
      <c r="Q2151" s="6">
        <v>41422</v>
      </c>
      <c r="R2151" s="7">
        <v>0.66666666666666663</v>
      </c>
      <c r="S2151" s="5">
        <v>193.65</v>
      </c>
      <c r="T2151" s="5">
        <v>197.35</v>
      </c>
      <c r="U2151" s="5">
        <v>193.65</v>
      </c>
      <c r="V2151" s="5">
        <v>195.2</v>
      </c>
      <c r="W2151" s="5">
        <v>658300</v>
      </c>
    </row>
    <row r="2152" spans="1:23" x14ac:dyDescent="0.3">
      <c r="A2152" s="6">
        <v>41487</v>
      </c>
      <c r="B2152" s="7">
        <v>0.66666666666666663</v>
      </c>
      <c r="C2152" s="5">
        <v>410</v>
      </c>
      <c r="D2152" s="5">
        <v>411.49</v>
      </c>
      <c r="E2152" s="5">
        <v>403</v>
      </c>
      <c r="F2152" s="5">
        <v>411.49</v>
      </c>
      <c r="G2152" s="5">
        <v>4600</v>
      </c>
      <c r="Q2152" s="6">
        <v>41423</v>
      </c>
      <c r="R2152" s="7">
        <v>0.66666666666666663</v>
      </c>
      <c r="S2152" s="5">
        <v>196.5</v>
      </c>
      <c r="T2152" s="5">
        <v>197.4</v>
      </c>
      <c r="U2152" s="5">
        <v>194</v>
      </c>
      <c r="V2152" s="5">
        <v>194.26</v>
      </c>
      <c r="W2152" s="5">
        <v>389900</v>
      </c>
    </row>
    <row r="2153" spans="1:23" x14ac:dyDescent="0.3">
      <c r="A2153" s="6">
        <v>41491</v>
      </c>
      <c r="B2153" s="7">
        <v>0.66666666666666663</v>
      </c>
      <c r="C2153" s="5">
        <v>401.25</v>
      </c>
      <c r="D2153" s="5">
        <v>408.99</v>
      </c>
      <c r="E2153" s="5">
        <v>391</v>
      </c>
      <c r="F2153" s="5">
        <v>396.29</v>
      </c>
      <c r="G2153" s="5">
        <v>7900</v>
      </c>
      <c r="Q2153" s="6">
        <v>41424</v>
      </c>
      <c r="R2153" s="7">
        <v>0.66666666666666663</v>
      </c>
      <c r="S2153" s="5">
        <v>194.9</v>
      </c>
      <c r="T2153" s="5">
        <v>196.49</v>
      </c>
      <c r="U2153" s="5">
        <v>193.05</v>
      </c>
      <c r="V2153" s="5">
        <v>194.28</v>
      </c>
      <c r="W2153" s="5">
        <v>468400</v>
      </c>
    </row>
    <row r="2154" spans="1:23" x14ac:dyDescent="0.3">
      <c r="A2154" s="6">
        <v>41492</v>
      </c>
      <c r="B2154" s="7">
        <v>0.66666666666666663</v>
      </c>
      <c r="C2154" s="5">
        <v>402</v>
      </c>
      <c r="D2154" s="5">
        <v>402</v>
      </c>
      <c r="E2154" s="5">
        <v>396.45</v>
      </c>
      <c r="F2154" s="5">
        <v>396.62</v>
      </c>
      <c r="G2154" s="5">
        <v>4000</v>
      </c>
      <c r="Q2154" s="6">
        <v>41425</v>
      </c>
      <c r="R2154" s="7">
        <v>0.66666666666666663</v>
      </c>
      <c r="S2154" s="5">
        <v>195</v>
      </c>
      <c r="T2154" s="5">
        <v>195.75</v>
      </c>
      <c r="U2154" s="5">
        <v>193.2</v>
      </c>
      <c r="V2154" s="5">
        <v>193.7</v>
      </c>
      <c r="W2154" s="5">
        <v>485100</v>
      </c>
    </row>
    <row r="2155" spans="1:23" x14ac:dyDescent="0.3">
      <c r="A2155" s="6">
        <v>41493</v>
      </c>
      <c r="B2155" s="7">
        <v>0.66666666666666663</v>
      </c>
      <c r="C2155" s="5">
        <v>393</v>
      </c>
      <c r="D2155" s="5">
        <v>406.4</v>
      </c>
      <c r="E2155" s="5">
        <v>393</v>
      </c>
      <c r="F2155" s="5">
        <v>403.3</v>
      </c>
      <c r="G2155" s="5">
        <v>1700</v>
      </c>
      <c r="Q2155" s="6">
        <v>41428</v>
      </c>
      <c r="R2155" s="7">
        <v>0.66666666666666663</v>
      </c>
      <c r="S2155" s="5">
        <v>194.1</v>
      </c>
      <c r="T2155" s="5">
        <v>198.7</v>
      </c>
      <c r="U2155" s="5">
        <v>194.1</v>
      </c>
      <c r="V2155" s="5">
        <v>196.3</v>
      </c>
      <c r="W2155" s="5">
        <v>1879900</v>
      </c>
    </row>
    <row r="2156" spans="1:23" x14ac:dyDescent="0.3">
      <c r="A2156" s="6">
        <v>41498</v>
      </c>
      <c r="B2156" s="7">
        <v>0.66666666666666663</v>
      </c>
      <c r="C2156" s="5">
        <v>404</v>
      </c>
      <c r="D2156" s="5">
        <v>410</v>
      </c>
      <c r="E2156" s="5">
        <v>403.6</v>
      </c>
      <c r="F2156" s="5">
        <v>403.6</v>
      </c>
      <c r="G2156" s="5">
        <v>3200</v>
      </c>
      <c r="Q2156" s="6">
        <v>41429</v>
      </c>
      <c r="R2156" s="7">
        <v>0.66666666666666663</v>
      </c>
      <c r="S2156" s="5">
        <v>197.39</v>
      </c>
      <c r="T2156" s="5">
        <v>200.38</v>
      </c>
      <c r="U2156" s="5">
        <v>196.5</v>
      </c>
      <c r="V2156" s="5">
        <v>197.03</v>
      </c>
      <c r="W2156" s="5">
        <v>931600</v>
      </c>
    </row>
    <row r="2157" spans="1:23" x14ac:dyDescent="0.3">
      <c r="A2157" s="6">
        <v>41499</v>
      </c>
      <c r="B2157" s="7">
        <v>0.66666666666666663</v>
      </c>
      <c r="C2157" s="5">
        <v>401.01</v>
      </c>
      <c r="D2157" s="5">
        <v>402</v>
      </c>
      <c r="E2157" s="5">
        <v>396.51</v>
      </c>
      <c r="F2157" s="5">
        <v>400</v>
      </c>
      <c r="G2157" s="5">
        <v>1600</v>
      </c>
      <c r="Q2157" s="6">
        <v>41430</v>
      </c>
      <c r="R2157" s="7">
        <v>0.66666666666666663</v>
      </c>
      <c r="S2157" s="5">
        <v>197.1</v>
      </c>
      <c r="T2157" s="5">
        <v>198</v>
      </c>
      <c r="U2157" s="5">
        <v>195</v>
      </c>
      <c r="V2157" s="5">
        <v>195.22</v>
      </c>
      <c r="W2157" s="5">
        <v>315600</v>
      </c>
    </row>
    <row r="2158" spans="1:23" x14ac:dyDescent="0.3">
      <c r="A2158" s="6">
        <v>41501</v>
      </c>
      <c r="B2158" s="7">
        <v>0.66666666666666663</v>
      </c>
      <c r="C2158" s="5">
        <v>400</v>
      </c>
      <c r="D2158" s="5">
        <v>400</v>
      </c>
      <c r="E2158" s="5">
        <v>389</v>
      </c>
      <c r="F2158" s="5">
        <v>395</v>
      </c>
      <c r="G2158" s="5">
        <v>3800</v>
      </c>
      <c r="Q2158" s="6">
        <v>41431</v>
      </c>
      <c r="R2158" s="7">
        <v>0.66666666666666663</v>
      </c>
      <c r="S2158" s="5">
        <v>195.99</v>
      </c>
      <c r="T2158" s="5">
        <v>196.9</v>
      </c>
      <c r="U2158" s="5">
        <v>194.76</v>
      </c>
      <c r="V2158" s="5">
        <v>196.08</v>
      </c>
      <c r="W2158" s="5">
        <v>273000</v>
      </c>
    </row>
    <row r="2159" spans="1:23" x14ac:dyDescent="0.3">
      <c r="A2159" s="6">
        <v>41502</v>
      </c>
      <c r="B2159" s="7">
        <v>0.66666666666666663</v>
      </c>
      <c r="C2159" s="5">
        <v>397</v>
      </c>
      <c r="D2159" s="5">
        <v>400</v>
      </c>
      <c r="E2159" s="5">
        <v>390</v>
      </c>
      <c r="F2159" s="5">
        <v>396.32</v>
      </c>
      <c r="G2159" s="5">
        <v>13200</v>
      </c>
      <c r="Q2159" s="6">
        <v>41432</v>
      </c>
      <c r="R2159" s="7">
        <v>0.66666666666666663</v>
      </c>
      <c r="S2159" s="5">
        <v>196</v>
      </c>
      <c r="T2159" s="5">
        <v>198.99</v>
      </c>
      <c r="U2159" s="5">
        <v>196</v>
      </c>
      <c r="V2159" s="5">
        <v>197.07</v>
      </c>
      <c r="W2159" s="5">
        <v>590000</v>
      </c>
    </row>
    <row r="2160" spans="1:23" x14ac:dyDescent="0.3">
      <c r="A2160" s="6">
        <v>41505</v>
      </c>
      <c r="B2160" s="7">
        <v>0.66666666666666663</v>
      </c>
      <c r="C2160" s="5">
        <v>395</v>
      </c>
      <c r="D2160" s="5">
        <v>395</v>
      </c>
      <c r="E2160" s="5">
        <v>376.51</v>
      </c>
      <c r="F2160" s="5">
        <v>384</v>
      </c>
      <c r="G2160" s="5">
        <v>3400</v>
      </c>
      <c r="Q2160" s="6">
        <v>41435</v>
      </c>
      <c r="R2160" s="7">
        <v>0.66666666666666663</v>
      </c>
      <c r="S2160" s="5">
        <v>197.15</v>
      </c>
      <c r="T2160" s="5">
        <v>197.99</v>
      </c>
      <c r="U2160" s="5">
        <v>195.1</v>
      </c>
      <c r="V2160" s="5">
        <v>195.43</v>
      </c>
      <c r="W2160" s="5">
        <v>147600</v>
      </c>
    </row>
    <row r="2161" spans="1:23" x14ac:dyDescent="0.3">
      <c r="A2161" s="6">
        <v>41506</v>
      </c>
      <c r="B2161" s="7">
        <v>0.66666666666666663</v>
      </c>
      <c r="C2161" s="5">
        <v>365</v>
      </c>
      <c r="D2161" s="5">
        <v>385</v>
      </c>
      <c r="E2161" s="5">
        <v>364.8</v>
      </c>
      <c r="F2161" s="5">
        <v>381.44</v>
      </c>
      <c r="G2161" s="5">
        <v>21700</v>
      </c>
      <c r="Q2161" s="6">
        <v>41436</v>
      </c>
      <c r="R2161" s="7">
        <v>0.66666666666666663</v>
      </c>
      <c r="S2161" s="5">
        <v>195.25</v>
      </c>
      <c r="T2161" s="5">
        <v>196.3</v>
      </c>
      <c r="U2161" s="5">
        <v>194.3</v>
      </c>
      <c r="V2161" s="5">
        <v>194.81</v>
      </c>
      <c r="W2161" s="5">
        <v>70400</v>
      </c>
    </row>
    <row r="2162" spans="1:23" x14ac:dyDescent="0.3">
      <c r="A2162" s="6">
        <v>41507</v>
      </c>
      <c r="B2162" s="7">
        <v>0.66666666666666663</v>
      </c>
      <c r="C2162" s="5">
        <v>380</v>
      </c>
      <c r="D2162" s="5">
        <v>400.51</v>
      </c>
      <c r="E2162" s="5">
        <v>370.64</v>
      </c>
      <c r="F2162" s="5">
        <v>395.35</v>
      </c>
      <c r="G2162" s="5">
        <v>783600</v>
      </c>
      <c r="Q2162" s="6">
        <v>41437</v>
      </c>
      <c r="R2162" s="7">
        <v>0.66666666666666663</v>
      </c>
      <c r="S2162" s="5">
        <v>195.5</v>
      </c>
      <c r="T2162" s="5">
        <v>202.25</v>
      </c>
      <c r="U2162" s="5">
        <v>195.5</v>
      </c>
      <c r="V2162" s="5">
        <v>198.2</v>
      </c>
      <c r="W2162" s="5">
        <v>1785300</v>
      </c>
    </row>
    <row r="2163" spans="1:23" x14ac:dyDescent="0.3">
      <c r="A2163" s="6">
        <v>41508</v>
      </c>
      <c r="B2163" s="7">
        <v>0.66666666666666663</v>
      </c>
      <c r="C2163" s="5">
        <v>400</v>
      </c>
      <c r="D2163" s="5">
        <v>401.75</v>
      </c>
      <c r="E2163" s="5">
        <v>395</v>
      </c>
      <c r="F2163" s="5">
        <v>395</v>
      </c>
      <c r="G2163" s="5">
        <v>11300</v>
      </c>
      <c r="Q2163" s="6">
        <v>41438</v>
      </c>
      <c r="R2163" s="7">
        <v>0.66666666666666663</v>
      </c>
      <c r="S2163" s="5">
        <v>199.95</v>
      </c>
      <c r="T2163" s="5">
        <v>203.5</v>
      </c>
      <c r="U2163" s="5">
        <v>197.7</v>
      </c>
      <c r="V2163" s="5">
        <v>200.5</v>
      </c>
      <c r="W2163" s="5">
        <v>1362900</v>
      </c>
    </row>
    <row r="2164" spans="1:23" x14ac:dyDescent="0.3">
      <c r="A2164" s="6">
        <v>41509</v>
      </c>
      <c r="B2164" s="7">
        <v>0.66666666666666663</v>
      </c>
      <c r="C2164" s="5">
        <v>395</v>
      </c>
      <c r="D2164" s="5">
        <v>401</v>
      </c>
      <c r="E2164" s="5">
        <v>395</v>
      </c>
      <c r="F2164" s="5">
        <v>399.9</v>
      </c>
      <c r="G2164" s="5">
        <v>19500</v>
      </c>
      <c r="Q2164" s="6">
        <v>41439</v>
      </c>
      <c r="R2164" s="7">
        <v>0.66666666666666663</v>
      </c>
      <c r="S2164" s="5">
        <v>201.2</v>
      </c>
      <c r="T2164" s="5">
        <v>203.89</v>
      </c>
      <c r="U2164" s="5">
        <v>191</v>
      </c>
      <c r="V2164" s="5">
        <v>196.03</v>
      </c>
      <c r="W2164" s="5">
        <v>1724400</v>
      </c>
    </row>
    <row r="2165" spans="1:23" x14ac:dyDescent="0.3">
      <c r="A2165" s="6">
        <v>41512</v>
      </c>
      <c r="B2165" s="7">
        <v>0.66666666666666663</v>
      </c>
      <c r="C2165" s="5">
        <v>401.1</v>
      </c>
      <c r="D2165" s="5">
        <v>404.75</v>
      </c>
      <c r="E2165" s="5">
        <v>398.1</v>
      </c>
      <c r="F2165" s="5">
        <v>400.01</v>
      </c>
      <c r="G2165" s="5">
        <v>2800</v>
      </c>
      <c r="Q2165" s="6">
        <v>41442</v>
      </c>
      <c r="R2165" s="7">
        <v>0.66666666666666663</v>
      </c>
      <c r="S2165" s="5">
        <v>194.48</v>
      </c>
      <c r="T2165" s="5">
        <v>195.4</v>
      </c>
      <c r="U2165" s="5">
        <v>191.2</v>
      </c>
      <c r="V2165" s="5">
        <v>192.02</v>
      </c>
      <c r="W2165" s="5">
        <v>403900</v>
      </c>
    </row>
    <row r="2166" spans="1:23" x14ac:dyDescent="0.3">
      <c r="A2166" s="6">
        <v>41513</v>
      </c>
      <c r="B2166" s="7">
        <v>0.66666666666666663</v>
      </c>
      <c r="C2166" s="5">
        <v>400</v>
      </c>
      <c r="D2166" s="5">
        <v>400</v>
      </c>
      <c r="E2166" s="5">
        <v>399.9</v>
      </c>
      <c r="F2166" s="5">
        <v>399.9</v>
      </c>
      <c r="G2166" s="5">
        <v>2200</v>
      </c>
      <c r="Q2166" s="6">
        <v>41443</v>
      </c>
      <c r="R2166" s="7">
        <v>0.66666666666666663</v>
      </c>
      <c r="S2166" s="5">
        <v>192.99</v>
      </c>
      <c r="T2166" s="5">
        <v>194.3</v>
      </c>
      <c r="U2166" s="5">
        <v>190.5</v>
      </c>
      <c r="V2166" s="5">
        <v>190.89</v>
      </c>
      <c r="W2166" s="5">
        <v>274900</v>
      </c>
    </row>
    <row r="2167" spans="1:23" x14ac:dyDescent="0.3">
      <c r="A2167" s="6">
        <v>41514</v>
      </c>
      <c r="B2167" s="7">
        <v>0.66666666666666663</v>
      </c>
      <c r="C2167" s="5">
        <v>400</v>
      </c>
      <c r="D2167" s="5">
        <v>401</v>
      </c>
      <c r="E2167" s="5">
        <v>390</v>
      </c>
      <c r="F2167" s="5">
        <v>399.43</v>
      </c>
      <c r="G2167" s="5">
        <v>7100</v>
      </c>
      <c r="Q2167" s="6">
        <v>41444</v>
      </c>
      <c r="R2167" s="7">
        <v>0.66666666666666663</v>
      </c>
      <c r="S2167" s="5">
        <v>191.89</v>
      </c>
      <c r="T2167" s="5">
        <v>194.7</v>
      </c>
      <c r="U2167" s="5">
        <v>191.89</v>
      </c>
      <c r="V2167" s="5">
        <v>193.09</v>
      </c>
      <c r="W2167" s="5">
        <v>373200</v>
      </c>
    </row>
    <row r="2168" spans="1:23" x14ac:dyDescent="0.3">
      <c r="A2168" s="6">
        <v>41515</v>
      </c>
      <c r="B2168" s="7">
        <v>0.66666666666666663</v>
      </c>
      <c r="C2168" s="5">
        <v>398</v>
      </c>
      <c r="D2168" s="5">
        <v>398</v>
      </c>
      <c r="E2168" s="5">
        <v>390</v>
      </c>
      <c r="F2168" s="5">
        <v>391.86</v>
      </c>
      <c r="G2168" s="5">
        <v>700</v>
      </c>
      <c r="Q2168" s="6">
        <v>41445</v>
      </c>
      <c r="R2168" s="7">
        <v>0.66666666666666663</v>
      </c>
      <c r="S2168" s="5">
        <v>193.09</v>
      </c>
      <c r="T2168" s="5">
        <v>193.88</v>
      </c>
      <c r="U2168" s="5">
        <v>190.01</v>
      </c>
      <c r="V2168" s="5">
        <v>190.46</v>
      </c>
      <c r="W2168" s="5">
        <v>146300</v>
      </c>
    </row>
    <row r="2169" spans="1:23" x14ac:dyDescent="0.3">
      <c r="A2169" s="6">
        <v>41516</v>
      </c>
      <c r="B2169" s="7">
        <v>0.66666666666666663</v>
      </c>
      <c r="C2169" s="5">
        <v>390</v>
      </c>
      <c r="D2169" s="5">
        <v>399</v>
      </c>
      <c r="E2169" s="5">
        <v>390</v>
      </c>
      <c r="F2169" s="5">
        <v>390</v>
      </c>
      <c r="G2169" s="5">
        <v>1100</v>
      </c>
      <c r="Q2169" s="6">
        <v>41446</v>
      </c>
      <c r="R2169" s="7">
        <v>0.66666666666666663</v>
      </c>
      <c r="S2169" s="5">
        <v>190.55</v>
      </c>
      <c r="T2169" s="5">
        <v>190.55</v>
      </c>
      <c r="U2169" s="5">
        <v>186.2</v>
      </c>
      <c r="V2169" s="5">
        <v>186.59</v>
      </c>
      <c r="W2169" s="5">
        <v>211100</v>
      </c>
    </row>
    <row r="2170" spans="1:23" x14ac:dyDescent="0.3">
      <c r="A2170" s="6">
        <v>41519</v>
      </c>
      <c r="B2170" s="7">
        <v>0.66666666666666663</v>
      </c>
      <c r="C2170" s="5">
        <v>390</v>
      </c>
      <c r="D2170" s="5">
        <v>400</v>
      </c>
      <c r="E2170" s="5">
        <v>385</v>
      </c>
      <c r="F2170" s="5">
        <v>399.38</v>
      </c>
      <c r="G2170" s="5">
        <v>3000</v>
      </c>
      <c r="Q2170" s="6">
        <v>41449</v>
      </c>
      <c r="R2170" s="7">
        <v>0.66666666666666663</v>
      </c>
      <c r="S2170" s="5">
        <v>187.8</v>
      </c>
      <c r="T2170" s="5">
        <v>188.7</v>
      </c>
      <c r="U2170" s="5">
        <v>177.27</v>
      </c>
      <c r="V2170" s="5">
        <v>177.51</v>
      </c>
      <c r="W2170" s="5">
        <v>237800</v>
      </c>
    </row>
    <row r="2171" spans="1:23" x14ac:dyDescent="0.3">
      <c r="A2171" s="6">
        <v>41520</v>
      </c>
      <c r="B2171" s="7">
        <v>0.66666666666666663</v>
      </c>
      <c r="C2171" s="5">
        <v>395.01</v>
      </c>
      <c r="D2171" s="5">
        <v>395.01</v>
      </c>
      <c r="E2171" s="5">
        <v>395</v>
      </c>
      <c r="F2171" s="5">
        <v>395.01</v>
      </c>
      <c r="G2171" s="5">
        <v>900</v>
      </c>
      <c r="Q2171" s="6">
        <v>41450</v>
      </c>
      <c r="R2171" s="7">
        <v>0.66666666666666663</v>
      </c>
      <c r="S2171" s="5">
        <v>178</v>
      </c>
      <c r="T2171" s="5">
        <v>180.49</v>
      </c>
      <c r="U2171" s="5">
        <v>169.3</v>
      </c>
      <c r="V2171" s="5">
        <v>170.9</v>
      </c>
      <c r="W2171" s="5">
        <v>796400</v>
      </c>
    </row>
    <row r="2172" spans="1:23" x14ac:dyDescent="0.3">
      <c r="A2172" s="6">
        <v>41522</v>
      </c>
      <c r="B2172" s="7">
        <v>0.66666666666666663</v>
      </c>
      <c r="C2172" s="5">
        <v>390</v>
      </c>
      <c r="D2172" s="5">
        <v>395</v>
      </c>
      <c r="E2172" s="5">
        <v>390</v>
      </c>
      <c r="F2172" s="5">
        <v>395</v>
      </c>
      <c r="G2172" s="5">
        <v>200</v>
      </c>
      <c r="Q2172" s="6">
        <v>41451</v>
      </c>
      <c r="R2172" s="7">
        <v>0.66666666666666663</v>
      </c>
      <c r="S2172" s="5">
        <v>172.6</v>
      </c>
      <c r="T2172" s="5">
        <v>174</v>
      </c>
      <c r="U2172" s="5">
        <v>170.2</v>
      </c>
      <c r="V2172" s="5">
        <v>170.96</v>
      </c>
      <c r="W2172" s="5">
        <v>405400</v>
      </c>
    </row>
    <row r="2173" spans="1:23" x14ac:dyDescent="0.3">
      <c r="A2173" s="6">
        <v>41523</v>
      </c>
      <c r="B2173" s="7">
        <v>0.66666666666666663</v>
      </c>
      <c r="C2173" s="5">
        <v>398</v>
      </c>
      <c r="D2173" s="5">
        <v>414.75</v>
      </c>
      <c r="E2173" s="5">
        <v>391.1</v>
      </c>
      <c r="F2173" s="5">
        <v>391.1</v>
      </c>
      <c r="G2173" s="5">
        <v>1300</v>
      </c>
      <c r="Q2173" s="6">
        <v>41452</v>
      </c>
      <c r="R2173" s="7">
        <v>0.66666666666666663</v>
      </c>
      <c r="S2173" s="5">
        <v>172.85</v>
      </c>
      <c r="T2173" s="5">
        <v>174.3</v>
      </c>
      <c r="U2173" s="5">
        <v>167.01</v>
      </c>
      <c r="V2173" s="5">
        <v>173.04</v>
      </c>
      <c r="W2173" s="5">
        <v>457900</v>
      </c>
    </row>
    <row r="2174" spans="1:23" x14ac:dyDescent="0.3">
      <c r="A2174" s="6">
        <v>41526</v>
      </c>
      <c r="B2174" s="7">
        <v>0.66666666666666663</v>
      </c>
      <c r="C2174" s="5">
        <v>404</v>
      </c>
      <c r="D2174" s="5">
        <v>404</v>
      </c>
      <c r="E2174" s="5">
        <v>395</v>
      </c>
      <c r="F2174" s="5">
        <v>395</v>
      </c>
      <c r="G2174" s="5">
        <v>700</v>
      </c>
      <c r="Q2174" s="6">
        <v>41453</v>
      </c>
      <c r="R2174" s="7">
        <v>0.66666666666666663</v>
      </c>
      <c r="S2174" s="5">
        <v>174.49</v>
      </c>
      <c r="T2174" s="5">
        <v>176.7</v>
      </c>
      <c r="U2174" s="5">
        <v>170</v>
      </c>
      <c r="V2174" s="5">
        <v>172.55</v>
      </c>
      <c r="W2174" s="5">
        <v>568900</v>
      </c>
    </row>
    <row r="2175" spans="1:23" x14ac:dyDescent="0.3">
      <c r="A2175" s="6">
        <v>41527</v>
      </c>
      <c r="B2175" s="7">
        <v>0.66666666666666663</v>
      </c>
      <c r="C2175" s="5">
        <v>404.74</v>
      </c>
      <c r="D2175" s="5">
        <v>414.75</v>
      </c>
      <c r="E2175" s="5">
        <v>404.74</v>
      </c>
      <c r="F2175" s="5">
        <v>410.86</v>
      </c>
      <c r="G2175" s="5">
        <v>34200</v>
      </c>
      <c r="Q2175" s="6">
        <v>41456</v>
      </c>
      <c r="R2175" s="7">
        <v>0.66666666666666663</v>
      </c>
      <c r="S2175" s="5">
        <v>172.25</v>
      </c>
      <c r="T2175" s="5">
        <v>175</v>
      </c>
      <c r="U2175" s="5">
        <v>172.05</v>
      </c>
      <c r="V2175" s="5">
        <v>173.85</v>
      </c>
      <c r="W2175" s="5">
        <v>150300</v>
      </c>
    </row>
    <row r="2176" spans="1:23" x14ac:dyDescent="0.3">
      <c r="A2176" s="6">
        <v>41528</v>
      </c>
      <c r="B2176" s="7">
        <v>0.66666666666666663</v>
      </c>
      <c r="C2176" s="5">
        <v>410.86</v>
      </c>
      <c r="D2176" s="5">
        <v>417</v>
      </c>
      <c r="E2176" s="5">
        <v>410</v>
      </c>
      <c r="F2176" s="5">
        <v>410</v>
      </c>
      <c r="G2176" s="5">
        <v>17000</v>
      </c>
      <c r="Q2176" s="6">
        <v>41457</v>
      </c>
      <c r="R2176" s="7">
        <v>0.66666666666666663</v>
      </c>
      <c r="S2176" s="5">
        <v>174.45</v>
      </c>
      <c r="T2176" s="5">
        <v>177.3</v>
      </c>
      <c r="U2176" s="5">
        <v>174.45</v>
      </c>
      <c r="V2176" s="5">
        <v>176.11</v>
      </c>
      <c r="W2176" s="5">
        <v>318000</v>
      </c>
    </row>
    <row r="2177" spans="1:23" x14ac:dyDescent="0.3">
      <c r="A2177" s="6">
        <v>41529</v>
      </c>
      <c r="B2177" s="7">
        <v>0.66666666666666663</v>
      </c>
      <c r="C2177" s="5">
        <v>418</v>
      </c>
      <c r="D2177" s="5">
        <v>420</v>
      </c>
      <c r="E2177" s="5">
        <v>412</v>
      </c>
      <c r="F2177" s="5">
        <v>418.9</v>
      </c>
      <c r="G2177" s="5">
        <v>19000</v>
      </c>
      <c r="Q2177" s="6">
        <v>41458</v>
      </c>
      <c r="R2177" s="7">
        <v>0.66666666666666663</v>
      </c>
      <c r="S2177" s="5">
        <v>176.7</v>
      </c>
      <c r="T2177" s="5">
        <v>179.39</v>
      </c>
      <c r="U2177" s="5">
        <v>176.7</v>
      </c>
      <c r="V2177" s="5">
        <v>178</v>
      </c>
      <c r="W2177" s="5">
        <v>244800</v>
      </c>
    </row>
    <row r="2178" spans="1:23" x14ac:dyDescent="0.3">
      <c r="A2178" s="6">
        <v>41530</v>
      </c>
      <c r="B2178" s="7">
        <v>0.66666666666666663</v>
      </c>
      <c r="C2178" s="5">
        <v>414</v>
      </c>
      <c r="D2178" s="5">
        <v>420.75</v>
      </c>
      <c r="E2178" s="5">
        <v>412</v>
      </c>
      <c r="F2178" s="5">
        <v>420.75</v>
      </c>
      <c r="G2178" s="5">
        <v>1100</v>
      </c>
      <c r="Q2178" s="6">
        <v>41459</v>
      </c>
      <c r="R2178" s="7">
        <v>0.66666666666666663</v>
      </c>
      <c r="S2178" s="5">
        <v>179.4</v>
      </c>
      <c r="T2178" s="5">
        <v>186.9</v>
      </c>
      <c r="U2178" s="5">
        <v>178.6</v>
      </c>
      <c r="V2178" s="5">
        <v>186.9</v>
      </c>
      <c r="W2178" s="5">
        <v>863800</v>
      </c>
    </row>
    <row r="2179" spans="1:23" x14ac:dyDescent="0.3">
      <c r="A2179" s="6">
        <v>41533</v>
      </c>
      <c r="B2179" s="7">
        <v>0.66666666666666663</v>
      </c>
      <c r="C2179" s="5">
        <v>421</v>
      </c>
      <c r="D2179" s="5">
        <v>421</v>
      </c>
      <c r="E2179" s="5">
        <v>415</v>
      </c>
      <c r="F2179" s="5">
        <v>415</v>
      </c>
      <c r="G2179" s="5">
        <v>1200</v>
      </c>
      <c r="Q2179" s="6">
        <v>41460</v>
      </c>
      <c r="R2179" s="7">
        <v>0.66666666666666663</v>
      </c>
      <c r="S2179" s="5">
        <v>189.1</v>
      </c>
      <c r="T2179" s="5">
        <v>194.4</v>
      </c>
      <c r="U2179" s="5">
        <v>189.1</v>
      </c>
      <c r="V2179" s="5">
        <v>191.71</v>
      </c>
      <c r="W2179" s="5">
        <v>1123200</v>
      </c>
    </row>
    <row r="2180" spans="1:23" x14ac:dyDescent="0.3">
      <c r="A2180" s="6">
        <v>41534</v>
      </c>
      <c r="B2180" s="7">
        <v>0.66666666666666663</v>
      </c>
      <c r="C2180" s="5">
        <v>411</v>
      </c>
      <c r="D2180" s="5">
        <v>411</v>
      </c>
      <c r="E2180" s="5">
        <v>405</v>
      </c>
      <c r="F2180" s="5">
        <v>406</v>
      </c>
      <c r="G2180" s="5">
        <v>1000</v>
      </c>
      <c r="Q2180" s="6">
        <v>41463</v>
      </c>
      <c r="R2180" s="7">
        <v>0.66666666666666663</v>
      </c>
      <c r="S2180" s="5">
        <v>192.5</v>
      </c>
      <c r="T2180" s="5">
        <v>196.89</v>
      </c>
      <c r="U2180" s="5">
        <v>192.5</v>
      </c>
      <c r="V2180" s="5">
        <v>195.71</v>
      </c>
      <c r="W2180" s="5">
        <v>1100800</v>
      </c>
    </row>
    <row r="2181" spans="1:23" x14ac:dyDescent="0.3">
      <c r="A2181" s="6">
        <v>41535</v>
      </c>
      <c r="B2181" s="7">
        <v>0.66666666666666663</v>
      </c>
      <c r="C2181" s="5">
        <v>410</v>
      </c>
      <c r="D2181" s="5">
        <v>420</v>
      </c>
      <c r="E2181" s="5">
        <v>410</v>
      </c>
      <c r="F2181" s="5">
        <v>419.75</v>
      </c>
      <c r="G2181" s="5">
        <v>4100</v>
      </c>
      <c r="Q2181" s="6">
        <v>41464</v>
      </c>
      <c r="R2181" s="7">
        <v>0.66666666666666663</v>
      </c>
      <c r="S2181" s="5">
        <v>197.24</v>
      </c>
      <c r="T2181" s="5">
        <v>198.78</v>
      </c>
      <c r="U2181" s="5">
        <v>196.8</v>
      </c>
      <c r="V2181" s="5">
        <v>197.08</v>
      </c>
      <c r="W2181" s="5">
        <v>805500</v>
      </c>
    </row>
    <row r="2182" spans="1:23" x14ac:dyDescent="0.3">
      <c r="A2182" s="6">
        <v>41536</v>
      </c>
      <c r="B2182" s="7">
        <v>0.66666666666666663</v>
      </c>
      <c r="C2182" s="5">
        <v>420</v>
      </c>
      <c r="D2182" s="5">
        <v>420</v>
      </c>
      <c r="E2182" s="5">
        <v>416</v>
      </c>
      <c r="F2182" s="5">
        <v>420</v>
      </c>
      <c r="G2182" s="5">
        <v>5100</v>
      </c>
      <c r="Q2182" s="6">
        <v>41465</v>
      </c>
      <c r="R2182" s="7">
        <v>0.66666666666666663</v>
      </c>
      <c r="S2182" s="5">
        <v>197.97</v>
      </c>
      <c r="T2182" s="5">
        <v>206.93</v>
      </c>
      <c r="U2182" s="5">
        <v>196</v>
      </c>
      <c r="V2182" s="5">
        <v>206.93</v>
      </c>
      <c r="W2182" s="5">
        <v>2424100</v>
      </c>
    </row>
    <row r="2183" spans="1:23" x14ac:dyDescent="0.3">
      <c r="A2183" s="6">
        <v>41537</v>
      </c>
      <c r="B2183" s="7">
        <v>0.66666666666666663</v>
      </c>
      <c r="C2183" s="5">
        <v>420</v>
      </c>
      <c r="D2183" s="5">
        <v>430</v>
      </c>
      <c r="E2183" s="5">
        <v>420</v>
      </c>
      <c r="F2183" s="5">
        <v>422</v>
      </c>
      <c r="G2183" s="5">
        <v>2700</v>
      </c>
      <c r="Q2183" s="6">
        <v>41466</v>
      </c>
      <c r="R2183" s="7">
        <v>0.66666666666666663</v>
      </c>
      <c r="S2183" s="5">
        <v>211</v>
      </c>
      <c r="T2183" s="5">
        <v>217</v>
      </c>
      <c r="U2183" s="5">
        <v>209.1</v>
      </c>
      <c r="V2183" s="5">
        <v>212.43</v>
      </c>
      <c r="W2183" s="5">
        <v>2550900</v>
      </c>
    </row>
    <row r="2184" spans="1:23" x14ac:dyDescent="0.3">
      <c r="A2184" s="6">
        <v>41540</v>
      </c>
      <c r="B2184" s="7">
        <v>0.66666666666666663</v>
      </c>
      <c r="C2184" s="5">
        <v>421</v>
      </c>
      <c r="D2184" s="5">
        <v>421</v>
      </c>
      <c r="E2184" s="5">
        <v>413</v>
      </c>
      <c r="F2184" s="5">
        <v>420</v>
      </c>
      <c r="G2184" s="5">
        <v>3200</v>
      </c>
      <c r="Q2184" s="6">
        <v>41467</v>
      </c>
      <c r="R2184" s="7">
        <v>0.66666666666666663</v>
      </c>
      <c r="S2184" s="5">
        <v>212.01</v>
      </c>
      <c r="T2184" s="5">
        <v>223.05</v>
      </c>
      <c r="U2184" s="5">
        <v>212.01</v>
      </c>
      <c r="V2184" s="5">
        <v>223.05</v>
      </c>
      <c r="W2184" s="5">
        <v>1967900</v>
      </c>
    </row>
    <row r="2185" spans="1:23" x14ac:dyDescent="0.3">
      <c r="A2185" s="6">
        <v>41541</v>
      </c>
      <c r="B2185" s="7">
        <v>0.66666666666666663</v>
      </c>
      <c r="C2185" s="5">
        <v>423</v>
      </c>
      <c r="D2185" s="5">
        <v>430</v>
      </c>
      <c r="E2185" s="5">
        <v>423</v>
      </c>
      <c r="F2185" s="5">
        <v>424</v>
      </c>
      <c r="G2185" s="5">
        <v>5100</v>
      </c>
      <c r="Q2185" s="6">
        <v>41470</v>
      </c>
      <c r="R2185" s="7">
        <v>0.66666666666666663</v>
      </c>
      <c r="S2185" s="5">
        <v>226.25</v>
      </c>
      <c r="T2185" s="5">
        <v>234.2</v>
      </c>
      <c r="U2185" s="5">
        <v>226.25</v>
      </c>
      <c r="V2185" s="5">
        <v>233.37</v>
      </c>
      <c r="W2185" s="5">
        <v>2165900</v>
      </c>
    </row>
    <row r="2186" spans="1:23" x14ac:dyDescent="0.3">
      <c r="A2186" s="6">
        <v>41542</v>
      </c>
      <c r="B2186" s="7">
        <v>0.66666666666666663</v>
      </c>
      <c r="C2186" s="5">
        <v>425</v>
      </c>
      <c r="D2186" s="5">
        <v>430</v>
      </c>
      <c r="E2186" s="5">
        <v>423</v>
      </c>
      <c r="F2186" s="5">
        <v>423</v>
      </c>
      <c r="G2186" s="5">
        <v>700</v>
      </c>
      <c r="Q2186" s="6">
        <v>41471</v>
      </c>
      <c r="R2186" s="7">
        <v>0.66666666666666663</v>
      </c>
      <c r="S2186" s="5">
        <v>234.99</v>
      </c>
      <c r="T2186" s="5">
        <v>244.75</v>
      </c>
      <c r="U2186" s="5">
        <v>227.5</v>
      </c>
      <c r="V2186" s="5">
        <v>236.09</v>
      </c>
      <c r="W2186" s="5">
        <v>3197200</v>
      </c>
    </row>
    <row r="2187" spans="1:23" x14ac:dyDescent="0.3">
      <c r="A2187" s="6">
        <v>41543</v>
      </c>
      <c r="B2187" s="7">
        <v>0.66666666666666663</v>
      </c>
      <c r="C2187" s="5">
        <v>425</v>
      </c>
      <c r="D2187" s="5">
        <v>425</v>
      </c>
      <c r="E2187" s="5">
        <v>420</v>
      </c>
      <c r="F2187" s="5">
        <v>425</v>
      </c>
      <c r="G2187" s="5">
        <v>1200</v>
      </c>
      <c r="Q2187" s="6">
        <v>41472</v>
      </c>
      <c r="R2187" s="7">
        <v>0.66666666666666663</v>
      </c>
      <c r="S2187" s="5">
        <v>237</v>
      </c>
      <c r="T2187" s="5">
        <v>239.75</v>
      </c>
      <c r="U2187" s="5">
        <v>224.29</v>
      </c>
      <c r="V2187" s="5">
        <v>224.29</v>
      </c>
      <c r="W2187" s="5">
        <v>2757500</v>
      </c>
    </row>
    <row r="2188" spans="1:23" x14ac:dyDescent="0.3">
      <c r="A2188" s="6">
        <v>41544</v>
      </c>
      <c r="B2188" s="7">
        <v>0.66666666666666663</v>
      </c>
      <c r="C2188" s="5">
        <v>425</v>
      </c>
      <c r="D2188" s="5">
        <v>425</v>
      </c>
      <c r="E2188" s="5">
        <v>422</v>
      </c>
      <c r="F2188" s="5">
        <v>422</v>
      </c>
      <c r="G2188" s="5">
        <v>300</v>
      </c>
      <c r="Q2188" s="6">
        <v>41473</v>
      </c>
      <c r="R2188" s="7">
        <v>0.66666666666666663</v>
      </c>
      <c r="S2188" s="5">
        <v>222</v>
      </c>
      <c r="T2188" s="5">
        <v>228.87</v>
      </c>
      <c r="U2188" s="5">
        <v>220.6</v>
      </c>
      <c r="V2188" s="5">
        <v>223.63</v>
      </c>
      <c r="W2188" s="5">
        <v>1938000</v>
      </c>
    </row>
    <row r="2189" spans="1:23" x14ac:dyDescent="0.3">
      <c r="A2189" s="6">
        <v>41547</v>
      </c>
      <c r="B2189" s="7">
        <v>0.66666666666666663</v>
      </c>
      <c r="C2189" s="5">
        <v>421</v>
      </c>
      <c r="D2189" s="5">
        <v>430</v>
      </c>
      <c r="E2189" s="5">
        <v>420</v>
      </c>
      <c r="F2189" s="5">
        <v>428.5</v>
      </c>
      <c r="G2189" s="5">
        <v>3100</v>
      </c>
      <c r="Q2189" s="6">
        <v>41474</v>
      </c>
      <c r="R2189" s="7">
        <v>0.66666666666666663</v>
      </c>
      <c r="S2189" s="5">
        <v>224.11</v>
      </c>
      <c r="T2189" s="5">
        <v>228.49</v>
      </c>
      <c r="U2189" s="5">
        <v>224</v>
      </c>
      <c r="V2189" s="5">
        <v>224.48</v>
      </c>
      <c r="W2189" s="5">
        <v>946000</v>
      </c>
    </row>
    <row r="2190" spans="1:23" x14ac:dyDescent="0.3">
      <c r="A2190" s="6">
        <v>41548</v>
      </c>
      <c r="B2190" s="7">
        <v>0.66666666666666663</v>
      </c>
      <c r="C2190" s="5">
        <v>428.5</v>
      </c>
      <c r="D2190" s="5">
        <v>432</v>
      </c>
      <c r="E2190" s="5">
        <v>424</v>
      </c>
      <c r="F2190" s="5">
        <v>428.6</v>
      </c>
      <c r="G2190" s="5">
        <v>1200</v>
      </c>
      <c r="Q2190" s="6">
        <v>41477</v>
      </c>
      <c r="R2190" s="7">
        <v>0.66666666666666663</v>
      </c>
      <c r="S2190" s="5">
        <v>227.97</v>
      </c>
      <c r="T2190" s="5">
        <v>228.5</v>
      </c>
      <c r="U2190" s="5">
        <v>224.01</v>
      </c>
      <c r="V2190" s="5">
        <v>225.17</v>
      </c>
      <c r="W2190" s="5">
        <v>1029400</v>
      </c>
    </row>
    <row r="2191" spans="1:23" x14ac:dyDescent="0.3">
      <c r="A2191" s="6">
        <v>41549</v>
      </c>
      <c r="B2191" s="7">
        <v>0.66666666666666663</v>
      </c>
      <c r="C2191" s="5">
        <v>420.05</v>
      </c>
      <c r="D2191" s="5">
        <v>420.05</v>
      </c>
      <c r="E2191" s="5">
        <v>420.05</v>
      </c>
      <c r="F2191" s="5">
        <v>420.05</v>
      </c>
      <c r="G2191" s="5">
        <v>200</v>
      </c>
      <c r="Q2191" s="6">
        <v>41478</v>
      </c>
      <c r="R2191" s="7">
        <v>0.66666666666666663</v>
      </c>
      <c r="S2191" s="5">
        <v>227.99</v>
      </c>
      <c r="T2191" s="5">
        <v>236.42</v>
      </c>
      <c r="U2191" s="5">
        <v>227</v>
      </c>
      <c r="V2191" s="5">
        <v>236.42</v>
      </c>
      <c r="W2191" s="5">
        <v>1509500</v>
      </c>
    </row>
    <row r="2192" spans="1:23" x14ac:dyDescent="0.3">
      <c r="A2192" s="6">
        <v>41550</v>
      </c>
      <c r="B2192" s="7">
        <v>0.66666666666666663</v>
      </c>
      <c r="C2192" s="5">
        <v>428</v>
      </c>
      <c r="D2192" s="5">
        <v>430</v>
      </c>
      <c r="E2192" s="5">
        <v>428</v>
      </c>
      <c r="F2192" s="5">
        <v>430</v>
      </c>
      <c r="G2192" s="5">
        <v>200</v>
      </c>
      <c r="Q2192" s="6">
        <v>41479</v>
      </c>
      <c r="R2192" s="7">
        <v>0.66666666666666663</v>
      </c>
      <c r="S2192" s="5">
        <v>242.1</v>
      </c>
      <c r="T2192" s="5">
        <v>248.24</v>
      </c>
      <c r="U2192" s="5">
        <v>242.1</v>
      </c>
      <c r="V2192" s="5">
        <v>248.24</v>
      </c>
      <c r="W2192" s="5">
        <v>911200</v>
      </c>
    </row>
    <row r="2193" spans="1:23" x14ac:dyDescent="0.3">
      <c r="A2193" s="6">
        <v>41554</v>
      </c>
      <c r="B2193" s="7">
        <v>0.66666666666666663</v>
      </c>
      <c r="C2193" s="5">
        <v>440</v>
      </c>
      <c r="D2193" s="5">
        <v>440</v>
      </c>
      <c r="E2193" s="5">
        <v>440</v>
      </c>
      <c r="F2193" s="5">
        <v>440</v>
      </c>
      <c r="G2193" s="5">
        <v>200</v>
      </c>
      <c r="Q2193" s="6">
        <v>41480</v>
      </c>
      <c r="R2193" s="7">
        <v>0.66666666666666663</v>
      </c>
      <c r="S2193" s="5">
        <v>258.98</v>
      </c>
      <c r="T2193" s="5">
        <v>260.64999999999998</v>
      </c>
      <c r="U2193" s="5">
        <v>249</v>
      </c>
      <c r="V2193" s="5">
        <v>258.52</v>
      </c>
      <c r="W2193" s="5">
        <v>3475700</v>
      </c>
    </row>
    <row r="2194" spans="1:23" x14ac:dyDescent="0.3">
      <c r="A2194" s="6">
        <v>41555</v>
      </c>
      <c r="B2194" s="7">
        <v>0.66666666666666663</v>
      </c>
      <c r="C2194" s="5">
        <v>437</v>
      </c>
      <c r="D2194" s="5">
        <v>438</v>
      </c>
      <c r="E2194" s="5">
        <v>437</v>
      </c>
      <c r="F2194" s="5">
        <v>437.5</v>
      </c>
      <c r="G2194" s="5">
        <v>200</v>
      </c>
      <c r="Q2194" s="6">
        <v>41481</v>
      </c>
      <c r="R2194" s="7">
        <v>0.66666666666666663</v>
      </c>
      <c r="S2194" s="5">
        <v>258</v>
      </c>
      <c r="T2194" s="5">
        <v>271.44</v>
      </c>
      <c r="U2194" s="5">
        <v>255.5</v>
      </c>
      <c r="V2194" s="5">
        <v>268.23</v>
      </c>
      <c r="W2194" s="5">
        <v>3277700</v>
      </c>
    </row>
    <row r="2195" spans="1:23" x14ac:dyDescent="0.3">
      <c r="A2195" s="6">
        <v>41556</v>
      </c>
      <c r="B2195" s="7">
        <v>0.66666666666666663</v>
      </c>
      <c r="C2195" s="5">
        <v>430</v>
      </c>
      <c r="D2195" s="5">
        <v>430</v>
      </c>
      <c r="E2195" s="5">
        <v>426</v>
      </c>
      <c r="F2195" s="5">
        <v>426</v>
      </c>
      <c r="G2195" s="5">
        <v>500</v>
      </c>
      <c r="Q2195" s="6">
        <v>41484</v>
      </c>
      <c r="R2195" s="7">
        <v>0.66666666666666663</v>
      </c>
      <c r="S2195" s="5">
        <v>272</v>
      </c>
      <c r="T2195" s="5">
        <v>280.89999999999998</v>
      </c>
      <c r="U2195" s="5">
        <v>267</v>
      </c>
      <c r="V2195" s="5">
        <v>272.81</v>
      </c>
      <c r="W2195" s="5">
        <v>1961700</v>
      </c>
    </row>
    <row r="2196" spans="1:23" x14ac:dyDescent="0.3">
      <c r="A2196" s="6">
        <v>41557</v>
      </c>
      <c r="B2196" s="7">
        <v>0.66666666666666663</v>
      </c>
      <c r="C2196" s="5">
        <v>420</v>
      </c>
      <c r="D2196" s="5">
        <v>420</v>
      </c>
      <c r="E2196" s="5">
        <v>420</v>
      </c>
      <c r="F2196" s="5">
        <v>420</v>
      </c>
      <c r="G2196" s="5">
        <v>100</v>
      </c>
      <c r="Q2196" s="6">
        <v>41485</v>
      </c>
      <c r="R2196" s="7">
        <v>0.66666666666666663</v>
      </c>
      <c r="S2196" s="5">
        <v>273</v>
      </c>
      <c r="T2196" s="5">
        <v>276.77</v>
      </c>
      <c r="U2196" s="5">
        <v>259.17</v>
      </c>
      <c r="V2196" s="5">
        <v>262.93</v>
      </c>
      <c r="W2196" s="5">
        <v>2550400</v>
      </c>
    </row>
    <row r="2197" spans="1:23" x14ac:dyDescent="0.3">
      <c r="A2197" s="6">
        <v>41558</v>
      </c>
      <c r="B2197" s="7">
        <v>0.66666666666666663</v>
      </c>
      <c r="C2197" s="5">
        <v>419.9</v>
      </c>
      <c r="D2197" s="5">
        <v>425</v>
      </c>
      <c r="E2197" s="5">
        <v>419.9</v>
      </c>
      <c r="F2197" s="5">
        <v>425</v>
      </c>
      <c r="G2197" s="5">
        <v>600</v>
      </c>
      <c r="Q2197" s="6">
        <v>41486</v>
      </c>
      <c r="R2197" s="7">
        <v>0.66666666666666663</v>
      </c>
      <c r="S2197" s="5">
        <v>265</v>
      </c>
      <c r="T2197" s="5">
        <v>267</v>
      </c>
      <c r="U2197" s="5">
        <v>252</v>
      </c>
      <c r="V2197" s="5">
        <v>259.63</v>
      </c>
      <c r="W2197" s="5">
        <v>2911100</v>
      </c>
    </row>
    <row r="2198" spans="1:23" x14ac:dyDescent="0.3">
      <c r="A2198" s="6">
        <v>41561</v>
      </c>
      <c r="B2198" s="7">
        <v>0.66666666666666663</v>
      </c>
      <c r="C2198" s="5">
        <v>425</v>
      </c>
      <c r="D2198" s="5">
        <v>425</v>
      </c>
      <c r="E2198" s="5">
        <v>425</v>
      </c>
      <c r="F2198" s="5">
        <v>425</v>
      </c>
      <c r="G2198" s="5">
        <v>200</v>
      </c>
      <c r="Q2198" s="6">
        <v>41487</v>
      </c>
      <c r="R2198" s="7">
        <v>0.66666666666666663</v>
      </c>
      <c r="S2198" s="5">
        <v>260.99</v>
      </c>
      <c r="T2198" s="5">
        <v>263.8</v>
      </c>
      <c r="U2198" s="5">
        <v>253</v>
      </c>
      <c r="V2198" s="5">
        <v>255.15</v>
      </c>
      <c r="W2198" s="5">
        <v>1178000</v>
      </c>
    </row>
    <row r="2199" spans="1:23" x14ac:dyDescent="0.3">
      <c r="A2199" s="6">
        <v>41570</v>
      </c>
      <c r="B2199" s="7">
        <v>0.66666666666666663</v>
      </c>
      <c r="C2199" s="5">
        <v>406</v>
      </c>
      <c r="D2199" s="5">
        <v>425</v>
      </c>
      <c r="E2199" s="5">
        <v>406</v>
      </c>
      <c r="F2199" s="5">
        <v>424.01</v>
      </c>
      <c r="G2199" s="5">
        <v>27100</v>
      </c>
      <c r="Q2199" s="6">
        <v>41491</v>
      </c>
      <c r="R2199" s="7">
        <v>0.66666666666666663</v>
      </c>
      <c r="S2199" s="5">
        <v>253.5</v>
      </c>
      <c r="T2199" s="5">
        <v>259.5</v>
      </c>
      <c r="U2199" s="5">
        <v>244</v>
      </c>
      <c r="V2199" s="5">
        <v>257.33999999999997</v>
      </c>
      <c r="W2199" s="5">
        <v>976400</v>
      </c>
    </row>
    <row r="2200" spans="1:23" x14ac:dyDescent="0.3">
      <c r="A2200" s="6">
        <v>41571</v>
      </c>
      <c r="B2200" s="7">
        <v>0.66666666666666663</v>
      </c>
      <c r="C2200" s="5">
        <v>425</v>
      </c>
      <c r="D2200" s="5">
        <v>445.21</v>
      </c>
      <c r="E2200" s="5">
        <v>425</v>
      </c>
      <c r="F2200" s="5">
        <v>445.11</v>
      </c>
      <c r="G2200" s="5">
        <v>58000</v>
      </c>
      <c r="Q2200" s="6">
        <v>41492</v>
      </c>
      <c r="R2200" s="7">
        <v>0.66666666666666663</v>
      </c>
      <c r="S2200" s="5">
        <v>260.5</v>
      </c>
      <c r="T2200" s="5">
        <v>262.89999999999998</v>
      </c>
      <c r="U2200" s="5">
        <v>252</v>
      </c>
      <c r="V2200" s="5">
        <v>253.77</v>
      </c>
      <c r="W2200" s="5">
        <v>1097000</v>
      </c>
    </row>
    <row r="2201" spans="1:23" x14ac:dyDescent="0.3">
      <c r="A2201" s="6">
        <v>41572</v>
      </c>
      <c r="B2201" s="7">
        <v>0.66666666666666663</v>
      </c>
      <c r="C2201" s="5">
        <v>432</v>
      </c>
      <c r="D2201" s="5">
        <v>434</v>
      </c>
      <c r="E2201" s="5">
        <v>430</v>
      </c>
      <c r="F2201" s="5">
        <v>434</v>
      </c>
      <c r="G2201" s="5">
        <v>2400</v>
      </c>
      <c r="Q2201" s="6">
        <v>41493</v>
      </c>
      <c r="R2201" s="7">
        <v>0.66666666666666663</v>
      </c>
      <c r="S2201" s="5">
        <v>255.99</v>
      </c>
      <c r="T2201" s="5">
        <v>266.45</v>
      </c>
      <c r="U2201" s="5">
        <v>253</v>
      </c>
      <c r="V2201" s="5">
        <v>265.24</v>
      </c>
      <c r="W2201" s="5">
        <v>1661700</v>
      </c>
    </row>
    <row r="2202" spans="1:23" x14ac:dyDescent="0.3">
      <c r="A2202" s="6">
        <v>41576</v>
      </c>
      <c r="B2202" s="7">
        <v>0.66666666666666663</v>
      </c>
      <c r="C2202" s="5">
        <v>420.05</v>
      </c>
      <c r="D2202" s="5">
        <v>428.99</v>
      </c>
      <c r="E2202" s="5">
        <v>420.05</v>
      </c>
      <c r="F2202" s="5">
        <v>423.14</v>
      </c>
      <c r="G2202" s="5">
        <v>1300</v>
      </c>
      <c r="Q2202" s="6">
        <v>41498</v>
      </c>
      <c r="R2202" s="7">
        <v>0.66666666666666663</v>
      </c>
      <c r="S2202" s="5">
        <v>267.10000000000002</v>
      </c>
      <c r="T2202" s="5">
        <v>275.75</v>
      </c>
      <c r="U2202" s="5">
        <v>264</v>
      </c>
      <c r="V2202" s="5">
        <v>271.07</v>
      </c>
      <c r="W2202" s="5">
        <v>1994500</v>
      </c>
    </row>
    <row r="2203" spans="1:23" x14ac:dyDescent="0.3">
      <c r="A2203" s="6">
        <v>41577</v>
      </c>
      <c r="B2203" s="7">
        <v>0.66666666666666663</v>
      </c>
      <c r="C2203" s="5">
        <v>410</v>
      </c>
      <c r="D2203" s="5">
        <v>439</v>
      </c>
      <c r="E2203" s="5">
        <v>410</v>
      </c>
      <c r="F2203" s="5">
        <v>439</v>
      </c>
      <c r="G2203" s="5">
        <v>2200</v>
      </c>
      <c r="Q2203" s="6">
        <v>41499</v>
      </c>
      <c r="R2203" s="7">
        <v>0.66666666666666663</v>
      </c>
      <c r="S2203" s="5">
        <v>273</v>
      </c>
      <c r="T2203" s="5">
        <v>274.45</v>
      </c>
      <c r="U2203" s="5">
        <v>258.3</v>
      </c>
      <c r="V2203" s="5">
        <v>261.64999999999998</v>
      </c>
      <c r="W2203" s="5">
        <v>2310400</v>
      </c>
    </row>
    <row r="2204" spans="1:23" x14ac:dyDescent="0.3">
      <c r="A2204" s="6">
        <v>41578</v>
      </c>
      <c r="B2204" s="7">
        <v>0.66666666666666663</v>
      </c>
      <c r="C2204" s="5">
        <v>430</v>
      </c>
      <c r="D2204" s="5">
        <v>438</v>
      </c>
      <c r="E2204" s="5">
        <v>430</v>
      </c>
      <c r="F2204" s="5">
        <v>432.98</v>
      </c>
      <c r="G2204" s="5">
        <v>8700</v>
      </c>
      <c r="Q2204" s="6">
        <v>41501</v>
      </c>
      <c r="R2204" s="7">
        <v>0.66666666666666663</v>
      </c>
      <c r="S2204" s="5">
        <v>251</v>
      </c>
      <c r="T2204" s="5">
        <v>253</v>
      </c>
      <c r="U2204" s="5">
        <v>248.57</v>
      </c>
      <c r="V2204" s="5">
        <v>248.57</v>
      </c>
      <c r="W2204" s="5">
        <v>1569500</v>
      </c>
    </row>
    <row r="2205" spans="1:23" x14ac:dyDescent="0.3">
      <c r="A2205" s="6">
        <v>41579</v>
      </c>
      <c r="B2205" s="7">
        <v>0.66666666666666663</v>
      </c>
      <c r="C2205" s="5">
        <v>436</v>
      </c>
      <c r="D2205" s="5">
        <v>445</v>
      </c>
      <c r="E2205" s="5">
        <v>436</v>
      </c>
      <c r="F2205" s="5">
        <v>442.07</v>
      </c>
      <c r="G2205" s="5">
        <v>16600</v>
      </c>
      <c r="Q2205" s="6">
        <v>41502</v>
      </c>
      <c r="R2205" s="7">
        <v>0.66666666666666663</v>
      </c>
      <c r="S2205" s="5">
        <v>247.11</v>
      </c>
      <c r="T2205" s="5">
        <v>250.4</v>
      </c>
      <c r="U2205" s="5">
        <v>240.52</v>
      </c>
      <c r="V2205" s="5">
        <v>245.11</v>
      </c>
      <c r="W2205" s="5">
        <v>1422700</v>
      </c>
    </row>
    <row r="2206" spans="1:23" x14ac:dyDescent="0.3">
      <c r="A2206" s="6">
        <v>41582</v>
      </c>
      <c r="B2206" s="7">
        <v>0.66666666666666663</v>
      </c>
      <c r="C2206" s="5">
        <v>426</v>
      </c>
      <c r="D2206" s="5">
        <v>430</v>
      </c>
      <c r="E2206" s="5">
        <v>426</v>
      </c>
      <c r="F2206" s="5">
        <v>430</v>
      </c>
      <c r="G2206" s="5">
        <v>200</v>
      </c>
      <c r="Q2206" s="6">
        <v>41505</v>
      </c>
      <c r="R2206" s="7">
        <v>0.66666666666666663</v>
      </c>
      <c r="S2206" s="5">
        <v>243.51</v>
      </c>
      <c r="T2206" s="5">
        <v>245.49</v>
      </c>
      <c r="U2206" s="5">
        <v>240.4</v>
      </c>
      <c r="V2206" s="5">
        <v>241.91</v>
      </c>
      <c r="W2206" s="5">
        <v>575400</v>
      </c>
    </row>
    <row r="2207" spans="1:23" x14ac:dyDescent="0.3">
      <c r="A2207" s="6">
        <v>41584</v>
      </c>
      <c r="B2207" s="7">
        <v>0.66666666666666663</v>
      </c>
      <c r="C2207" s="5">
        <v>430</v>
      </c>
      <c r="D2207" s="5">
        <v>430</v>
      </c>
      <c r="E2207" s="5">
        <v>430</v>
      </c>
      <c r="F2207" s="5">
        <v>430</v>
      </c>
      <c r="G2207" s="5">
        <v>100</v>
      </c>
      <c r="Q2207" s="6">
        <v>41506</v>
      </c>
      <c r="R2207" s="7">
        <v>0.66666666666666663</v>
      </c>
      <c r="S2207" s="5">
        <v>241.99</v>
      </c>
      <c r="T2207" s="5">
        <v>253.55</v>
      </c>
      <c r="U2207" s="5">
        <v>241.99</v>
      </c>
      <c r="V2207" s="5">
        <v>249.54</v>
      </c>
      <c r="W2207" s="5">
        <v>1710500</v>
      </c>
    </row>
    <row r="2208" spans="1:23" x14ac:dyDescent="0.3">
      <c r="A2208" s="6">
        <v>41585</v>
      </c>
      <c r="B2208" s="7">
        <v>0.66666666666666663</v>
      </c>
      <c r="C2208" s="5">
        <v>434</v>
      </c>
      <c r="D2208" s="5">
        <v>435.35</v>
      </c>
      <c r="E2208" s="5">
        <v>434</v>
      </c>
      <c r="F2208" s="5">
        <v>435.35</v>
      </c>
      <c r="G2208" s="5">
        <v>800</v>
      </c>
      <c r="Q2208" s="6">
        <v>41507</v>
      </c>
      <c r="R2208" s="7">
        <v>0.66666666666666663</v>
      </c>
      <c r="S2208" s="5">
        <v>251.22</v>
      </c>
      <c r="T2208" s="5">
        <v>251.9</v>
      </c>
      <c r="U2208" s="5">
        <v>242.11</v>
      </c>
      <c r="V2208" s="5">
        <v>243.28</v>
      </c>
      <c r="W2208" s="5">
        <v>601500</v>
      </c>
    </row>
    <row r="2209" spans="1:23" x14ac:dyDescent="0.3">
      <c r="A2209" s="6">
        <v>41586</v>
      </c>
      <c r="B2209" s="7">
        <v>0.66666666666666663</v>
      </c>
      <c r="C2209" s="5">
        <v>430</v>
      </c>
      <c r="D2209" s="5">
        <v>430.01</v>
      </c>
      <c r="E2209" s="5">
        <v>430</v>
      </c>
      <c r="F2209" s="5">
        <v>430</v>
      </c>
      <c r="G2209" s="5">
        <v>1000</v>
      </c>
      <c r="Q2209" s="6">
        <v>41508</v>
      </c>
      <c r="R2209" s="7">
        <v>0.66666666666666663</v>
      </c>
      <c r="S2209" s="5">
        <v>246</v>
      </c>
      <c r="T2209" s="5">
        <v>246.01</v>
      </c>
      <c r="U2209" s="5">
        <v>231.12</v>
      </c>
      <c r="V2209" s="5">
        <v>234.43</v>
      </c>
      <c r="W2209" s="5">
        <v>1152300</v>
      </c>
    </row>
    <row r="2210" spans="1:23" x14ac:dyDescent="0.3">
      <c r="A2210" s="6">
        <v>41589</v>
      </c>
      <c r="B2210" s="7">
        <v>0.66666666666666663</v>
      </c>
      <c r="C2210" s="5">
        <v>434.5</v>
      </c>
      <c r="D2210" s="5">
        <v>437.35</v>
      </c>
      <c r="E2210" s="5">
        <v>434.5</v>
      </c>
      <c r="F2210" s="5">
        <v>435</v>
      </c>
      <c r="G2210" s="5">
        <v>1900</v>
      </c>
      <c r="Q2210" s="6">
        <v>41509</v>
      </c>
      <c r="R2210" s="7">
        <v>0.66666666666666663</v>
      </c>
      <c r="S2210" s="5">
        <v>234</v>
      </c>
      <c r="T2210" s="5">
        <v>239</v>
      </c>
      <c r="U2210" s="5">
        <v>228.51</v>
      </c>
      <c r="V2210" s="5">
        <v>233.64</v>
      </c>
      <c r="W2210" s="5">
        <v>981600</v>
      </c>
    </row>
    <row r="2211" spans="1:23" x14ac:dyDescent="0.3">
      <c r="A2211" s="6">
        <v>41590</v>
      </c>
      <c r="B2211" s="7">
        <v>0.66666666666666663</v>
      </c>
      <c r="C2211" s="5">
        <v>439.95</v>
      </c>
      <c r="D2211" s="5">
        <v>439.99</v>
      </c>
      <c r="E2211" s="5">
        <v>438.88</v>
      </c>
      <c r="F2211" s="5">
        <v>438.88</v>
      </c>
      <c r="G2211" s="5">
        <v>900</v>
      </c>
      <c r="Q2211" s="6">
        <v>41512</v>
      </c>
      <c r="R2211" s="7">
        <v>0.66666666666666663</v>
      </c>
      <c r="S2211" s="5">
        <v>235.01</v>
      </c>
      <c r="T2211" s="5">
        <v>241.2</v>
      </c>
      <c r="U2211" s="5">
        <v>235.01</v>
      </c>
      <c r="V2211" s="5">
        <v>239.5</v>
      </c>
      <c r="W2211" s="5">
        <v>669900</v>
      </c>
    </row>
    <row r="2212" spans="1:23" x14ac:dyDescent="0.3">
      <c r="A2212" s="6">
        <v>41591</v>
      </c>
      <c r="B2212" s="7">
        <v>0.66666666666666663</v>
      </c>
      <c r="C2212" s="5">
        <v>435.15</v>
      </c>
      <c r="D2212" s="5">
        <v>435.15</v>
      </c>
      <c r="E2212" s="5">
        <v>435</v>
      </c>
      <c r="F2212" s="5">
        <v>435</v>
      </c>
      <c r="G2212" s="5">
        <v>600</v>
      </c>
      <c r="Q2212" s="6">
        <v>41513</v>
      </c>
      <c r="R2212" s="7">
        <v>0.66666666666666663</v>
      </c>
      <c r="S2212" s="5">
        <v>240.85</v>
      </c>
      <c r="T2212" s="5">
        <v>242</v>
      </c>
      <c r="U2212" s="5">
        <v>228.24</v>
      </c>
      <c r="V2212" s="5">
        <v>230.42</v>
      </c>
      <c r="W2212" s="5">
        <v>381900</v>
      </c>
    </row>
    <row r="2213" spans="1:23" x14ac:dyDescent="0.3">
      <c r="A2213" s="6">
        <v>41596</v>
      </c>
      <c r="B2213" s="7">
        <v>0.66666666666666663</v>
      </c>
      <c r="C2213" s="5">
        <v>438.5</v>
      </c>
      <c r="D2213" s="5">
        <v>439</v>
      </c>
      <c r="E2213" s="5">
        <v>435</v>
      </c>
      <c r="F2213" s="5">
        <v>435</v>
      </c>
      <c r="G2213" s="5">
        <v>3300</v>
      </c>
      <c r="Q2213" s="6">
        <v>41514</v>
      </c>
      <c r="R2213" s="7">
        <v>0.66666666666666663</v>
      </c>
      <c r="S2213" s="5">
        <v>228.1</v>
      </c>
      <c r="T2213" s="5">
        <v>229.99</v>
      </c>
      <c r="U2213" s="5">
        <v>218.9</v>
      </c>
      <c r="V2213" s="5">
        <v>224.3</v>
      </c>
      <c r="W2213" s="5">
        <v>1326900</v>
      </c>
    </row>
    <row r="2214" spans="1:23" x14ac:dyDescent="0.3">
      <c r="A2214" s="6">
        <v>41597</v>
      </c>
      <c r="B2214" s="7">
        <v>0.66666666666666663</v>
      </c>
      <c r="C2214" s="5">
        <v>439.95</v>
      </c>
      <c r="D2214" s="5">
        <v>456</v>
      </c>
      <c r="E2214" s="5">
        <v>436</v>
      </c>
      <c r="F2214" s="5">
        <v>448.43</v>
      </c>
      <c r="G2214" s="5">
        <v>31500</v>
      </c>
      <c r="Q2214" s="6">
        <v>41515</v>
      </c>
      <c r="R2214" s="7">
        <v>0.66666666666666663</v>
      </c>
      <c r="S2214" s="5">
        <v>227</v>
      </c>
      <c r="T2214" s="5">
        <v>227</v>
      </c>
      <c r="U2214" s="5">
        <v>218.5</v>
      </c>
      <c r="V2214" s="5">
        <v>219.6</v>
      </c>
      <c r="W2214" s="5">
        <v>191100</v>
      </c>
    </row>
    <row r="2215" spans="1:23" x14ac:dyDescent="0.3">
      <c r="A2215" s="6">
        <v>41598</v>
      </c>
      <c r="B2215" s="7">
        <v>0.66666666666666663</v>
      </c>
      <c r="C2215" s="5">
        <v>450</v>
      </c>
      <c r="D2215" s="5">
        <v>450</v>
      </c>
      <c r="E2215" s="5">
        <v>440</v>
      </c>
      <c r="F2215" s="5">
        <v>444.76</v>
      </c>
      <c r="G2215" s="5">
        <v>16600</v>
      </c>
      <c r="Q2215" s="6">
        <v>41516</v>
      </c>
      <c r="R2215" s="7">
        <v>0.66666666666666663</v>
      </c>
      <c r="S2215" s="5">
        <v>219</v>
      </c>
      <c r="T2215" s="5">
        <v>222</v>
      </c>
      <c r="U2215" s="5">
        <v>216</v>
      </c>
      <c r="V2215" s="5">
        <v>217.01</v>
      </c>
      <c r="W2215" s="5">
        <v>283400</v>
      </c>
    </row>
    <row r="2216" spans="1:23" x14ac:dyDescent="0.3">
      <c r="A2216" s="6">
        <v>41599</v>
      </c>
      <c r="B2216" s="7">
        <v>0.66666666666666663</v>
      </c>
      <c r="C2216" s="5">
        <v>440</v>
      </c>
      <c r="D2216" s="5">
        <v>441</v>
      </c>
      <c r="E2216" s="5">
        <v>435</v>
      </c>
      <c r="F2216" s="5">
        <v>439.5</v>
      </c>
      <c r="G2216" s="5">
        <v>17500</v>
      </c>
      <c r="Q2216" s="6">
        <v>41519</v>
      </c>
      <c r="R2216" s="7">
        <v>0.66666666666666663</v>
      </c>
      <c r="S2216" s="5">
        <v>217.2</v>
      </c>
      <c r="T2216" s="5">
        <v>217.2</v>
      </c>
      <c r="U2216" s="5">
        <v>206.5</v>
      </c>
      <c r="V2216" s="5">
        <v>208.96</v>
      </c>
      <c r="W2216" s="5">
        <v>278500</v>
      </c>
    </row>
    <row r="2217" spans="1:23" x14ac:dyDescent="0.3">
      <c r="A2217" s="6">
        <v>41600</v>
      </c>
      <c r="B2217" s="7">
        <v>0.66666666666666663</v>
      </c>
      <c r="C2217" s="5">
        <v>435.15</v>
      </c>
      <c r="D2217" s="5">
        <v>438</v>
      </c>
      <c r="E2217" s="5">
        <v>428</v>
      </c>
      <c r="F2217" s="5">
        <v>431.28</v>
      </c>
      <c r="G2217" s="5">
        <v>3600</v>
      </c>
      <c r="Q2217" s="6">
        <v>41520</v>
      </c>
      <c r="R2217" s="7">
        <v>0.66666666666666663</v>
      </c>
      <c r="S2217" s="5">
        <v>204</v>
      </c>
      <c r="T2217" s="5">
        <v>214.9</v>
      </c>
      <c r="U2217" s="5">
        <v>204</v>
      </c>
      <c r="V2217" s="5">
        <v>208.17</v>
      </c>
      <c r="W2217" s="5">
        <v>441400</v>
      </c>
    </row>
    <row r="2218" spans="1:23" x14ac:dyDescent="0.3">
      <c r="A2218" s="6">
        <v>41603</v>
      </c>
      <c r="B2218" s="7">
        <v>0.66666666666666663</v>
      </c>
      <c r="C2218" s="5">
        <v>435</v>
      </c>
      <c r="D2218" s="5">
        <v>440</v>
      </c>
      <c r="E2218" s="5">
        <v>435</v>
      </c>
      <c r="F2218" s="5">
        <v>437.67</v>
      </c>
      <c r="G2218" s="5">
        <v>6200</v>
      </c>
      <c r="Q2218" s="6">
        <v>41521</v>
      </c>
      <c r="R2218" s="7">
        <v>0.66666666666666663</v>
      </c>
      <c r="S2218" s="5">
        <v>208.05</v>
      </c>
      <c r="T2218" s="5">
        <v>212.75</v>
      </c>
      <c r="U2218" s="5">
        <v>205.05</v>
      </c>
      <c r="V2218" s="5">
        <v>210.05</v>
      </c>
      <c r="W2218" s="5">
        <v>320600</v>
      </c>
    </row>
    <row r="2219" spans="1:23" x14ac:dyDescent="0.3">
      <c r="A2219" s="6">
        <v>41604</v>
      </c>
      <c r="B2219" s="7">
        <v>0.66666666666666663</v>
      </c>
      <c r="C2219" s="5">
        <v>435</v>
      </c>
      <c r="D2219" s="5">
        <v>439</v>
      </c>
      <c r="E2219" s="5">
        <v>435</v>
      </c>
      <c r="F2219" s="5">
        <v>435.5</v>
      </c>
      <c r="G2219" s="5">
        <v>1300</v>
      </c>
      <c r="Q2219" s="6">
        <v>41522</v>
      </c>
      <c r="R2219" s="7">
        <v>0.66666666666666663</v>
      </c>
      <c r="S2219" s="5">
        <v>212</v>
      </c>
      <c r="T2219" s="5">
        <v>220.55</v>
      </c>
      <c r="U2219" s="5">
        <v>210</v>
      </c>
      <c r="V2219" s="5">
        <v>218.66</v>
      </c>
      <c r="W2219" s="5">
        <v>765000</v>
      </c>
    </row>
    <row r="2220" spans="1:23" x14ac:dyDescent="0.3">
      <c r="A2220" s="6">
        <v>41605</v>
      </c>
      <c r="B2220" s="7">
        <v>0.66666666666666663</v>
      </c>
      <c r="C2220" s="5">
        <v>435.11</v>
      </c>
      <c r="D2220" s="5">
        <v>438.49</v>
      </c>
      <c r="E2220" s="5">
        <v>435</v>
      </c>
      <c r="F2220" s="5">
        <v>435.68</v>
      </c>
      <c r="G2220" s="5">
        <v>1300</v>
      </c>
      <c r="Q2220" s="6">
        <v>41523</v>
      </c>
      <c r="R2220" s="7">
        <v>0.66666666666666663</v>
      </c>
      <c r="S2220" s="5">
        <v>220</v>
      </c>
      <c r="T2220" s="5">
        <v>229.59</v>
      </c>
      <c r="U2220" s="5">
        <v>220</v>
      </c>
      <c r="V2220" s="5">
        <v>229</v>
      </c>
      <c r="W2220" s="5">
        <v>794200</v>
      </c>
    </row>
    <row r="2221" spans="1:23" x14ac:dyDescent="0.3">
      <c r="A2221" s="6">
        <v>41606</v>
      </c>
      <c r="B2221" s="7">
        <v>0.66666666666666663</v>
      </c>
      <c r="C2221" s="5">
        <v>437.5</v>
      </c>
      <c r="D2221" s="5">
        <v>440</v>
      </c>
      <c r="E2221" s="5">
        <v>436</v>
      </c>
      <c r="F2221" s="5">
        <v>438.81</v>
      </c>
      <c r="G2221" s="5">
        <v>4500</v>
      </c>
      <c r="Q2221" s="6">
        <v>41526</v>
      </c>
      <c r="R2221" s="7">
        <v>0.66666666666666663</v>
      </c>
      <c r="S2221" s="5">
        <v>232</v>
      </c>
      <c r="T2221" s="5">
        <v>237.99</v>
      </c>
      <c r="U2221" s="5">
        <v>231</v>
      </c>
      <c r="V2221" s="5">
        <v>236.35</v>
      </c>
      <c r="W2221" s="5">
        <v>606900</v>
      </c>
    </row>
    <row r="2222" spans="1:23" x14ac:dyDescent="0.3">
      <c r="A2222" s="6">
        <v>41607</v>
      </c>
      <c r="B2222" s="7">
        <v>0.66666666666666663</v>
      </c>
      <c r="C2222" s="5">
        <v>439</v>
      </c>
      <c r="D2222" s="5">
        <v>440</v>
      </c>
      <c r="E2222" s="5">
        <v>416.87</v>
      </c>
      <c r="F2222" s="5">
        <v>422.58</v>
      </c>
      <c r="G2222" s="5">
        <v>27200</v>
      </c>
      <c r="Q2222" s="6">
        <v>41527</v>
      </c>
      <c r="R2222" s="7">
        <v>0.66666666666666663</v>
      </c>
      <c r="S2222" s="5">
        <v>238</v>
      </c>
      <c r="T2222" s="5">
        <v>245.5</v>
      </c>
      <c r="U2222" s="5">
        <v>237.4</v>
      </c>
      <c r="V2222" s="5">
        <v>244.54</v>
      </c>
      <c r="W2222" s="5">
        <v>907600</v>
      </c>
    </row>
    <row r="2223" spans="1:23" x14ac:dyDescent="0.3">
      <c r="A2223" s="6">
        <v>41610</v>
      </c>
      <c r="B2223" s="7">
        <v>0.66666666666666663</v>
      </c>
      <c r="C2223" s="5">
        <v>413</v>
      </c>
      <c r="D2223" s="5">
        <v>422</v>
      </c>
      <c r="E2223" s="5">
        <v>412.43</v>
      </c>
      <c r="F2223" s="5">
        <v>413.23</v>
      </c>
      <c r="G2223" s="5">
        <v>3300</v>
      </c>
      <c r="Q2223" s="6">
        <v>41528</v>
      </c>
      <c r="R2223" s="7">
        <v>0.66666666666666663</v>
      </c>
      <c r="S2223" s="5">
        <v>245.5</v>
      </c>
      <c r="T2223" s="5">
        <v>245.5</v>
      </c>
      <c r="U2223" s="5">
        <v>239.3</v>
      </c>
      <c r="V2223" s="5">
        <v>243.57</v>
      </c>
      <c r="W2223" s="5">
        <v>552100</v>
      </c>
    </row>
    <row r="2224" spans="1:23" x14ac:dyDescent="0.3">
      <c r="A2224" s="6">
        <v>41611</v>
      </c>
      <c r="B2224" s="7">
        <v>0.66666666666666663</v>
      </c>
      <c r="C2224" s="5">
        <v>411</v>
      </c>
      <c r="D2224" s="5">
        <v>416.9</v>
      </c>
      <c r="E2224" s="5">
        <v>410</v>
      </c>
      <c r="F2224" s="5">
        <v>416.89</v>
      </c>
      <c r="G2224" s="5">
        <v>1200</v>
      </c>
      <c r="Q2224" s="6">
        <v>41529</v>
      </c>
      <c r="R2224" s="7">
        <v>0.66666666666666663</v>
      </c>
      <c r="S2224" s="5">
        <v>243.99</v>
      </c>
      <c r="T2224" s="5">
        <v>244</v>
      </c>
      <c r="U2224" s="5">
        <v>234.02</v>
      </c>
      <c r="V2224" s="5">
        <v>236.04</v>
      </c>
      <c r="W2224" s="5">
        <v>253400</v>
      </c>
    </row>
    <row r="2225" spans="1:23" x14ac:dyDescent="0.3">
      <c r="A2225" s="6">
        <v>41612</v>
      </c>
      <c r="B2225" s="7">
        <v>0.66666666666666663</v>
      </c>
      <c r="C2225" s="5">
        <v>412</v>
      </c>
      <c r="D2225" s="5">
        <v>414.99</v>
      </c>
      <c r="E2225" s="5">
        <v>410.02</v>
      </c>
      <c r="F2225" s="5">
        <v>410.02</v>
      </c>
      <c r="G2225" s="5">
        <v>1600</v>
      </c>
      <c r="Q2225" s="6">
        <v>41530</v>
      </c>
      <c r="R2225" s="7">
        <v>0.66666666666666663</v>
      </c>
      <c r="S2225" s="5">
        <v>235</v>
      </c>
      <c r="T2225" s="5">
        <v>237.98</v>
      </c>
      <c r="U2225" s="5">
        <v>230</v>
      </c>
      <c r="V2225" s="5">
        <v>235.44</v>
      </c>
      <c r="W2225" s="5">
        <v>106100</v>
      </c>
    </row>
    <row r="2226" spans="1:23" x14ac:dyDescent="0.3">
      <c r="A2226" s="6">
        <v>41613</v>
      </c>
      <c r="B2226" s="7">
        <v>0.66666666666666663</v>
      </c>
      <c r="C2226" s="5">
        <v>430</v>
      </c>
      <c r="D2226" s="5">
        <v>430.52</v>
      </c>
      <c r="E2226" s="5">
        <v>418.43</v>
      </c>
      <c r="F2226" s="5">
        <v>421.9</v>
      </c>
      <c r="G2226" s="5">
        <v>16100</v>
      </c>
      <c r="Q2226" s="6">
        <v>41533</v>
      </c>
      <c r="R2226" s="7">
        <v>0.66666666666666663</v>
      </c>
      <c r="S2226" s="5">
        <v>234</v>
      </c>
      <c r="T2226" s="5">
        <v>236</v>
      </c>
      <c r="U2226" s="5">
        <v>232</v>
      </c>
      <c r="V2226" s="5">
        <v>235.01</v>
      </c>
      <c r="W2226" s="5">
        <v>86900</v>
      </c>
    </row>
    <row r="2227" spans="1:23" x14ac:dyDescent="0.3">
      <c r="A2227" s="6">
        <v>41614</v>
      </c>
      <c r="B2227" s="7">
        <v>0.66666666666666663</v>
      </c>
      <c r="C2227" s="5">
        <v>425</v>
      </c>
      <c r="D2227" s="5">
        <v>429</v>
      </c>
      <c r="E2227" s="5">
        <v>417.5</v>
      </c>
      <c r="F2227" s="5">
        <v>421.5</v>
      </c>
      <c r="G2227" s="5">
        <v>5600</v>
      </c>
      <c r="Q2227" s="6">
        <v>41534</v>
      </c>
      <c r="R2227" s="7">
        <v>0.66666666666666663</v>
      </c>
      <c r="S2227" s="5">
        <v>234</v>
      </c>
      <c r="T2227" s="5">
        <v>236.9</v>
      </c>
      <c r="U2227" s="5">
        <v>230.02</v>
      </c>
      <c r="V2227" s="5">
        <v>231.63</v>
      </c>
      <c r="W2227" s="5">
        <v>86800</v>
      </c>
    </row>
    <row r="2228" spans="1:23" x14ac:dyDescent="0.3">
      <c r="A2228" s="6">
        <v>41617</v>
      </c>
      <c r="B2228" s="7">
        <v>0.66666666666666663</v>
      </c>
      <c r="C2228" s="5">
        <v>418</v>
      </c>
      <c r="D2228" s="5">
        <v>424.99</v>
      </c>
      <c r="E2228" s="5">
        <v>416</v>
      </c>
      <c r="F2228" s="5">
        <v>417.57</v>
      </c>
      <c r="G2228" s="5">
        <v>2200</v>
      </c>
      <c r="Q2228" s="6">
        <v>41535</v>
      </c>
      <c r="R2228" s="7">
        <v>0.66666666666666663</v>
      </c>
      <c r="S2228" s="5">
        <v>230</v>
      </c>
      <c r="T2228" s="5">
        <v>230</v>
      </c>
      <c r="U2228" s="5">
        <v>218.15</v>
      </c>
      <c r="V2228" s="5">
        <v>220.16</v>
      </c>
      <c r="W2228" s="5">
        <v>275500</v>
      </c>
    </row>
    <row r="2229" spans="1:23" x14ac:dyDescent="0.3">
      <c r="A2229" s="6">
        <v>41618</v>
      </c>
      <c r="B2229" s="7">
        <v>0.66666666666666663</v>
      </c>
      <c r="C2229" s="5">
        <v>415</v>
      </c>
      <c r="D2229" s="5">
        <v>418</v>
      </c>
      <c r="E2229" s="5">
        <v>412.16</v>
      </c>
      <c r="F2229" s="5">
        <v>418</v>
      </c>
      <c r="G2229" s="5">
        <v>1200</v>
      </c>
      <c r="Q2229" s="6">
        <v>41536</v>
      </c>
      <c r="R2229" s="7">
        <v>0.66666666666666663</v>
      </c>
      <c r="S2229" s="5">
        <v>220.99</v>
      </c>
      <c r="T2229" s="5">
        <v>231.16</v>
      </c>
      <c r="U2229" s="5">
        <v>216.5</v>
      </c>
      <c r="V2229" s="5">
        <v>230.06</v>
      </c>
      <c r="W2229" s="5">
        <v>580100</v>
      </c>
    </row>
    <row r="2230" spans="1:23" x14ac:dyDescent="0.3">
      <c r="A2230" s="6">
        <v>41619</v>
      </c>
      <c r="B2230" s="7">
        <v>0.66666666666666663</v>
      </c>
      <c r="C2230" s="5">
        <v>415</v>
      </c>
      <c r="D2230" s="5">
        <v>422.99</v>
      </c>
      <c r="E2230" s="5">
        <v>414.5</v>
      </c>
      <c r="F2230" s="5">
        <v>417.71</v>
      </c>
      <c r="G2230" s="5">
        <v>2600</v>
      </c>
      <c r="Q2230" s="6">
        <v>41537</v>
      </c>
      <c r="R2230" s="7">
        <v>0.66666666666666663</v>
      </c>
      <c r="S2230" s="5">
        <v>230.9</v>
      </c>
      <c r="T2230" s="5">
        <v>238.66</v>
      </c>
      <c r="U2230" s="5">
        <v>230.9</v>
      </c>
      <c r="V2230" s="5">
        <v>234.79</v>
      </c>
      <c r="W2230" s="5">
        <v>961700</v>
      </c>
    </row>
    <row r="2231" spans="1:23" x14ac:dyDescent="0.3">
      <c r="A2231" s="6">
        <v>41620</v>
      </c>
      <c r="B2231" s="7">
        <v>0.66666666666666663</v>
      </c>
      <c r="C2231" s="5">
        <v>418.99</v>
      </c>
      <c r="D2231" s="5">
        <v>420</v>
      </c>
      <c r="E2231" s="5">
        <v>418.99</v>
      </c>
      <c r="F2231" s="5">
        <v>419.83</v>
      </c>
      <c r="G2231" s="5">
        <v>1200</v>
      </c>
      <c r="Q2231" s="6">
        <v>41540</v>
      </c>
      <c r="R2231" s="7">
        <v>0.66666666666666663</v>
      </c>
      <c r="S2231" s="5">
        <v>234.99</v>
      </c>
      <c r="T2231" s="5">
        <v>235.5</v>
      </c>
      <c r="U2231" s="5">
        <v>230.83</v>
      </c>
      <c r="V2231" s="5">
        <v>232.52</v>
      </c>
      <c r="W2231" s="5">
        <v>217700</v>
      </c>
    </row>
    <row r="2232" spans="1:23" x14ac:dyDescent="0.3">
      <c r="A2232" s="6">
        <v>41621</v>
      </c>
      <c r="B2232" s="7">
        <v>0.66666666666666663</v>
      </c>
      <c r="C2232" s="5">
        <v>419.99</v>
      </c>
      <c r="D2232" s="5">
        <v>425</v>
      </c>
      <c r="E2232" s="5">
        <v>417</v>
      </c>
      <c r="F2232" s="5">
        <v>417</v>
      </c>
      <c r="G2232" s="5">
        <v>2200</v>
      </c>
      <c r="Q2232" s="6">
        <v>41541</v>
      </c>
      <c r="R2232" s="7">
        <v>0.66666666666666663</v>
      </c>
      <c r="S2232" s="5">
        <v>232.55</v>
      </c>
      <c r="T2232" s="5">
        <v>236.7</v>
      </c>
      <c r="U2232" s="5">
        <v>222.61</v>
      </c>
      <c r="V2232" s="5">
        <v>223.81</v>
      </c>
      <c r="W2232" s="5">
        <v>942300</v>
      </c>
    </row>
    <row r="2233" spans="1:23" x14ac:dyDescent="0.3">
      <c r="A2233" s="6">
        <v>41624</v>
      </c>
      <c r="B2233" s="7">
        <v>0.66666666666666663</v>
      </c>
      <c r="C2233" s="5">
        <v>415</v>
      </c>
      <c r="D2233" s="5">
        <v>415</v>
      </c>
      <c r="E2233" s="5">
        <v>396.15</v>
      </c>
      <c r="F2233" s="5">
        <v>398.8</v>
      </c>
      <c r="G2233" s="5">
        <v>38600</v>
      </c>
      <c r="Q2233" s="6">
        <v>41542</v>
      </c>
      <c r="R2233" s="7">
        <v>0.66666666666666663</v>
      </c>
      <c r="S2233" s="5">
        <v>223.9</v>
      </c>
      <c r="T2233" s="5">
        <v>224.99</v>
      </c>
      <c r="U2233" s="5">
        <v>219</v>
      </c>
      <c r="V2233" s="5">
        <v>222.4</v>
      </c>
      <c r="W2233" s="5">
        <v>410700</v>
      </c>
    </row>
    <row r="2234" spans="1:23" x14ac:dyDescent="0.3">
      <c r="A2234" s="6">
        <v>41625</v>
      </c>
      <c r="B2234" s="7">
        <v>0.66666666666666663</v>
      </c>
      <c r="C2234" s="5">
        <v>403</v>
      </c>
      <c r="D2234" s="5">
        <v>403</v>
      </c>
      <c r="E2234" s="5">
        <v>390.01</v>
      </c>
      <c r="F2234" s="5">
        <v>394.67</v>
      </c>
      <c r="G2234" s="5">
        <v>4800</v>
      </c>
      <c r="Q2234" s="6">
        <v>41543</v>
      </c>
      <c r="R2234" s="7">
        <v>0.66666666666666663</v>
      </c>
      <c r="S2234" s="5">
        <v>223</v>
      </c>
      <c r="T2234" s="5">
        <v>223.9</v>
      </c>
      <c r="U2234" s="5">
        <v>212.5</v>
      </c>
      <c r="V2234" s="5">
        <v>217.82</v>
      </c>
      <c r="W2234" s="5">
        <v>299800</v>
      </c>
    </row>
    <row r="2235" spans="1:23" x14ac:dyDescent="0.3">
      <c r="A2235" s="6">
        <v>41626</v>
      </c>
      <c r="B2235" s="7">
        <v>0.66666666666666663</v>
      </c>
      <c r="C2235" s="5">
        <v>402.49</v>
      </c>
      <c r="D2235" s="5">
        <v>402.49</v>
      </c>
      <c r="E2235" s="5">
        <v>400</v>
      </c>
      <c r="F2235" s="5">
        <v>400</v>
      </c>
      <c r="G2235" s="5">
        <v>4400</v>
      </c>
      <c r="Q2235" s="6">
        <v>41544</v>
      </c>
      <c r="R2235" s="7">
        <v>0.66666666666666663</v>
      </c>
      <c r="S2235" s="5">
        <v>219</v>
      </c>
      <c r="T2235" s="5">
        <v>221.99</v>
      </c>
      <c r="U2235" s="5">
        <v>212</v>
      </c>
      <c r="V2235" s="5">
        <v>213.01</v>
      </c>
      <c r="W2235" s="5">
        <v>475000</v>
      </c>
    </row>
    <row r="2236" spans="1:23" x14ac:dyDescent="0.3">
      <c r="A2236" s="6">
        <v>41627</v>
      </c>
      <c r="B2236" s="7">
        <v>0.66666666666666663</v>
      </c>
      <c r="C2236" s="5">
        <v>400</v>
      </c>
      <c r="D2236" s="5">
        <v>400.9</v>
      </c>
      <c r="E2236" s="5">
        <v>390</v>
      </c>
      <c r="F2236" s="5">
        <v>400.9</v>
      </c>
      <c r="G2236" s="5">
        <v>400</v>
      </c>
      <c r="Q2236" s="6">
        <v>41547</v>
      </c>
      <c r="R2236" s="7">
        <v>0.66666666666666663</v>
      </c>
      <c r="S2236" s="5">
        <v>212.75</v>
      </c>
      <c r="T2236" s="5">
        <v>212.75</v>
      </c>
      <c r="U2236" s="5">
        <v>202.36</v>
      </c>
      <c r="V2236" s="5">
        <v>202.42</v>
      </c>
      <c r="W2236" s="5">
        <v>437800</v>
      </c>
    </row>
    <row r="2237" spans="1:23" x14ac:dyDescent="0.3">
      <c r="A2237" s="6">
        <v>41628</v>
      </c>
      <c r="B2237" s="7">
        <v>0.66666666666666663</v>
      </c>
      <c r="C2237" s="5">
        <v>395</v>
      </c>
      <c r="D2237" s="5">
        <v>395</v>
      </c>
      <c r="E2237" s="5">
        <v>391.5</v>
      </c>
      <c r="F2237" s="5">
        <v>391.5</v>
      </c>
      <c r="G2237" s="5">
        <v>300</v>
      </c>
      <c r="Q2237" s="6">
        <v>41548</v>
      </c>
      <c r="R2237" s="7">
        <v>0.66666666666666663</v>
      </c>
      <c r="S2237" s="5">
        <v>200.5</v>
      </c>
      <c r="T2237" s="5">
        <v>211.99</v>
      </c>
      <c r="U2237" s="5">
        <v>194.6</v>
      </c>
      <c r="V2237" s="5">
        <v>209.86</v>
      </c>
      <c r="W2237" s="5">
        <v>1698200</v>
      </c>
    </row>
    <row r="2238" spans="1:23" x14ac:dyDescent="0.3">
      <c r="A2238" s="6">
        <v>41631</v>
      </c>
      <c r="B2238" s="7">
        <v>0.66666666666666663</v>
      </c>
      <c r="C2238" s="5">
        <v>382</v>
      </c>
      <c r="D2238" s="5">
        <v>387</v>
      </c>
      <c r="E2238" s="5">
        <v>382</v>
      </c>
      <c r="F2238" s="5">
        <v>385.5</v>
      </c>
      <c r="G2238" s="5">
        <v>1600</v>
      </c>
      <c r="Q2238" s="6">
        <v>41549</v>
      </c>
      <c r="R2238" s="7">
        <v>0.66666666666666663</v>
      </c>
      <c r="S2238" s="5">
        <v>210.5</v>
      </c>
      <c r="T2238" s="5">
        <v>214.4</v>
      </c>
      <c r="U2238" s="5">
        <v>208.5</v>
      </c>
      <c r="V2238" s="5">
        <v>210.94</v>
      </c>
      <c r="W2238" s="5">
        <v>1088700</v>
      </c>
    </row>
    <row r="2239" spans="1:23" x14ac:dyDescent="0.3">
      <c r="A2239" s="6">
        <v>41632</v>
      </c>
      <c r="B2239" s="7">
        <v>0.66666666666666663</v>
      </c>
      <c r="C2239" s="5">
        <v>375</v>
      </c>
      <c r="D2239" s="5">
        <v>383.75</v>
      </c>
      <c r="E2239" s="5">
        <v>375</v>
      </c>
      <c r="F2239" s="5">
        <v>383.75</v>
      </c>
      <c r="G2239" s="5">
        <v>600</v>
      </c>
      <c r="Q2239" s="6">
        <v>41550</v>
      </c>
      <c r="R2239" s="7">
        <v>0.66666666666666663</v>
      </c>
      <c r="S2239" s="5">
        <v>211</v>
      </c>
      <c r="T2239" s="5">
        <v>211</v>
      </c>
      <c r="U2239" s="5">
        <v>202.55</v>
      </c>
      <c r="V2239" s="5">
        <v>206.7</v>
      </c>
      <c r="W2239" s="5">
        <v>442100</v>
      </c>
    </row>
    <row r="2240" spans="1:23" x14ac:dyDescent="0.3">
      <c r="A2240" s="6">
        <v>41634</v>
      </c>
      <c r="B2240" s="7">
        <v>0.66666666666666663</v>
      </c>
      <c r="C2240" s="5">
        <v>383.99</v>
      </c>
      <c r="D2240" s="5">
        <v>398.7</v>
      </c>
      <c r="E2240" s="5">
        <v>379</v>
      </c>
      <c r="F2240" s="5">
        <v>394.11</v>
      </c>
      <c r="G2240" s="5">
        <v>6700</v>
      </c>
      <c r="Q2240" s="6">
        <v>41551</v>
      </c>
      <c r="R2240" s="7">
        <v>0.66666666666666663</v>
      </c>
      <c r="S2240" s="5">
        <v>206.9</v>
      </c>
      <c r="T2240" s="5">
        <v>208.35</v>
      </c>
      <c r="U2240" s="5">
        <v>197.25</v>
      </c>
      <c r="V2240" s="5">
        <v>200.69</v>
      </c>
      <c r="W2240" s="5">
        <v>463500</v>
      </c>
    </row>
    <row r="2241" spans="1:23" x14ac:dyDescent="0.3">
      <c r="A2241" s="6">
        <v>41635</v>
      </c>
      <c r="B2241" s="7">
        <v>0.66666666666666663</v>
      </c>
      <c r="C2241" s="5">
        <v>404</v>
      </c>
      <c r="D2241" s="5">
        <v>404</v>
      </c>
      <c r="E2241" s="5">
        <v>396</v>
      </c>
      <c r="F2241" s="5">
        <v>397</v>
      </c>
      <c r="G2241" s="5">
        <v>1700</v>
      </c>
      <c r="Q2241" s="6">
        <v>41554</v>
      </c>
      <c r="R2241" s="7">
        <v>0.66666666666666663</v>
      </c>
      <c r="S2241" s="5">
        <v>200.9</v>
      </c>
      <c r="T2241" s="5">
        <v>201</v>
      </c>
      <c r="U2241" s="5">
        <v>195.9</v>
      </c>
      <c r="V2241" s="5">
        <v>196.38</v>
      </c>
      <c r="W2241" s="5">
        <v>189800</v>
      </c>
    </row>
    <row r="2242" spans="1:23" x14ac:dyDescent="0.3">
      <c r="A2242" s="6">
        <v>41638</v>
      </c>
      <c r="B2242" s="7">
        <v>0.66666666666666663</v>
      </c>
      <c r="C2242" s="5">
        <v>398</v>
      </c>
      <c r="D2242" s="5">
        <v>398</v>
      </c>
      <c r="E2242" s="5">
        <v>390</v>
      </c>
      <c r="F2242" s="5">
        <v>393</v>
      </c>
      <c r="G2242" s="5">
        <v>2000</v>
      </c>
      <c r="Q2242" s="6">
        <v>41555</v>
      </c>
      <c r="R2242" s="7">
        <v>0.66666666666666663</v>
      </c>
      <c r="S2242" s="5">
        <v>197</v>
      </c>
      <c r="T2242" s="5">
        <v>200.69</v>
      </c>
      <c r="U2242" s="5">
        <v>196.55</v>
      </c>
      <c r="V2242" s="5">
        <v>199.63</v>
      </c>
      <c r="W2242" s="5">
        <v>369900</v>
      </c>
    </row>
    <row r="2243" spans="1:23" x14ac:dyDescent="0.3">
      <c r="A2243" s="6">
        <v>41639</v>
      </c>
      <c r="B2243" s="7">
        <v>0.66666666666666663</v>
      </c>
      <c r="C2243" s="5">
        <v>396</v>
      </c>
      <c r="D2243" s="5">
        <v>397.6</v>
      </c>
      <c r="E2243" s="5">
        <v>393</v>
      </c>
      <c r="F2243" s="5">
        <v>393.5</v>
      </c>
      <c r="G2243" s="5">
        <v>1200</v>
      </c>
      <c r="Q2243" s="6">
        <v>41556</v>
      </c>
      <c r="R2243" s="7">
        <v>0.66666666666666663</v>
      </c>
      <c r="S2243" s="5">
        <v>201</v>
      </c>
      <c r="T2243" s="5">
        <v>204</v>
      </c>
      <c r="U2243" s="5">
        <v>198.2</v>
      </c>
      <c r="V2243" s="5">
        <v>198.97</v>
      </c>
      <c r="W2243" s="5">
        <v>642200</v>
      </c>
    </row>
    <row r="2244" spans="1:23" x14ac:dyDescent="0.3">
      <c r="A2244" s="6">
        <v>41640</v>
      </c>
      <c r="B2244" s="7">
        <v>0.66666666666666663</v>
      </c>
      <c r="C2244" s="5">
        <v>397</v>
      </c>
      <c r="D2244" s="5">
        <v>400</v>
      </c>
      <c r="E2244" s="5">
        <v>394.51</v>
      </c>
      <c r="F2244" s="5">
        <v>396.93</v>
      </c>
      <c r="G2244" s="5">
        <v>3100</v>
      </c>
      <c r="Q2244" s="6">
        <v>41557</v>
      </c>
      <c r="R2244" s="7">
        <v>0.66666666666666663</v>
      </c>
      <c r="S2244" s="5">
        <v>199</v>
      </c>
      <c r="T2244" s="5">
        <v>201.6</v>
      </c>
      <c r="U2244" s="5">
        <v>194.11</v>
      </c>
      <c r="V2244" s="5">
        <v>196.75</v>
      </c>
      <c r="W2244" s="5">
        <v>383300</v>
      </c>
    </row>
    <row r="2245" spans="1:23" x14ac:dyDescent="0.3">
      <c r="A2245" s="6">
        <v>41641</v>
      </c>
      <c r="B2245" s="7">
        <v>0.66666666666666663</v>
      </c>
      <c r="C2245" s="5">
        <v>399</v>
      </c>
      <c r="D2245" s="5">
        <v>416.77</v>
      </c>
      <c r="E2245" s="5">
        <v>399</v>
      </c>
      <c r="F2245" s="5">
        <v>415.96</v>
      </c>
      <c r="G2245" s="5">
        <v>69300</v>
      </c>
      <c r="Q2245" s="6">
        <v>41558</v>
      </c>
      <c r="R2245" s="7">
        <v>0.66666666666666663</v>
      </c>
      <c r="S2245" s="5">
        <v>199.01</v>
      </c>
      <c r="T2245" s="5">
        <v>202.45</v>
      </c>
      <c r="U2245" s="5">
        <v>198.15</v>
      </c>
      <c r="V2245" s="5">
        <v>198.96</v>
      </c>
      <c r="W2245" s="5">
        <v>384600</v>
      </c>
    </row>
    <row r="2246" spans="1:23" x14ac:dyDescent="0.3">
      <c r="A2246" s="6">
        <v>41642</v>
      </c>
      <c r="B2246" s="7">
        <v>0.66666666666666663</v>
      </c>
      <c r="C2246" s="5">
        <v>418</v>
      </c>
      <c r="D2246" s="5">
        <v>425</v>
      </c>
      <c r="E2246" s="5">
        <v>409</v>
      </c>
      <c r="F2246" s="5">
        <v>409.71</v>
      </c>
      <c r="G2246" s="5">
        <v>11300</v>
      </c>
      <c r="Q2246" s="6">
        <v>41561</v>
      </c>
      <c r="R2246" s="7">
        <v>0.66666666666666663</v>
      </c>
      <c r="S2246" s="5">
        <v>198.75</v>
      </c>
      <c r="T2246" s="5">
        <v>199.45</v>
      </c>
      <c r="U2246" s="5">
        <v>195</v>
      </c>
      <c r="V2246" s="5">
        <v>196.01</v>
      </c>
      <c r="W2246" s="5">
        <v>112600</v>
      </c>
    </row>
    <row r="2247" spans="1:23" x14ac:dyDescent="0.3">
      <c r="A2247" s="6">
        <v>41645</v>
      </c>
      <c r="B2247" s="7">
        <v>0.66666666666666663</v>
      </c>
      <c r="C2247" s="5">
        <v>410</v>
      </c>
      <c r="D2247" s="5">
        <v>411.9</v>
      </c>
      <c r="E2247" s="5">
        <v>400</v>
      </c>
      <c r="F2247" s="5">
        <v>400.25</v>
      </c>
      <c r="G2247" s="5">
        <v>6200</v>
      </c>
      <c r="Q2247" s="6">
        <v>41568</v>
      </c>
      <c r="R2247" s="7">
        <v>0.66666666666666663</v>
      </c>
      <c r="S2247" s="5">
        <v>200</v>
      </c>
      <c r="T2247" s="5">
        <v>202</v>
      </c>
      <c r="U2247" s="5">
        <v>192</v>
      </c>
      <c r="V2247" s="5">
        <v>193.46</v>
      </c>
      <c r="W2247" s="5">
        <v>326800</v>
      </c>
    </row>
    <row r="2248" spans="1:23" x14ac:dyDescent="0.3">
      <c r="A2248" s="6">
        <v>41646</v>
      </c>
      <c r="B2248" s="7">
        <v>0.66666666666666663</v>
      </c>
      <c r="C2248" s="5">
        <v>409</v>
      </c>
      <c r="D2248" s="5">
        <v>409.9</v>
      </c>
      <c r="E2248" s="5">
        <v>397</v>
      </c>
      <c r="F2248" s="5">
        <v>399.62</v>
      </c>
      <c r="G2248" s="5">
        <v>13400</v>
      </c>
      <c r="Q2248" s="6">
        <v>41569</v>
      </c>
      <c r="R2248" s="7">
        <v>0.66666666666666663</v>
      </c>
      <c r="S2248" s="5">
        <v>193.1</v>
      </c>
      <c r="T2248" s="5">
        <v>194.9</v>
      </c>
      <c r="U2248" s="5">
        <v>183.85</v>
      </c>
      <c r="V2248" s="5">
        <v>184.04</v>
      </c>
      <c r="W2248" s="5">
        <v>593400</v>
      </c>
    </row>
    <row r="2249" spans="1:23" x14ac:dyDescent="0.3">
      <c r="A2249" s="6">
        <v>41647</v>
      </c>
      <c r="B2249" s="7">
        <v>0.66666666666666663</v>
      </c>
      <c r="C2249" s="5">
        <v>400</v>
      </c>
      <c r="D2249" s="5">
        <v>400.01</v>
      </c>
      <c r="E2249" s="5">
        <v>390</v>
      </c>
      <c r="F2249" s="5">
        <v>399</v>
      </c>
      <c r="G2249" s="5">
        <v>10600</v>
      </c>
      <c r="Q2249" s="6">
        <v>41570</v>
      </c>
      <c r="R2249" s="7">
        <v>0.66666666666666663</v>
      </c>
      <c r="S2249" s="5">
        <v>183.1</v>
      </c>
      <c r="T2249" s="5">
        <v>186.7</v>
      </c>
      <c r="U2249" s="5">
        <v>181</v>
      </c>
      <c r="V2249" s="5">
        <v>184.2</v>
      </c>
      <c r="W2249" s="5">
        <v>495200</v>
      </c>
    </row>
    <row r="2250" spans="1:23" x14ac:dyDescent="0.3">
      <c r="A2250" s="6">
        <v>41648</v>
      </c>
      <c r="B2250" s="7">
        <v>0.66666666666666663</v>
      </c>
      <c r="C2250" s="5">
        <v>397.05</v>
      </c>
      <c r="D2250" s="5">
        <v>402</v>
      </c>
      <c r="E2250" s="5">
        <v>391</v>
      </c>
      <c r="F2250" s="5">
        <v>392.17</v>
      </c>
      <c r="G2250" s="5">
        <v>12800</v>
      </c>
      <c r="Q2250" s="6">
        <v>41571</v>
      </c>
      <c r="R2250" s="7">
        <v>0.66666666666666663</v>
      </c>
      <c r="S2250" s="5">
        <v>184.99</v>
      </c>
      <c r="T2250" s="5">
        <v>189.74</v>
      </c>
      <c r="U2250" s="5">
        <v>184.99</v>
      </c>
      <c r="V2250" s="5">
        <v>185.5</v>
      </c>
      <c r="W2250" s="5">
        <v>715600</v>
      </c>
    </row>
    <row r="2251" spans="1:23" x14ac:dyDescent="0.3">
      <c r="A2251" s="6">
        <v>41649</v>
      </c>
      <c r="B2251" s="7">
        <v>0.66666666666666663</v>
      </c>
      <c r="C2251" s="5">
        <v>395</v>
      </c>
      <c r="D2251" s="5">
        <v>396</v>
      </c>
      <c r="E2251" s="5">
        <v>393</v>
      </c>
      <c r="F2251" s="5">
        <v>393.78</v>
      </c>
      <c r="G2251" s="5">
        <v>2900</v>
      </c>
      <c r="Q2251" s="6">
        <v>41572</v>
      </c>
      <c r="R2251" s="7">
        <v>0.66666666666666663</v>
      </c>
      <c r="S2251" s="5">
        <v>185.51</v>
      </c>
      <c r="T2251" s="5">
        <v>187.45</v>
      </c>
      <c r="U2251" s="5">
        <v>180.5</v>
      </c>
      <c r="V2251" s="5">
        <v>181.42</v>
      </c>
      <c r="W2251" s="5">
        <v>416200</v>
      </c>
    </row>
    <row r="2252" spans="1:23" x14ac:dyDescent="0.3">
      <c r="A2252" s="6">
        <v>41652</v>
      </c>
      <c r="B2252" s="7">
        <v>0.66666666666666663</v>
      </c>
      <c r="C2252" s="5">
        <v>395</v>
      </c>
      <c r="D2252" s="5">
        <v>399.95</v>
      </c>
      <c r="E2252" s="5">
        <v>394</v>
      </c>
      <c r="F2252" s="5">
        <v>394.99</v>
      </c>
      <c r="G2252" s="5">
        <v>4100</v>
      </c>
      <c r="Q2252" s="6">
        <v>41575</v>
      </c>
      <c r="R2252" s="7">
        <v>0.66666666666666663</v>
      </c>
      <c r="S2252" s="5">
        <v>178.5</v>
      </c>
      <c r="T2252" s="5">
        <v>181</v>
      </c>
      <c r="U2252" s="5">
        <v>176.7</v>
      </c>
      <c r="V2252" s="5">
        <v>179.78</v>
      </c>
      <c r="W2252" s="5">
        <v>209500</v>
      </c>
    </row>
    <row r="2253" spans="1:23" x14ac:dyDescent="0.3">
      <c r="A2253" s="6">
        <v>41654</v>
      </c>
      <c r="B2253" s="7">
        <v>0.66666666666666663</v>
      </c>
      <c r="C2253" s="5">
        <v>396.11</v>
      </c>
      <c r="D2253" s="5">
        <v>410</v>
      </c>
      <c r="E2253" s="5">
        <v>395</v>
      </c>
      <c r="F2253" s="5">
        <v>401.04</v>
      </c>
      <c r="G2253" s="5">
        <v>60200</v>
      </c>
      <c r="Q2253" s="6">
        <v>41576</v>
      </c>
      <c r="R2253" s="7">
        <v>0.66666666666666663</v>
      </c>
      <c r="S2253" s="5">
        <v>179.78</v>
      </c>
      <c r="T2253" s="5">
        <v>182.68</v>
      </c>
      <c r="U2253" s="5">
        <v>178.03</v>
      </c>
      <c r="V2253" s="5">
        <v>181.87</v>
      </c>
      <c r="W2253" s="5">
        <v>346400</v>
      </c>
    </row>
    <row r="2254" spans="1:23" x14ac:dyDescent="0.3">
      <c r="A2254" s="6">
        <v>41655</v>
      </c>
      <c r="B2254" s="7">
        <v>0.66666666666666663</v>
      </c>
      <c r="C2254" s="5">
        <v>398.5</v>
      </c>
      <c r="D2254" s="5">
        <v>399.99</v>
      </c>
      <c r="E2254" s="5">
        <v>398</v>
      </c>
      <c r="F2254" s="5">
        <v>399.99</v>
      </c>
      <c r="G2254" s="5">
        <v>2300</v>
      </c>
      <c r="Q2254" s="6">
        <v>41577</v>
      </c>
      <c r="R2254" s="7">
        <v>0.66666666666666663</v>
      </c>
      <c r="S2254" s="5">
        <v>182.4</v>
      </c>
      <c r="T2254" s="5">
        <v>183.4</v>
      </c>
      <c r="U2254" s="5">
        <v>180.11</v>
      </c>
      <c r="V2254" s="5">
        <v>180.39</v>
      </c>
      <c r="W2254" s="5">
        <v>165200</v>
      </c>
    </row>
    <row r="2255" spans="1:23" x14ac:dyDescent="0.3">
      <c r="A2255" s="6">
        <v>41656</v>
      </c>
      <c r="B2255" s="7">
        <v>0.66666666666666663</v>
      </c>
      <c r="C2255" s="5">
        <v>400.2</v>
      </c>
      <c r="D2255" s="5">
        <v>403</v>
      </c>
      <c r="E2255" s="5">
        <v>398</v>
      </c>
      <c r="F2255" s="5">
        <v>398.33</v>
      </c>
      <c r="G2255" s="5">
        <v>10800</v>
      </c>
      <c r="Q2255" s="6">
        <v>41578</v>
      </c>
      <c r="R2255" s="7">
        <v>0.66666666666666663</v>
      </c>
      <c r="S2255" s="5">
        <v>180.4</v>
      </c>
      <c r="T2255" s="5">
        <v>185.79</v>
      </c>
      <c r="U2255" s="5">
        <v>179.05</v>
      </c>
      <c r="V2255" s="5">
        <v>184.9</v>
      </c>
      <c r="W2255" s="5">
        <v>290300</v>
      </c>
    </row>
    <row r="2256" spans="1:23" x14ac:dyDescent="0.3">
      <c r="A2256" s="6">
        <v>41659</v>
      </c>
      <c r="B2256" s="7">
        <v>0.66666666666666663</v>
      </c>
      <c r="C2256" s="5">
        <v>396</v>
      </c>
      <c r="D2256" s="5">
        <v>403</v>
      </c>
      <c r="E2256" s="5">
        <v>396</v>
      </c>
      <c r="F2256" s="5">
        <v>398.26</v>
      </c>
      <c r="G2256" s="5">
        <v>28900</v>
      </c>
      <c r="Q2256" s="6">
        <v>41579</v>
      </c>
      <c r="R2256" s="7">
        <v>0.66666666666666663</v>
      </c>
      <c r="S2256" s="5">
        <v>186</v>
      </c>
      <c r="T2256" s="5">
        <v>191</v>
      </c>
      <c r="U2256" s="5">
        <v>183</v>
      </c>
      <c r="V2256" s="5">
        <v>183.83</v>
      </c>
      <c r="W2256" s="5">
        <v>871200</v>
      </c>
    </row>
    <row r="2257" spans="1:23" x14ac:dyDescent="0.3">
      <c r="A2257" s="6">
        <v>41660</v>
      </c>
      <c r="B2257" s="7">
        <v>0.66666666666666663</v>
      </c>
      <c r="C2257" s="5">
        <v>398</v>
      </c>
      <c r="D2257" s="5">
        <v>406</v>
      </c>
      <c r="E2257" s="5">
        <v>398</v>
      </c>
      <c r="F2257" s="5">
        <v>399.84</v>
      </c>
      <c r="G2257" s="5">
        <v>51000</v>
      </c>
      <c r="Q2257" s="6">
        <v>41582</v>
      </c>
      <c r="R2257" s="7">
        <v>0.66666666666666663</v>
      </c>
      <c r="S2257" s="5">
        <v>181.2</v>
      </c>
      <c r="T2257" s="5">
        <v>181.2</v>
      </c>
      <c r="U2257" s="5">
        <v>177</v>
      </c>
      <c r="V2257" s="5">
        <v>179.25</v>
      </c>
      <c r="W2257" s="5">
        <v>241600</v>
      </c>
    </row>
    <row r="2258" spans="1:23" x14ac:dyDescent="0.3">
      <c r="A2258" s="6">
        <v>41661</v>
      </c>
      <c r="B2258" s="7">
        <v>0.66666666666666663</v>
      </c>
      <c r="C2258" s="5">
        <v>400</v>
      </c>
      <c r="D2258" s="5">
        <v>402</v>
      </c>
      <c r="E2258" s="5">
        <v>392</v>
      </c>
      <c r="F2258" s="5">
        <v>392.28</v>
      </c>
      <c r="G2258" s="5">
        <v>23000</v>
      </c>
      <c r="Q2258" s="6">
        <v>41583</v>
      </c>
      <c r="R2258" s="7">
        <v>0.66666666666666663</v>
      </c>
      <c r="S2258" s="5">
        <v>178.75</v>
      </c>
      <c r="T2258" s="5">
        <v>184.25</v>
      </c>
      <c r="U2258" s="5">
        <v>178.75</v>
      </c>
      <c r="V2258" s="5">
        <v>182.57</v>
      </c>
      <c r="W2258" s="5">
        <v>429800</v>
      </c>
    </row>
    <row r="2259" spans="1:23" x14ac:dyDescent="0.3">
      <c r="A2259" s="6">
        <v>41662</v>
      </c>
      <c r="B2259" s="7">
        <v>0.66666666666666663</v>
      </c>
      <c r="C2259" s="5">
        <v>394</v>
      </c>
      <c r="D2259" s="5">
        <v>400</v>
      </c>
      <c r="E2259" s="5">
        <v>393.5</v>
      </c>
      <c r="F2259" s="5">
        <v>394.18</v>
      </c>
      <c r="G2259" s="5">
        <v>14800</v>
      </c>
      <c r="Q2259" s="6">
        <v>41584</v>
      </c>
      <c r="R2259" s="7">
        <v>0.66666666666666663</v>
      </c>
      <c r="S2259" s="5">
        <v>184</v>
      </c>
      <c r="T2259" s="5">
        <v>188</v>
      </c>
      <c r="U2259" s="5">
        <v>183.2</v>
      </c>
      <c r="V2259" s="5">
        <v>187.22</v>
      </c>
      <c r="W2259" s="5">
        <v>846000</v>
      </c>
    </row>
    <row r="2260" spans="1:23" x14ac:dyDescent="0.3">
      <c r="A2260" s="6">
        <v>41663</v>
      </c>
      <c r="B2260" s="7">
        <v>0.66666666666666663</v>
      </c>
      <c r="C2260" s="5">
        <v>394</v>
      </c>
      <c r="D2260" s="5">
        <v>394</v>
      </c>
      <c r="E2260" s="5">
        <v>388</v>
      </c>
      <c r="F2260" s="5">
        <v>390.43</v>
      </c>
      <c r="G2260" s="5">
        <v>14300</v>
      </c>
      <c r="Q2260" s="6">
        <v>41585</v>
      </c>
      <c r="R2260" s="7">
        <v>0.66666666666666663</v>
      </c>
      <c r="S2260" s="5">
        <v>188</v>
      </c>
      <c r="T2260" s="5">
        <v>190.7</v>
      </c>
      <c r="U2260" s="5">
        <v>184.99</v>
      </c>
      <c r="V2260" s="5">
        <v>185.8</v>
      </c>
      <c r="W2260" s="5">
        <v>704000</v>
      </c>
    </row>
    <row r="2261" spans="1:23" x14ac:dyDescent="0.3">
      <c r="A2261" s="6">
        <v>41666</v>
      </c>
      <c r="B2261" s="7">
        <v>0.66666666666666663</v>
      </c>
      <c r="C2261" s="5">
        <v>390</v>
      </c>
      <c r="D2261" s="5">
        <v>392</v>
      </c>
      <c r="E2261" s="5">
        <v>385</v>
      </c>
      <c r="F2261" s="5">
        <v>385.81</v>
      </c>
      <c r="G2261" s="5">
        <v>5200</v>
      </c>
      <c r="Q2261" s="6">
        <v>41586</v>
      </c>
      <c r="R2261" s="7">
        <v>0.66666666666666663</v>
      </c>
      <c r="S2261" s="5">
        <v>186</v>
      </c>
      <c r="T2261" s="5">
        <v>188.47</v>
      </c>
      <c r="U2261" s="5">
        <v>184.04</v>
      </c>
      <c r="V2261" s="5">
        <v>186.34</v>
      </c>
      <c r="W2261" s="5">
        <v>183800</v>
      </c>
    </row>
    <row r="2262" spans="1:23" x14ac:dyDescent="0.3">
      <c r="A2262" s="6">
        <v>41667</v>
      </c>
      <c r="B2262" s="7">
        <v>0.66666666666666663</v>
      </c>
      <c r="C2262" s="5">
        <v>380.01</v>
      </c>
      <c r="D2262" s="5">
        <v>400</v>
      </c>
      <c r="E2262" s="5">
        <v>380.01</v>
      </c>
      <c r="F2262" s="5">
        <v>399.96</v>
      </c>
      <c r="G2262" s="5">
        <v>85600</v>
      </c>
      <c r="Q2262" s="6">
        <v>41589</v>
      </c>
      <c r="R2262" s="7">
        <v>0.66666666666666663</v>
      </c>
      <c r="S2262" s="5">
        <v>187.9</v>
      </c>
      <c r="T2262" s="5">
        <v>193.7</v>
      </c>
      <c r="U2262" s="5">
        <v>187.1</v>
      </c>
      <c r="V2262" s="5">
        <v>190.34</v>
      </c>
      <c r="W2262" s="5">
        <v>797900</v>
      </c>
    </row>
    <row r="2263" spans="1:23" x14ac:dyDescent="0.3">
      <c r="A2263" s="6">
        <v>41668</v>
      </c>
      <c r="B2263" s="7">
        <v>0.66666666666666663</v>
      </c>
      <c r="C2263" s="5">
        <v>398</v>
      </c>
      <c r="D2263" s="5">
        <v>398</v>
      </c>
      <c r="E2263" s="5">
        <v>393.25</v>
      </c>
      <c r="F2263" s="5">
        <v>393.25</v>
      </c>
      <c r="G2263" s="5">
        <v>20300</v>
      </c>
      <c r="Q2263" s="6">
        <v>41590</v>
      </c>
      <c r="R2263" s="7">
        <v>0.66666666666666663</v>
      </c>
      <c r="S2263" s="5">
        <v>190.7</v>
      </c>
      <c r="T2263" s="5">
        <v>192</v>
      </c>
      <c r="U2263" s="5">
        <v>186.05</v>
      </c>
      <c r="V2263" s="5">
        <v>186.85</v>
      </c>
      <c r="W2263" s="5">
        <v>352100</v>
      </c>
    </row>
    <row r="2264" spans="1:23" x14ac:dyDescent="0.3">
      <c r="A2264" s="6">
        <v>41669</v>
      </c>
      <c r="B2264" s="7">
        <v>0.66666666666666663</v>
      </c>
      <c r="C2264" s="5">
        <v>394.9</v>
      </c>
      <c r="D2264" s="5">
        <v>395</v>
      </c>
      <c r="E2264" s="5">
        <v>385.01</v>
      </c>
      <c r="F2264" s="5">
        <v>387.74</v>
      </c>
      <c r="G2264" s="5">
        <v>14500</v>
      </c>
      <c r="Q2264" s="6">
        <v>41591</v>
      </c>
      <c r="R2264" s="7">
        <v>0.66666666666666663</v>
      </c>
      <c r="S2264" s="5">
        <v>187</v>
      </c>
      <c r="T2264" s="5">
        <v>190.5</v>
      </c>
      <c r="U2264" s="5">
        <v>184.76</v>
      </c>
      <c r="V2264" s="5">
        <v>187.98</v>
      </c>
      <c r="W2264" s="5">
        <v>284000</v>
      </c>
    </row>
    <row r="2265" spans="1:23" x14ac:dyDescent="0.3">
      <c r="A2265" s="6">
        <v>41670</v>
      </c>
      <c r="B2265" s="7">
        <v>0.66666666666666663</v>
      </c>
      <c r="C2265" s="5">
        <v>389</v>
      </c>
      <c r="D2265" s="5">
        <v>390.75</v>
      </c>
      <c r="E2265" s="5">
        <v>389</v>
      </c>
      <c r="F2265" s="5">
        <v>390</v>
      </c>
      <c r="G2265" s="5">
        <v>14300</v>
      </c>
      <c r="Q2265" s="6">
        <v>41596</v>
      </c>
      <c r="R2265" s="7">
        <v>0.66666666666666663</v>
      </c>
      <c r="S2265" s="5">
        <v>188</v>
      </c>
      <c r="T2265" s="5">
        <v>197.37</v>
      </c>
      <c r="U2265" s="5">
        <v>188</v>
      </c>
      <c r="V2265" s="5">
        <v>195.89</v>
      </c>
      <c r="W2265" s="5">
        <v>1223300</v>
      </c>
    </row>
    <row r="2266" spans="1:23" x14ac:dyDescent="0.3">
      <c r="A2266" s="6">
        <v>41673</v>
      </c>
      <c r="B2266" s="7">
        <v>0.66666666666666663</v>
      </c>
      <c r="C2266" s="5">
        <v>390.01</v>
      </c>
      <c r="D2266" s="5">
        <v>409.5</v>
      </c>
      <c r="E2266" s="5">
        <v>390.01</v>
      </c>
      <c r="F2266" s="5">
        <v>404.45</v>
      </c>
      <c r="G2266" s="5">
        <v>788700</v>
      </c>
      <c r="Q2266" s="6">
        <v>41597</v>
      </c>
      <c r="R2266" s="7">
        <v>0.66666666666666663</v>
      </c>
      <c r="S2266" s="5">
        <v>197</v>
      </c>
      <c r="T2266" s="5">
        <v>202.98</v>
      </c>
      <c r="U2266" s="5">
        <v>196.5</v>
      </c>
      <c r="V2266" s="5">
        <v>201.57</v>
      </c>
      <c r="W2266" s="5">
        <v>947200</v>
      </c>
    </row>
    <row r="2267" spans="1:23" x14ac:dyDescent="0.3">
      <c r="A2267" s="6">
        <v>41674</v>
      </c>
      <c r="B2267" s="7">
        <v>0.66666666666666663</v>
      </c>
      <c r="C2267" s="5">
        <v>405</v>
      </c>
      <c r="D2267" s="5">
        <v>405</v>
      </c>
      <c r="E2267" s="5">
        <v>396</v>
      </c>
      <c r="F2267" s="5">
        <v>396.85</v>
      </c>
      <c r="G2267" s="5">
        <v>169500</v>
      </c>
      <c r="Q2267" s="6">
        <v>41598</v>
      </c>
      <c r="R2267" s="7">
        <v>0.66666666666666663</v>
      </c>
      <c r="S2267" s="5">
        <v>202.35</v>
      </c>
      <c r="T2267" s="5">
        <v>206.5</v>
      </c>
      <c r="U2267" s="5">
        <v>201</v>
      </c>
      <c r="V2267" s="5">
        <v>202.62</v>
      </c>
      <c r="W2267" s="5">
        <v>858500</v>
      </c>
    </row>
    <row r="2268" spans="1:23" x14ac:dyDescent="0.3">
      <c r="A2268" s="6">
        <v>41676</v>
      </c>
      <c r="B2268" s="7">
        <v>0.66666666666666663</v>
      </c>
      <c r="C2268" s="5">
        <v>399.9</v>
      </c>
      <c r="D2268" s="5">
        <v>400.5</v>
      </c>
      <c r="E2268" s="5">
        <v>391</v>
      </c>
      <c r="F2268" s="5">
        <v>391.73</v>
      </c>
      <c r="G2268" s="5">
        <v>86500</v>
      </c>
      <c r="Q2268" s="6">
        <v>41599</v>
      </c>
      <c r="R2268" s="7">
        <v>0.66666666666666663</v>
      </c>
      <c r="S2268" s="5">
        <v>203.1</v>
      </c>
      <c r="T2268" s="5">
        <v>205.48</v>
      </c>
      <c r="U2268" s="5">
        <v>202.06</v>
      </c>
      <c r="V2268" s="5">
        <v>203.08</v>
      </c>
      <c r="W2268" s="5">
        <v>359000</v>
      </c>
    </row>
    <row r="2269" spans="1:23" x14ac:dyDescent="0.3">
      <c r="A2269" s="6">
        <v>41677</v>
      </c>
      <c r="B2269" s="7">
        <v>0.66666666666666663</v>
      </c>
      <c r="C2269" s="5">
        <v>391.16</v>
      </c>
      <c r="D2269" s="5">
        <v>395</v>
      </c>
      <c r="E2269" s="5">
        <v>382.1</v>
      </c>
      <c r="F2269" s="5">
        <v>385.18</v>
      </c>
      <c r="G2269" s="5">
        <v>81100</v>
      </c>
      <c r="Q2269" s="6">
        <v>41600</v>
      </c>
      <c r="R2269" s="7">
        <v>0.66666666666666663</v>
      </c>
      <c r="S2269" s="5">
        <v>204.8</v>
      </c>
      <c r="T2269" s="5">
        <v>206.6</v>
      </c>
      <c r="U2269" s="5">
        <v>203.25</v>
      </c>
      <c r="V2269" s="5">
        <v>203.71</v>
      </c>
      <c r="W2269" s="5">
        <v>459400</v>
      </c>
    </row>
    <row r="2270" spans="1:23" x14ac:dyDescent="0.3">
      <c r="A2270" s="6">
        <v>41680</v>
      </c>
      <c r="B2270" s="7">
        <v>0.66666666666666663</v>
      </c>
      <c r="C2270" s="5">
        <v>385</v>
      </c>
      <c r="D2270" s="5">
        <v>385</v>
      </c>
      <c r="E2270" s="5">
        <v>373.01</v>
      </c>
      <c r="F2270" s="5">
        <v>375.66</v>
      </c>
      <c r="G2270" s="5">
        <v>80000</v>
      </c>
      <c r="Q2270" s="6">
        <v>41603</v>
      </c>
      <c r="R2270" s="7">
        <v>0.66666666666666663</v>
      </c>
      <c r="S2270" s="5">
        <v>204.5</v>
      </c>
      <c r="T2270" s="5">
        <v>208.35</v>
      </c>
      <c r="U2270" s="5">
        <v>203.51</v>
      </c>
      <c r="V2270" s="5">
        <v>205.83</v>
      </c>
      <c r="W2270" s="5">
        <v>955300</v>
      </c>
    </row>
    <row r="2271" spans="1:23" x14ac:dyDescent="0.3">
      <c r="A2271" s="6">
        <v>41681</v>
      </c>
      <c r="B2271" s="7">
        <v>0.66666666666666663</v>
      </c>
      <c r="C2271" s="5">
        <v>377</v>
      </c>
      <c r="D2271" s="5">
        <v>379.5</v>
      </c>
      <c r="E2271" s="5">
        <v>361.06</v>
      </c>
      <c r="F2271" s="5">
        <v>364.45</v>
      </c>
      <c r="G2271" s="5">
        <v>32500</v>
      </c>
      <c r="Q2271" s="6">
        <v>41604</v>
      </c>
      <c r="R2271" s="7">
        <v>0.66666666666666663</v>
      </c>
      <c r="S2271" s="5">
        <v>206</v>
      </c>
      <c r="T2271" s="5">
        <v>206.5</v>
      </c>
      <c r="U2271" s="5">
        <v>202.75</v>
      </c>
      <c r="V2271" s="5">
        <v>203.48</v>
      </c>
      <c r="W2271" s="5">
        <v>399200</v>
      </c>
    </row>
    <row r="2272" spans="1:23" x14ac:dyDescent="0.3">
      <c r="A2272" s="6">
        <v>41682</v>
      </c>
      <c r="B2272" s="7">
        <v>0.66666666666666663</v>
      </c>
      <c r="C2272" s="5">
        <v>370</v>
      </c>
      <c r="D2272" s="5">
        <v>382.67</v>
      </c>
      <c r="E2272" s="5">
        <v>370</v>
      </c>
      <c r="F2272" s="5">
        <v>381.73</v>
      </c>
      <c r="G2272" s="5">
        <v>47200</v>
      </c>
      <c r="Q2272" s="6">
        <v>41605</v>
      </c>
      <c r="R2272" s="7">
        <v>0.66666666666666663</v>
      </c>
      <c r="S2272" s="5">
        <v>203.5</v>
      </c>
      <c r="T2272" s="5">
        <v>203.69</v>
      </c>
      <c r="U2272" s="5">
        <v>198.8</v>
      </c>
      <c r="V2272" s="5">
        <v>199.69</v>
      </c>
      <c r="W2272" s="5">
        <v>325700</v>
      </c>
    </row>
    <row r="2273" spans="1:23" x14ac:dyDescent="0.3">
      <c r="A2273" s="6">
        <v>41683</v>
      </c>
      <c r="B2273" s="7">
        <v>0.66666666666666663</v>
      </c>
      <c r="C2273" s="5">
        <v>385.01</v>
      </c>
      <c r="D2273" s="5">
        <v>394</v>
      </c>
      <c r="E2273" s="5">
        <v>367</v>
      </c>
      <c r="F2273" s="5">
        <v>378.66</v>
      </c>
      <c r="G2273" s="5">
        <v>170200</v>
      </c>
      <c r="Q2273" s="6">
        <v>41606</v>
      </c>
      <c r="R2273" s="7">
        <v>0.66666666666666663</v>
      </c>
      <c r="S2273" s="5">
        <v>200.25</v>
      </c>
      <c r="T2273" s="5">
        <v>205.79</v>
      </c>
      <c r="U2273" s="5">
        <v>200.25</v>
      </c>
      <c r="V2273" s="5">
        <v>204.64</v>
      </c>
      <c r="W2273" s="5">
        <v>445300</v>
      </c>
    </row>
    <row r="2274" spans="1:23" x14ac:dyDescent="0.3">
      <c r="A2274" s="6">
        <v>41684</v>
      </c>
      <c r="B2274" s="7">
        <v>0.66666666666666663</v>
      </c>
      <c r="C2274" s="5">
        <v>375.7</v>
      </c>
      <c r="D2274" s="5">
        <v>382</v>
      </c>
      <c r="E2274" s="5">
        <v>372.1</v>
      </c>
      <c r="F2274" s="5">
        <v>376.53</v>
      </c>
      <c r="G2274" s="5">
        <v>19300</v>
      </c>
      <c r="Q2274" s="6">
        <v>41607</v>
      </c>
      <c r="R2274" s="7">
        <v>0.66666666666666663</v>
      </c>
      <c r="S2274" s="5">
        <v>204.5</v>
      </c>
      <c r="T2274" s="5">
        <v>210.75</v>
      </c>
      <c r="U2274" s="5">
        <v>204.5</v>
      </c>
      <c r="V2274" s="5">
        <v>207.16</v>
      </c>
      <c r="W2274" s="5">
        <v>1064900</v>
      </c>
    </row>
    <row r="2275" spans="1:23" x14ac:dyDescent="0.3">
      <c r="A2275" s="6">
        <v>41687</v>
      </c>
      <c r="B2275" s="7">
        <v>0.66666666666666663</v>
      </c>
      <c r="C2275" s="5">
        <v>368</v>
      </c>
      <c r="D2275" s="5">
        <v>370</v>
      </c>
      <c r="E2275" s="5">
        <v>358.5</v>
      </c>
      <c r="F2275" s="5">
        <v>364.07</v>
      </c>
      <c r="G2275" s="5">
        <v>14400</v>
      </c>
      <c r="Q2275" s="6">
        <v>41610</v>
      </c>
      <c r="R2275" s="7">
        <v>0.66666666666666663</v>
      </c>
      <c r="S2275" s="5">
        <v>208</v>
      </c>
      <c r="T2275" s="5">
        <v>209.5</v>
      </c>
      <c r="U2275" s="5">
        <v>206.15</v>
      </c>
      <c r="V2275" s="5">
        <v>207.48</v>
      </c>
      <c r="W2275" s="5">
        <v>377100</v>
      </c>
    </row>
    <row r="2276" spans="1:23" x14ac:dyDescent="0.3">
      <c r="A2276" s="6">
        <v>41688</v>
      </c>
      <c r="B2276" s="7">
        <v>0.66666666666666663</v>
      </c>
      <c r="C2276" s="5">
        <v>366</v>
      </c>
      <c r="D2276" s="5">
        <v>374</v>
      </c>
      <c r="E2276" s="5">
        <v>355.01</v>
      </c>
      <c r="F2276" s="5">
        <v>370.87</v>
      </c>
      <c r="G2276" s="5">
        <v>35000</v>
      </c>
      <c r="Q2276" s="6">
        <v>41611</v>
      </c>
      <c r="R2276" s="7">
        <v>0.66666666666666663</v>
      </c>
      <c r="S2276" s="5">
        <v>208.4</v>
      </c>
      <c r="T2276" s="5">
        <v>217.85</v>
      </c>
      <c r="U2276" s="5">
        <v>208</v>
      </c>
      <c r="V2276" s="5">
        <v>217.74</v>
      </c>
      <c r="W2276" s="5">
        <v>2197500</v>
      </c>
    </row>
    <row r="2277" spans="1:23" x14ac:dyDescent="0.3">
      <c r="A2277" s="6">
        <v>41689</v>
      </c>
      <c r="B2277" s="7">
        <v>0.66666666666666663</v>
      </c>
      <c r="C2277" s="5">
        <v>370</v>
      </c>
      <c r="D2277" s="5">
        <v>370</v>
      </c>
      <c r="E2277" s="5">
        <v>362</v>
      </c>
      <c r="F2277" s="5">
        <v>362.01</v>
      </c>
      <c r="G2277" s="5">
        <v>3600</v>
      </c>
      <c r="Q2277" s="6">
        <v>41612</v>
      </c>
      <c r="R2277" s="7">
        <v>0.66666666666666663</v>
      </c>
      <c r="S2277" s="5">
        <v>218.14</v>
      </c>
      <c r="T2277" s="5">
        <v>220.9</v>
      </c>
      <c r="U2277" s="5">
        <v>212.35</v>
      </c>
      <c r="V2277" s="5">
        <v>212.92</v>
      </c>
      <c r="W2277" s="5">
        <v>1526500</v>
      </c>
    </row>
    <row r="2278" spans="1:23" x14ac:dyDescent="0.3">
      <c r="A2278" s="6">
        <v>41690</v>
      </c>
      <c r="B2278" s="7">
        <v>0.66666666666666663</v>
      </c>
      <c r="C2278" s="5">
        <v>360</v>
      </c>
      <c r="D2278" s="5">
        <v>364</v>
      </c>
      <c r="E2278" s="5">
        <v>355</v>
      </c>
      <c r="F2278" s="5">
        <v>359.78</v>
      </c>
      <c r="G2278" s="5">
        <v>15800</v>
      </c>
      <c r="Q2278" s="6">
        <v>41613</v>
      </c>
      <c r="R2278" s="7">
        <v>0.66666666666666663</v>
      </c>
      <c r="S2278" s="5">
        <v>212.7</v>
      </c>
      <c r="T2278" s="5">
        <v>214.5</v>
      </c>
      <c r="U2278" s="5">
        <v>211.71</v>
      </c>
      <c r="V2278" s="5">
        <v>212.96</v>
      </c>
      <c r="W2278" s="5">
        <v>452000</v>
      </c>
    </row>
    <row r="2279" spans="1:23" x14ac:dyDescent="0.3">
      <c r="A2279" s="6">
        <v>41691</v>
      </c>
      <c r="B2279" s="7">
        <v>0.66666666666666663</v>
      </c>
      <c r="C2279" s="5">
        <v>368</v>
      </c>
      <c r="D2279" s="5">
        <v>368</v>
      </c>
      <c r="E2279" s="5">
        <v>355</v>
      </c>
      <c r="F2279" s="5">
        <v>360</v>
      </c>
      <c r="G2279" s="5">
        <v>1600</v>
      </c>
      <c r="Q2279" s="6">
        <v>41614</v>
      </c>
      <c r="R2279" s="7">
        <v>0.66666666666666663</v>
      </c>
      <c r="S2279" s="5">
        <v>213.8</v>
      </c>
      <c r="T2279" s="5">
        <v>215.8</v>
      </c>
      <c r="U2279" s="5">
        <v>207</v>
      </c>
      <c r="V2279" s="5">
        <v>209.38</v>
      </c>
      <c r="W2279" s="5">
        <v>905700</v>
      </c>
    </row>
    <row r="2280" spans="1:23" x14ac:dyDescent="0.3">
      <c r="A2280" s="6">
        <v>41694</v>
      </c>
      <c r="B2280" s="7">
        <v>0.66666666666666663</v>
      </c>
      <c r="C2280" s="5">
        <v>365</v>
      </c>
      <c r="D2280" s="5">
        <v>375</v>
      </c>
      <c r="E2280" s="5">
        <v>359</v>
      </c>
      <c r="F2280" s="5">
        <v>373.4</v>
      </c>
      <c r="G2280" s="5">
        <v>34900</v>
      </c>
      <c r="Q2280" s="6">
        <v>41617</v>
      </c>
      <c r="R2280" s="7">
        <v>0.66666666666666663</v>
      </c>
      <c r="S2280" s="5">
        <v>211.49</v>
      </c>
      <c r="T2280" s="5">
        <v>212</v>
      </c>
      <c r="U2280" s="5">
        <v>209.4</v>
      </c>
      <c r="V2280" s="5">
        <v>209.85</v>
      </c>
      <c r="W2280" s="5">
        <v>336500</v>
      </c>
    </row>
    <row r="2281" spans="1:23" x14ac:dyDescent="0.3">
      <c r="A2281" s="6">
        <v>41695</v>
      </c>
      <c r="B2281" s="7">
        <v>0.66666666666666663</v>
      </c>
      <c r="C2281" s="5">
        <v>373</v>
      </c>
      <c r="D2281" s="5">
        <v>373</v>
      </c>
      <c r="E2281" s="5">
        <v>363</v>
      </c>
      <c r="F2281" s="5">
        <v>364</v>
      </c>
      <c r="G2281" s="5">
        <v>11700</v>
      </c>
      <c r="Q2281" s="6">
        <v>41618</v>
      </c>
      <c r="R2281" s="7">
        <v>0.66666666666666663</v>
      </c>
      <c r="S2281" s="5">
        <v>210</v>
      </c>
      <c r="T2281" s="5">
        <v>212.99</v>
      </c>
      <c r="U2281" s="5">
        <v>209.5</v>
      </c>
      <c r="V2281" s="5">
        <v>210.12</v>
      </c>
      <c r="W2281" s="5">
        <v>787500</v>
      </c>
    </row>
    <row r="2282" spans="1:23" x14ac:dyDescent="0.3">
      <c r="A2282" s="6">
        <v>41696</v>
      </c>
      <c r="B2282" s="7">
        <v>0.66666666666666663</v>
      </c>
      <c r="C2282" s="5">
        <v>360</v>
      </c>
      <c r="D2282" s="5">
        <v>365</v>
      </c>
      <c r="E2282" s="5">
        <v>360</v>
      </c>
      <c r="F2282" s="5">
        <v>361.43</v>
      </c>
      <c r="G2282" s="5">
        <v>107000</v>
      </c>
      <c r="Q2282" s="6">
        <v>41619</v>
      </c>
      <c r="R2282" s="7">
        <v>0.66666666666666663</v>
      </c>
      <c r="S2282" s="5">
        <v>211</v>
      </c>
      <c r="T2282" s="5">
        <v>212.49</v>
      </c>
      <c r="U2282" s="5">
        <v>210.01</v>
      </c>
      <c r="V2282" s="5">
        <v>210.63</v>
      </c>
      <c r="W2282" s="5">
        <v>301100</v>
      </c>
    </row>
    <row r="2283" spans="1:23" x14ac:dyDescent="0.3">
      <c r="A2283" s="6">
        <v>41697</v>
      </c>
      <c r="B2283" s="7">
        <v>0.66666666666666663</v>
      </c>
      <c r="C2283" s="5">
        <v>364</v>
      </c>
      <c r="D2283" s="5">
        <v>366</v>
      </c>
      <c r="E2283" s="5">
        <v>360</v>
      </c>
      <c r="F2283" s="5">
        <v>360.6</v>
      </c>
      <c r="G2283" s="5">
        <v>19500</v>
      </c>
      <c r="Q2283" s="6">
        <v>41620</v>
      </c>
      <c r="R2283" s="7">
        <v>0.66666666666666663</v>
      </c>
      <c r="S2283" s="5">
        <v>211.11</v>
      </c>
      <c r="T2283" s="5">
        <v>212.4</v>
      </c>
      <c r="U2283" s="5">
        <v>207.5</v>
      </c>
      <c r="V2283" s="5">
        <v>207.85</v>
      </c>
      <c r="W2283" s="5">
        <v>748400</v>
      </c>
    </row>
    <row r="2284" spans="1:23" x14ac:dyDescent="0.3">
      <c r="A2284" s="6">
        <v>41698</v>
      </c>
      <c r="B2284" s="7">
        <v>0.66666666666666663</v>
      </c>
      <c r="C2284" s="5">
        <v>360.05</v>
      </c>
      <c r="D2284" s="5">
        <v>365.5</v>
      </c>
      <c r="E2284" s="5">
        <v>360.05</v>
      </c>
      <c r="F2284" s="5">
        <v>365.33</v>
      </c>
      <c r="G2284" s="5">
        <v>7500</v>
      </c>
      <c r="Q2284" s="6">
        <v>41621</v>
      </c>
      <c r="R2284" s="7">
        <v>0.66666666666666663</v>
      </c>
      <c r="S2284" s="5">
        <v>208</v>
      </c>
      <c r="T2284" s="5">
        <v>211.4</v>
      </c>
      <c r="U2284" s="5">
        <v>207.52</v>
      </c>
      <c r="V2284" s="5">
        <v>209.21</v>
      </c>
      <c r="W2284" s="5">
        <v>725700</v>
      </c>
    </row>
    <row r="2285" spans="1:23" x14ac:dyDescent="0.3">
      <c r="A2285" s="6">
        <v>41701</v>
      </c>
      <c r="B2285" s="7">
        <v>0.66666666666666663</v>
      </c>
      <c r="C2285" s="5">
        <v>366</v>
      </c>
      <c r="D2285" s="5">
        <v>366</v>
      </c>
      <c r="E2285" s="5">
        <v>360</v>
      </c>
      <c r="F2285" s="5">
        <v>360.1</v>
      </c>
      <c r="G2285" s="5">
        <v>11600</v>
      </c>
      <c r="Q2285" s="6">
        <v>41624</v>
      </c>
      <c r="R2285" s="7">
        <v>0.66666666666666663</v>
      </c>
      <c r="S2285" s="5">
        <v>210</v>
      </c>
      <c r="T2285" s="5">
        <v>212.2</v>
      </c>
      <c r="U2285" s="5">
        <v>208.11</v>
      </c>
      <c r="V2285" s="5">
        <v>208.65</v>
      </c>
      <c r="W2285" s="5">
        <v>1061500</v>
      </c>
    </row>
    <row r="2286" spans="1:23" x14ac:dyDescent="0.3">
      <c r="A2286" s="6">
        <v>41702</v>
      </c>
      <c r="B2286" s="7">
        <v>0.66666666666666663</v>
      </c>
      <c r="C2286" s="5">
        <v>360</v>
      </c>
      <c r="D2286" s="5">
        <v>362</v>
      </c>
      <c r="E2286" s="5">
        <v>359.5</v>
      </c>
      <c r="F2286" s="5">
        <v>361.54</v>
      </c>
      <c r="G2286" s="5">
        <v>8200</v>
      </c>
      <c r="Q2286" s="6">
        <v>41625</v>
      </c>
      <c r="R2286" s="7">
        <v>0.66666666666666663</v>
      </c>
      <c r="S2286" s="5">
        <v>208.75</v>
      </c>
      <c r="T2286" s="5">
        <v>211</v>
      </c>
      <c r="U2286" s="5">
        <v>208.16</v>
      </c>
      <c r="V2286" s="5">
        <v>209.24</v>
      </c>
      <c r="W2286" s="5">
        <v>520100</v>
      </c>
    </row>
    <row r="2287" spans="1:23" x14ac:dyDescent="0.3">
      <c r="A2287" s="6">
        <v>41703</v>
      </c>
      <c r="B2287" s="7">
        <v>0.66666666666666663</v>
      </c>
      <c r="C2287" s="5">
        <v>365</v>
      </c>
      <c r="D2287" s="5">
        <v>365</v>
      </c>
      <c r="E2287" s="5">
        <v>356</v>
      </c>
      <c r="F2287" s="5">
        <v>360.17</v>
      </c>
      <c r="G2287" s="5">
        <v>6100</v>
      </c>
      <c r="Q2287" s="6">
        <v>41626</v>
      </c>
      <c r="R2287" s="7">
        <v>0.66666666666666663</v>
      </c>
      <c r="S2287" s="5">
        <v>209.99</v>
      </c>
      <c r="T2287" s="5">
        <v>218.74</v>
      </c>
      <c r="U2287" s="5">
        <v>208.72</v>
      </c>
      <c r="V2287" s="5">
        <v>217.39</v>
      </c>
      <c r="W2287" s="5">
        <v>2965900</v>
      </c>
    </row>
    <row r="2288" spans="1:23" x14ac:dyDescent="0.3">
      <c r="A2288" s="6">
        <v>41704</v>
      </c>
      <c r="B2288" s="7">
        <v>0.66666666666666663</v>
      </c>
      <c r="C2288" s="5">
        <v>360</v>
      </c>
      <c r="D2288" s="5">
        <v>376</v>
      </c>
      <c r="E2288" s="5">
        <v>358.01</v>
      </c>
      <c r="F2288" s="5">
        <v>374.96</v>
      </c>
      <c r="G2288" s="5">
        <v>107100</v>
      </c>
      <c r="Q2288" s="6">
        <v>41627</v>
      </c>
      <c r="R2288" s="7">
        <v>0.66666666666666663</v>
      </c>
      <c r="S2288" s="5">
        <v>217.49</v>
      </c>
      <c r="T2288" s="5">
        <v>218.5</v>
      </c>
      <c r="U2288" s="5">
        <v>210.01</v>
      </c>
      <c r="V2288" s="5">
        <v>211.43</v>
      </c>
      <c r="W2288" s="5">
        <v>1145500</v>
      </c>
    </row>
    <row r="2289" spans="1:23" x14ac:dyDescent="0.3">
      <c r="A2289" s="6">
        <v>41705</v>
      </c>
      <c r="B2289" s="7">
        <v>0.66666666666666663</v>
      </c>
      <c r="C2289" s="5">
        <v>375</v>
      </c>
      <c r="D2289" s="5">
        <v>382</v>
      </c>
      <c r="E2289" s="5">
        <v>374</v>
      </c>
      <c r="F2289" s="5">
        <v>378.61</v>
      </c>
      <c r="G2289" s="5">
        <v>68500</v>
      </c>
      <c r="Q2289" s="6">
        <v>41628</v>
      </c>
      <c r="R2289" s="7">
        <v>0.66666666666666663</v>
      </c>
      <c r="S2289" s="5">
        <v>211.84</v>
      </c>
      <c r="T2289" s="5">
        <v>211.84</v>
      </c>
      <c r="U2289" s="5">
        <v>209.1</v>
      </c>
      <c r="V2289" s="5">
        <v>210.64</v>
      </c>
      <c r="W2289" s="5">
        <v>528200</v>
      </c>
    </row>
    <row r="2290" spans="1:23" x14ac:dyDescent="0.3">
      <c r="A2290" s="6">
        <v>41708</v>
      </c>
      <c r="B2290" s="7">
        <v>0.66666666666666663</v>
      </c>
      <c r="C2290" s="5">
        <v>377</v>
      </c>
      <c r="D2290" s="5">
        <v>393</v>
      </c>
      <c r="E2290" s="5">
        <v>373</v>
      </c>
      <c r="F2290" s="5">
        <v>390.64</v>
      </c>
      <c r="G2290" s="5">
        <v>176500</v>
      </c>
      <c r="Q2290" s="6">
        <v>41631</v>
      </c>
      <c r="R2290" s="7">
        <v>0.66666666666666663</v>
      </c>
      <c r="S2290" s="5">
        <v>210</v>
      </c>
      <c r="T2290" s="5">
        <v>210.98</v>
      </c>
      <c r="U2290" s="5">
        <v>207.49</v>
      </c>
      <c r="V2290" s="5">
        <v>208.12</v>
      </c>
      <c r="W2290" s="5">
        <v>353200</v>
      </c>
    </row>
    <row r="2291" spans="1:23" x14ac:dyDescent="0.3">
      <c r="A2291" s="6">
        <v>41709</v>
      </c>
      <c r="B2291" s="7">
        <v>0.66666666666666663</v>
      </c>
      <c r="C2291" s="5">
        <v>393</v>
      </c>
      <c r="D2291" s="5">
        <v>401</v>
      </c>
      <c r="E2291" s="5">
        <v>390</v>
      </c>
      <c r="F2291" s="5">
        <v>394.46</v>
      </c>
      <c r="G2291" s="5">
        <v>107500</v>
      </c>
      <c r="Q2291" s="6">
        <v>41632</v>
      </c>
      <c r="R2291" s="7">
        <v>0.66666666666666663</v>
      </c>
      <c r="S2291" s="5">
        <v>208.55</v>
      </c>
      <c r="T2291" s="5">
        <v>208.99</v>
      </c>
      <c r="U2291" s="5">
        <v>203.5</v>
      </c>
      <c r="V2291" s="5">
        <v>205.51</v>
      </c>
      <c r="W2291" s="5">
        <v>765300</v>
      </c>
    </row>
    <row r="2292" spans="1:23" x14ac:dyDescent="0.3">
      <c r="A2292" s="6">
        <v>41710</v>
      </c>
      <c r="B2292" s="7">
        <v>0.66666666666666663</v>
      </c>
      <c r="C2292" s="5">
        <v>395</v>
      </c>
      <c r="D2292" s="5">
        <v>414.18</v>
      </c>
      <c r="E2292" s="5">
        <v>395</v>
      </c>
      <c r="F2292" s="5">
        <v>409.85</v>
      </c>
      <c r="G2292" s="5">
        <v>452800</v>
      </c>
      <c r="Q2292" s="6">
        <v>41634</v>
      </c>
      <c r="R2292" s="7">
        <v>0.66666666666666663</v>
      </c>
      <c r="S2292" s="5">
        <v>206</v>
      </c>
      <c r="T2292" s="5">
        <v>207</v>
      </c>
      <c r="U2292" s="5">
        <v>202.85</v>
      </c>
      <c r="V2292" s="5">
        <v>205.69</v>
      </c>
      <c r="W2292" s="5">
        <v>790000</v>
      </c>
    </row>
    <row r="2293" spans="1:23" x14ac:dyDescent="0.3">
      <c r="A2293" s="6">
        <v>41711</v>
      </c>
      <c r="B2293" s="7">
        <v>0.66666666666666663</v>
      </c>
      <c r="C2293" s="5">
        <v>410</v>
      </c>
      <c r="D2293" s="5">
        <v>425</v>
      </c>
      <c r="E2293" s="5">
        <v>410</v>
      </c>
      <c r="F2293" s="5">
        <v>414.68</v>
      </c>
      <c r="G2293" s="5">
        <v>95100</v>
      </c>
      <c r="Q2293" s="6">
        <v>41635</v>
      </c>
      <c r="R2293" s="7">
        <v>0.66666666666666663</v>
      </c>
      <c r="S2293" s="5">
        <v>205.99</v>
      </c>
      <c r="T2293" s="5">
        <v>209.88</v>
      </c>
      <c r="U2293" s="5">
        <v>204.79</v>
      </c>
      <c r="V2293" s="5">
        <v>208.09</v>
      </c>
      <c r="W2293" s="5">
        <v>779700</v>
      </c>
    </row>
    <row r="2294" spans="1:23" x14ac:dyDescent="0.3">
      <c r="A2294" s="6">
        <v>41712</v>
      </c>
      <c r="B2294" s="7">
        <v>0.66666666666666663</v>
      </c>
      <c r="C2294" s="5">
        <v>413</v>
      </c>
      <c r="D2294" s="5">
        <v>422</v>
      </c>
      <c r="E2294" s="5">
        <v>407.05</v>
      </c>
      <c r="F2294" s="5">
        <v>420.39</v>
      </c>
      <c r="G2294" s="5">
        <v>270600</v>
      </c>
      <c r="Q2294" s="6">
        <v>41638</v>
      </c>
      <c r="R2294" s="7">
        <v>0.66666666666666663</v>
      </c>
      <c r="S2294" s="5">
        <v>208.5</v>
      </c>
      <c r="T2294" s="5">
        <v>210.48</v>
      </c>
      <c r="U2294" s="5">
        <v>206</v>
      </c>
      <c r="V2294" s="5">
        <v>207.71</v>
      </c>
      <c r="W2294" s="5">
        <v>440700</v>
      </c>
    </row>
    <row r="2295" spans="1:23" x14ac:dyDescent="0.3">
      <c r="A2295" s="6">
        <v>41715</v>
      </c>
      <c r="B2295" s="7">
        <v>0.66666666666666663</v>
      </c>
      <c r="C2295" s="5">
        <v>422</v>
      </c>
      <c r="D2295" s="5">
        <v>422.97</v>
      </c>
      <c r="E2295" s="5">
        <v>412.5</v>
      </c>
      <c r="F2295" s="5">
        <v>415.14</v>
      </c>
      <c r="G2295" s="5">
        <v>33800</v>
      </c>
      <c r="Q2295" s="6">
        <v>41639</v>
      </c>
      <c r="R2295" s="7">
        <v>0.66666666666666663</v>
      </c>
      <c r="S2295" s="5">
        <v>207.75</v>
      </c>
      <c r="T2295" s="5">
        <v>209.95</v>
      </c>
      <c r="U2295" s="5">
        <v>207.11</v>
      </c>
      <c r="V2295" s="5">
        <v>207.67</v>
      </c>
      <c r="W2295" s="5">
        <v>380300</v>
      </c>
    </row>
    <row r="2296" spans="1:23" x14ac:dyDescent="0.3">
      <c r="A2296" s="6">
        <v>41716</v>
      </c>
      <c r="B2296" s="7">
        <v>0.66666666666666663</v>
      </c>
      <c r="C2296" s="5">
        <v>417.98</v>
      </c>
      <c r="D2296" s="5">
        <v>419</v>
      </c>
      <c r="E2296" s="5">
        <v>412.05</v>
      </c>
      <c r="F2296" s="5">
        <v>412.76</v>
      </c>
      <c r="G2296" s="5">
        <v>12600</v>
      </c>
      <c r="Q2296" s="6">
        <v>41640</v>
      </c>
      <c r="R2296" s="7">
        <v>0.66666666666666663</v>
      </c>
      <c r="S2296" s="5">
        <v>207.77</v>
      </c>
      <c r="T2296" s="5">
        <v>213.6</v>
      </c>
      <c r="U2296" s="5">
        <v>207.77</v>
      </c>
      <c r="V2296" s="5">
        <v>212.4</v>
      </c>
      <c r="W2296" s="5">
        <v>1143300</v>
      </c>
    </row>
    <row r="2297" spans="1:23" x14ac:dyDescent="0.3">
      <c r="A2297" s="6">
        <v>41717</v>
      </c>
      <c r="B2297" s="7">
        <v>0.66666666666666663</v>
      </c>
      <c r="C2297" s="5">
        <v>411.1</v>
      </c>
      <c r="D2297" s="5">
        <v>422</v>
      </c>
      <c r="E2297" s="5">
        <v>411.1</v>
      </c>
      <c r="F2297" s="5">
        <v>419.2</v>
      </c>
      <c r="G2297" s="5">
        <v>68800</v>
      </c>
      <c r="Q2297" s="6">
        <v>41641</v>
      </c>
      <c r="R2297" s="7">
        <v>0.66666666666666663</v>
      </c>
      <c r="S2297" s="5">
        <v>213.39</v>
      </c>
      <c r="T2297" s="5">
        <v>217.7</v>
      </c>
      <c r="U2297" s="5">
        <v>212.5</v>
      </c>
      <c r="V2297" s="5">
        <v>214.21</v>
      </c>
      <c r="W2297" s="5">
        <v>1508400</v>
      </c>
    </row>
    <row r="2298" spans="1:23" x14ac:dyDescent="0.3">
      <c r="A2298" s="6">
        <v>41718</v>
      </c>
      <c r="B2298" s="7">
        <v>0.66666666666666663</v>
      </c>
      <c r="C2298" s="5">
        <v>423.99</v>
      </c>
      <c r="D2298" s="5">
        <v>436</v>
      </c>
      <c r="E2298" s="5">
        <v>417</v>
      </c>
      <c r="F2298" s="5">
        <v>426.74</v>
      </c>
      <c r="G2298" s="5">
        <v>73600</v>
      </c>
      <c r="Q2298" s="6">
        <v>41642</v>
      </c>
      <c r="R2298" s="7">
        <v>0.66666666666666663</v>
      </c>
      <c r="S2298" s="5">
        <v>215</v>
      </c>
      <c r="T2298" s="5">
        <v>215.8</v>
      </c>
      <c r="U2298" s="5">
        <v>213.41</v>
      </c>
      <c r="V2298" s="5">
        <v>213.81</v>
      </c>
      <c r="W2298" s="5">
        <v>365800</v>
      </c>
    </row>
    <row r="2299" spans="1:23" x14ac:dyDescent="0.3">
      <c r="A2299" s="6">
        <v>41719</v>
      </c>
      <c r="B2299" s="7">
        <v>0.66666666666666663</v>
      </c>
      <c r="C2299" s="5">
        <v>423</v>
      </c>
      <c r="D2299" s="5">
        <v>427.78</v>
      </c>
      <c r="E2299" s="5">
        <v>418</v>
      </c>
      <c r="F2299" s="5">
        <v>418.88</v>
      </c>
      <c r="G2299" s="5">
        <v>12500</v>
      </c>
      <c r="Q2299" s="6">
        <v>41645</v>
      </c>
      <c r="R2299" s="7">
        <v>0.66666666666666663</v>
      </c>
      <c r="S2299" s="5">
        <v>214.2</v>
      </c>
      <c r="T2299" s="5">
        <v>216.88</v>
      </c>
      <c r="U2299" s="5">
        <v>214</v>
      </c>
      <c r="V2299" s="5">
        <v>215.42</v>
      </c>
      <c r="W2299" s="5">
        <v>852100</v>
      </c>
    </row>
    <row r="2300" spans="1:23" x14ac:dyDescent="0.3">
      <c r="Q2300" s="6">
        <v>41646</v>
      </c>
      <c r="R2300" s="7">
        <v>0.66666666666666663</v>
      </c>
      <c r="S2300" s="5">
        <v>217</v>
      </c>
      <c r="T2300" s="5">
        <v>220.39</v>
      </c>
      <c r="U2300" s="5">
        <v>215</v>
      </c>
      <c r="V2300" s="5">
        <v>217.11</v>
      </c>
      <c r="W2300" s="5">
        <v>1568200</v>
      </c>
    </row>
    <row r="2301" spans="1:23" x14ac:dyDescent="0.3">
      <c r="Q2301" s="6">
        <v>41647</v>
      </c>
      <c r="R2301" s="7">
        <v>0.66666666666666663</v>
      </c>
      <c r="S2301" s="5">
        <v>217.9</v>
      </c>
      <c r="T2301" s="5">
        <v>222.1</v>
      </c>
      <c r="U2301" s="5">
        <v>216.5</v>
      </c>
      <c r="V2301" s="5">
        <v>219.7</v>
      </c>
      <c r="W2301" s="5">
        <v>1372300</v>
      </c>
    </row>
    <row r="2302" spans="1:23" x14ac:dyDescent="0.3">
      <c r="Q2302" s="6">
        <v>41648</v>
      </c>
      <c r="R2302" s="7">
        <v>0.66666666666666663</v>
      </c>
      <c r="S2302" s="5">
        <v>220.1</v>
      </c>
      <c r="T2302" s="5">
        <v>225.5</v>
      </c>
      <c r="U2302" s="5">
        <v>217.5</v>
      </c>
      <c r="V2302" s="5">
        <v>224.02</v>
      </c>
      <c r="W2302" s="5">
        <v>2058400</v>
      </c>
    </row>
    <row r="2303" spans="1:23" x14ac:dyDescent="0.3">
      <c r="Q2303" s="6">
        <v>41649</v>
      </c>
      <c r="R2303" s="7">
        <v>0.66666666666666663</v>
      </c>
      <c r="S2303" s="5">
        <v>223.99</v>
      </c>
      <c r="T2303" s="5">
        <v>224.74</v>
      </c>
      <c r="U2303" s="5">
        <v>220</v>
      </c>
      <c r="V2303" s="5">
        <v>220.29</v>
      </c>
      <c r="W2303" s="5">
        <v>727900</v>
      </c>
    </row>
    <row r="2304" spans="1:23" x14ac:dyDescent="0.3">
      <c r="Q2304" s="6">
        <v>41652</v>
      </c>
      <c r="R2304" s="7">
        <v>0.66666666666666663</v>
      </c>
      <c r="S2304" s="5">
        <v>220.6</v>
      </c>
      <c r="T2304" s="5">
        <v>223.7</v>
      </c>
      <c r="U2304" s="5">
        <v>220.25</v>
      </c>
      <c r="V2304" s="5">
        <v>221.18</v>
      </c>
      <c r="W2304" s="5">
        <v>525000</v>
      </c>
    </row>
    <row r="2305" spans="17:23" x14ac:dyDescent="0.3">
      <c r="Q2305" s="6">
        <v>41654</v>
      </c>
      <c r="R2305" s="7">
        <v>0.66666666666666663</v>
      </c>
      <c r="S2305" s="5">
        <v>222</v>
      </c>
      <c r="T2305" s="5">
        <v>223.75</v>
      </c>
      <c r="U2305" s="5">
        <v>219.99</v>
      </c>
      <c r="V2305" s="5">
        <v>220.24</v>
      </c>
      <c r="W2305" s="5">
        <v>585100</v>
      </c>
    </row>
    <row r="2306" spans="17:23" x14ac:dyDescent="0.3">
      <c r="Q2306" s="6">
        <v>41655</v>
      </c>
      <c r="R2306" s="7">
        <v>0.66666666666666663</v>
      </c>
      <c r="S2306" s="5">
        <v>220.75</v>
      </c>
      <c r="T2306" s="5">
        <v>221.4</v>
      </c>
      <c r="U2306" s="5">
        <v>216.7</v>
      </c>
      <c r="V2306" s="5">
        <v>218.15</v>
      </c>
      <c r="W2306" s="5">
        <v>457200</v>
      </c>
    </row>
    <row r="2307" spans="17:23" x14ac:dyDescent="0.3">
      <c r="Q2307" s="6">
        <v>41656</v>
      </c>
      <c r="R2307" s="7">
        <v>0.66666666666666663</v>
      </c>
      <c r="S2307" s="5">
        <v>219</v>
      </c>
      <c r="T2307" s="5">
        <v>220.9</v>
      </c>
      <c r="U2307" s="5">
        <v>217.5</v>
      </c>
      <c r="V2307" s="5">
        <v>217.85</v>
      </c>
      <c r="W2307" s="5">
        <v>337700</v>
      </c>
    </row>
    <row r="2308" spans="17:23" x14ac:dyDescent="0.3">
      <c r="Q2308" s="6">
        <v>41659</v>
      </c>
      <c r="R2308" s="7">
        <v>0.66666666666666663</v>
      </c>
      <c r="S2308" s="5">
        <v>219.1</v>
      </c>
      <c r="T2308" s="5">
        <v>222.24</v>
      </c>
      <c r="U2308" s="5">
        <v>214</v>
      </c>
      <c r="V2308" s="5">
        <v>219.98</v>
      </c>
      <c r="W2308" s="5">
        <v>2094600</v>
      </c>
    </row>
    <row r="2309" spans="17:23" x14ac:dyDescent="0.3">
      <c r="Q2309" s="6">
        <v>41660</v>
      </c>
      <c r="R2309" s="7">
        <v>0.66666666666666663</v>
      </c>
      <c r="S2309" s="5">
        <v>221.6</v>
      </c>
      <c r="T2309" s="5">
        <v>224.49</v>
      </c>
      <c r="U2309" s="5">
        <v>216.1</v>
      </c>
      <c r="V2309" s="5">
        <v>221.31</v>
      </c>
      <c r="W2309" s="5">
        <v>2917600</v>
      </c>
    </row>
    <row r="2310" spans="17:23" x14ac:dyDescent="0.3">
      <c r="Q2310" s="6">
        <v>41661</v>
      </c>
      <c r="R2310" s="7">
        <v>0.66666666666666663</v>
      </c>
      <c r="S2310" s="5">
        <v>218</v>
      </c>
      <c r="T2310" s="5">
        <v>222.22</v>
      </c>
      <c r="U2310" s="5">
        <v>216.71</v>
      </c>
      <c r="V2310" s="5">
        <v>221.52</v>
      </c>
      <c r="W2310" s="5">
        <v>3558800</v>
      </c>
    </row>
    <row r="2311" spans="17:23" x14ac:dyDescent="0.3">
      <c r="Q2311" s="6">
        <v>41662</v>
      </c>
      <c r="R2311" s="7">
        <v>0.66666666666666663</v>
      </c>
      <c r="S2311" s="5">
        <v>222</v>
      </c>
      <c r="T2311" s="5">
        <v>230.5</v>
      </c>
      <c r="U2311" s="5">
        <v>221.51</v>
      </c>
      <c r="V2311" s="5">
        <v>224.49</v>
      </c>
      <c r="W2311" s="5">
        <v>3700500</v>
      </c>
    </row>
    <row r="2312" spans="17:23" x14ac:dyDescent="0.3">
      <c r="Q2312" s="6">
        <v>41663</v>
      </c>
      <c r="R2312" s="7">
        <v>0.66666666666666663</v>
      </c>
      <c r="S2312" s="5">
        <v>224</v>
      </c>
      <c r="T2312" s="5">
        <v>224.3</v>
      </c>
      <c r="U2312" s="5">
        <v>218</v>
      </c>
      <c r="V2312" s="5">
        <v>220.08</v>
      </c>
      <c r="W2312" s="5">
        <v>977200</v>
      </c>
    </row>
    <row r="2313" spans="17:23" x14ac:dyDescent="0.3">
      <c r="Q2313" s="6">
        <v>41666</v>
      </c>
      <c r="R2313" s="7">
        <v>0.66666666666666663</v>
      </c>
      <c r="S2313" s="5">
        <v>220</v>
      </c>
      <c r="T2313" s="5">
        <v>220.05</v>
      </c>
      <c r="U2313" s="5">
        <v>212.5</v>
      </c>
      <c r="V2313" s="5">
        <v>215.57</v>
      </c>
      <c r="W2313" s="5">
        <v>1493900</v>
      </c>
    </row>
    <row r="2314" spans="17:23" x14ac:dyDescent="0.3">
      <c r="Q2314" s="6">
        <v>41667</v>
      </c>
      <c r="R2314" s="7">
        <v>0.66666666666666663</v>
      </c>
      <c r="S2314" s="5">
        <v>216.9</v>
      </c>
      <c r="T2314" s="5">
        <v>216.9</v>
      </c>
      <c r="U2314" s="5">
        <v>213.5</v>
      </c>
      <c r="V2314" s="5">
        <v>214.09</v>
      </c>
      <c r="W2314" s="5">
        <v>377100</v>
      </c>
    </row>
    <row r="2315" spans="17:23" x14ac:dyDescent="0.3">
      <c r="Q2315" s="6">
        <v>41668</v>
      </c>
      <c r="R2315" s="7">
        <v>0.66666666666666663</v>
      </c>
      <c r="S2315" s="5">
        <v>214.5</v>
      </c>
      <c r="T2315" s="5">
        <v>216.25</v>
      </c>
      <c r="U2315" s="5">
        <v>212.7</v>
      </c>
      <c r="V2315" s="5">
        <v>213.92</v>
      </c>
      <c r="W2315" s="5">
        <v>1336600</v>
      </c>
    </row>
    <row r="2316" spans="17:23" x14ac:dyDescent="0.3">
      <c r="Q2316" s="6">
        <v>41669</v>
      </c>
      <c r="R2316" s="7">
        <v>0.66666666666666663</v>
      </c>
      <c r="S2316" s="5">
        <v>214</v>
      </c>
      <c r="T2316" s="5">
        <v>218</v>
      </c>
      <c r="U2316" s="5">
        <v>214</v>
      </c>
      <c r="V2316" s="5">
        <v>216.35</v>
      </c>
      <c r="W2316" s="5">
        <v>1372800</v>
      </c>
    </row>
    <row r="2317" spans="17:23" x14ac:dyDescent="0.3">
      <c r="Q2317" s="6">
        <v>41670</v>
      </c>
      <c r="R2317" s="7">
        <v>0.66666666666666663</v>
      </c>
      <c r="S2317" s="5">
        <v>217.1</v>
      </c>
      <c r="T2317" s="5">
        <v>220.25</v>
      </c>
      <c r="U2317" s="5">
        <v>216</v>
      </c>
      <c r="V2317" s="5">
        <v>216.74</v>
      </c>
      <c r="W2317" s="5">
        <v>1751100</v>
      </c>
    </row>
    <row r="2318" spans="17:23" x14ac:dyDescent="0.3">
      <c r="Q2318" s="6">
        <v>41673</v>
      </c>
      <c r="R2318" s="7">
        <v>0.66666666666666663</v>
      </c>
      <c r="S2318" s="5">
        <v>216.75</v>
      </c>
      <c r="T2318" s="5">
        <v>218.19</v>
      </c>
      <c r="U2318" s="5">
        <v>213.5</v>
      </c>
      <c r="V2318" s="5">
        <v>214.29</v>
      </c>
      <c r="W2318" s="5">
        <v>810600</v>
      </c>
    </row>
    <row r="2319" spans="17:23" x14ac:dyDescent="0.3">
      <c r="Q2319" s="6">
        <v>41674</v>
      </c>
      <c r="R2319" s="7">
        <v>0.66666666666666663</v>
      </c>
      <c r="S2319" s="5">
        <v>214.5</v>
      </c>
      <c r="T2319" s="5">
        <v>216</v>
      </c>
      <c r="U2319" s="5">
        <v>212.6</v>
      </c>
      <c r="V2319" s="5">
        <v>214.75</v>
      </c>
      <c r="W2319" s="5">
        <v>325500</v>
      </c>
    </row>
    <row r="2320" spans="17:23" x14ac:dyDescent="0.3">
      <c r="Q2320" s="6">
        <v>41676</v>
      </c>
      <c r="R2320" s="7">
        <v>0.66666666666666663</v>
      </c>
      <c r="S2320" s="5">
        <v>215</v>
      </c>
      <c r="T2320" s="5">
        <v>216.3</v>
      </c>
      <c r="U2320" s="5">
        <v>213.64</v>
      </c>
      <c r="V2320" s="5">
        <v>214.19</v>
      </c>
      <c r="W2320" s="5">
        <v>214200</v>
      </c>
    </row>
    <row r="2321" spans="17:23" x14ac:dyDescent="0.3">
      <c r="Q2321" s="6">
        <v>41677</v>
      </c>
      <c r="R2321" s="7">
        <v>0.66666666666666663</v>
      </c>
      <c r="S2321" s="5">
        <v>214.84</v>
      </c>
      <c r="T2321" s="5">
        <v>214.84</v>
      </c>
      <c r="U2321" s="5">
        <v>210.61</v>
      </c>
      <c r="V2321" s="5">
        <v>213.46</v>
      </c>
      <c r="W2321" s="5">
        <v>232400</v>
      </c>
    </row>
    <row r="2322" spans="17:23" x14ac:dyDescent="0.3">
      <c r="Q2322" s="6">
        <v>41680</v>
      </c>
      <c r="R2322" s="7">
        <v>0.66666666666666663</v>
      </c>
      <c r="S2322" s="5">
        <v>213</v>
      </c>
      <c r="T2322" s="5">
        <v>213.2</v>
      </c>
      <c r="U2322" s="5">
        <v>208.8</v>
      </c>
      <c r="V2322" s="5">
        <v>211.47</v>
      </c>
      <c r="W2322" s="5">
        <v>349800</v>
      </c>
    </row>
    <row r="2323" spans="17:23" x14ac:dyDescent="0.3">
      <c r="Q2323" s="6">
        <v>41681</v>
      </c>
      <c r="R2323" s="7">
        <v>0.66666666666666663</v>
      </c>
      <c r="S2323" s="5">
        <v>212.9</v>
      </c>
      <c r="T2323" s="5">
        <v>212.9</v>
      </c>
      <c r="U2323" s="5">
        <v>210.5</v>
      </c>
      <c r="V2323" s="5">
        <v>211.31</v>
      </c>
      <c r="W2323" s="5">
        <v>209300</v>
      </c>
    </row>
    <row r="2324" spans="17:23" x14ac:dyDescent="0.3">
      <c r="Q2324" s="6">
        <v>41682</v>
      </c>
      <c r="R2324" s="7">
        <v>0.66666666666666663</v>
      </c>
      <c r="S2324" s="5">
        <v>212.4</v>
      </c>
      <c r="T2324" s="5">
        <v>214.9</v>
      </c>
      <c r="U2324" s="5">
        <v>211.6</v>
      </c>
      <c r="V2324" s="5">
        <v>213.73</v>
      </c>
      <c r="W2324" s="5">
        <v>828800</v>
      </c>
    </row>
    <row r="2325" spans="17:23" x14ac:dyDescent="0.3">
      <c r="Q2325" s="6">
        <v>41683</v>
      </c>
      <c r="R2325" s="7">
        <v>0.66666666666666663</v>
      </c>
      <c r="S2325" s="5">
        <v>214</v>
      </c>
      <c r="T2325" s="5">
        <v>214.2</v>
      </c>
      <c r="U2325" s="5">
        <v>210.52</v>
      </c>
      <c r="V2325" s="5">
        <v>211.33</v>
      </c>
      <c r="W2325" s="5">
        <v>319800</v>
      </c>
    </row>
    <row r="2326" spans="17:23" x14ac:dyDescent="0.3">
      <c r="Q2326" s="6">
        <v>41684</v>
      </c>
      <c r="R2326" s="7">
        <v>0.66666666666666663</v>
      </c>
      <c r="S2326" s="5">
        <v>210.75</v>
      </c>
      <c r="T2326" s="5">
        <v>212.99</v>
      </c>
      <c r="U2326" s="5">
        <v>209</v>
      </c>
      <c r="V2326" s="5">
        <v>209.22</v>
      </c>
      <c r="W2326" s="5">
        <v>568000</v>
      </c>
    </row>
    <row r="2327" spans="17:23" x14ac:dyDescent="0.3">
      <c r="Q2327" s="6">
        <v>41687</v>
      </c>
      <c r="R2327" s="7">
        <v>0.66666666666666663</v>
      </c>
      <c r="S2327" s="5">
        <v>208.5</v>
      </c>
      <c r="T2327" s="5">
        <v>209.24</v>
      </c>
      <c r="U2327" s="5">
        <v>205.05</v>
      </c>
      <c r="V2327" s="5">
        <v>206.77</v>
      </c>
      <c r="W2327" s="5">
        <v>504100</v>
      </c>
    </row>
    <row r="2328" spans="17:23" x14ac:dyDescent="0.3">
      <c r="Q2328" s="6">
        <v>41688</v>
      </c>
      <c r="R2328" s="7">
        <v>0.66666666666666663</v>
      </c>
      <c r="S2328" s="5">
        <v>205.25</v>
      </c>
      <c r="T2328" s="5">
        <v>208.48</v>
      </c>
      <c r="U2328" s="5">
        <v>204.11</v>
      </c>
      <c r="V2328" s="5">
        <v>207.15</v>
      </c>
      <c r="W2328" s="5">
        <v>296300</v>
      </c>
    </row>
    <row r="2329" spans="17:23" x14ac:dyDescent="0.3">
      <c r="Q2329" s="6">
        <v>41689</v>
      </c>
      <c r="R2329" s="7">
        <v>0.66666666666666663</v>
      </c>
      <c r="S2329" s="5">
        <v>208</v>
      </c>
      <c r="T2329" s="5">
        <v>209.5</v>
      </c>
      <c r="U2329" s="5">
        <v>205.1</v>
      </c>
      <c r="V2329" s="5">
        <v>206.61</v>
      </c>
      <c r="W2329" s="5">
        <v>208000</v>
      </c>
    </row>
    <row r="2330" spans="17:23" x14ac:dyDescent="0.3">
      <c r="Q2330" s="6">
        <v>41690</v>
      </c>
      <c r="R2330" s="7">
        <v>0.66666666666666663</v>
      </c>
      <c r="S2330" s="5">
        <v>208</v>
      </c>
      <c r="T2330" s="5">
        <v>208.39</v>
      </c>
      <c r="U2330" s="5">
        <v>203.35</v>
      </c>
      <c r="V2330" s="5">
        <v>203.87</v>
      </c>
      <c r="W2330" s="5">
        <v>291100</v>
      </c>
    </row>
    <row r="2331" spans="17:23" x14ac:dyDescent="0.3">
      <c r="Q2331" s="6">
        <v>41691</v>
      </c>
      <c r="R2331" s="7">
        <v>0.66666666666666663</v>
      </c>
      <c r="S2331" s="5">
        <v>203.1</v>
      </c>
      <c r="T2331" s="5">
        <v>206.37</v>
      </c>
      <c r="U2331" s="5">
        <v>201.25</v>
      </c>
      <c r="V2331" s="5">
        <v>204.99</v>
      </c>
      <c r="W2331" s="5">
        <v>221900</v>
      </c>
    </row>
    <row r="2332" spans="17:23" x14ac:dyDescent="0.3">
      <c r="Q2332" s="6">
        <v>41694</v>
      </c>
      <c r="R2332" s="7">
        <v>0.66666666666666663</v>
      </c>
      <c r="S2332" s="5">
        <v>206.89</v>
      </c>
      <c r="T2332" s="5">
        <v>206.89</v>
      </c>
      <c r="U2332" s="5">
        <v>204.51</v>
      </c>
      <c r="V2332" s="5">
        <v>204.87</v>
      </c>
      <c r="W2332" s="5">
        <v>203500</v>
      </c>
    </row>
    <row r="2333" spans="17:23" x14ac:dyDescent="0.3">
      <c r="Q2333" s="6">
        <v>41695</v>
      </c>
      <c r="R2333" s="7">
        <v>0.66666666666666663</v>
      </c>
      <c r="S2333" s="5">
        <v>205.75</v>
      </c>
      <c r="T2333" s="5">
        <v>206.5</v>
      </c>
      <c r="U2333" s="5">
        <v>204</v>
      </c>
      <c r="V2333" s="5">
        <v>204.64</v>
      </c>
      <c r="W2333" s="5">
        <v>146000</v>
      </c>
    </row>
    <row r="2334" spans="17:23" x14ac:dyDescent="0.3">
      <c r="Q2334" s="6">
        <v>41696</v>
      </c>
      <c r="R2334" s="7">
        <v>0.66666666666666663</v>
      </c>
      <c r="S2334" s="5">
        <v>205.12</v>
      </c>
      <c r="T2334" s="5">
        <v>205.6</v>
      </c>
      <c r="U2334" s="5">
        <v>203.05</v>
      </c>
      <c r="V2334" s="5">
        <v>203.78</v>
      </c>
      <c r="W2334" s="5">
        <v>67200</v>
      </c>
    </row>
    <row r="2335" spans="17:23" x14ac:dyDescent="0.3">
      <c r="Q2335" s="6">
        <v>41697</v>
      </c>
      <c r="R2335" s="7">
        <v>0.66666666666666663</v>
      </c>
      <c r="S2335" s="5">
        <v>204.06</v>
      </c>
      <c r="T2335" s="5">
        <v>205.84</v>
      </c>
      <c r="U2335" s="5">
        <v>202.1</v>
      </c>
      <c r="V2335" s="5">
        <v>204.19</v>
      </c>
      <c r="W2335" s="5">
        <v>177000</v>
      </c>
    </row>
    <row r="2336" spans="17:23" x14ac:dyDescent="0.3">
      <c r="Q2336" s="6">
        <v>41698</v>
      </c>
      <c r="R2336" s="7">
        <v>0.66666666666666663</v>
      </c>
      <c r="S2336" s="5">
        <v>205</v>
      </c>
      <c r="T2336" s="5">
        <v>207.89</v>
      </c>
      <c r="U2336" s="5">
        <v>204.5</v>
      </c>
      <c r="V2336" s="5">
        <v>206.43</v>
      </c>
      <c r="W2336" s="5">
        <v>465100</v>
      </c>
    </row>
    <row r="2337" spans="17:23" x14ac:dyDescent="0.3">
      <c r="Q2337" s="6">
        <v>41701</v>
      </c>
      <c r="R2337" s="7">
        <v>0.66666666666666663</v>
      </c>
      <c r="S2337" s="5">
        <v>208.5</v>
      </c>
      <c r="T2337" s="5">
        <v>210.9</v>
      </c>
      <c r="U2337" s="5">
        <v>206.85</v>
      </c>
      <c r="V2337" s="5">
        <v>208.27</v>
      </c>
      <c r="W2337" s="5">
        <v>560000</v>
      </c>
    </row>
    <row r="2338" spans="17:23" x14ac:dyDescent="0.3">
      <c r="Q2338" s="6">
        <v>41702</v>
      </c>
      <c r="R2338" s="7">
        <v>0.66666666666666663</v>
      </c>
      <c r="S2338" s="5">
        <v>208</v>
      </c>
      <c r="T2338" s="5">
        <v>214</v>
      </c>
      <c r="U2338" s="5">
        <v>208</v>
      </c>
      <c r="V2338" s="5">
        <v>212.83</v>
      </c>
      <c r="W2338" s="5">
        <v>656500</v>
      </c>
    </row>
    <row r="2339" spans="17:23" x14ac:dyDescent="0.3">
      <c r="Q2339" s="6">
        <v>41703</v>
      </c>
      <c r="R2339" s="7">
        <v>0.66666666666666663</v>
      </c>
      <c r="S2339" s="5">
        <v>213.25</v>
      </c>
      <c r="T2339" s="5">
        <v>215.78</v>
      </c>
      <c r="U2339" s="5">
        <v>211.11</v>
      </c>
      <c r="V2339" s="5">
        <v>214.39</v>
      </c>
      <c r="W2339" s="5">
        <v>672300</v>
      </c>
    </row>
    <row r="2340" spans="17:23" x14ac:dyDescent="0.3">
      <c r="Q2340" s="6">
        <v>41704</v>
      </c>
      <c r="R2340" s="7">
        <v>0.66666666666666663</v>
      </c>
      <c r="S2340" s="5">
        <v>213.5</v>
      </c>
      <c r="T2340" s="5">
        <v>215</v>
      </c>
      <c r="U2340" s="5">
        <v>211.1</v>
      </c>
      <c r="V2340" s="5">
        <v>212.28</v>
      </c>
      <c r="W2340" s="5">
        <v>510600</v>
      </c>
    </row>
    <row r="2341" spans="17:23" x14ac:dyDescent="0.3">
      <c r="Q2341" s="6">
        <v>41705</v>
      </c>
      <c r="R2341" s="7">
        <v>0.66666666666666663</v>
      </c>
      <c r="S2341" s="5">
        <v>212.9</v>
      </c>
      <c r="T2341" s="5">
        <v>215.99</v>
      </c>
      <c r="U2341" s="5">
        <v>211</v>
      </c>
      <c r="V2341" s="5">
        <v>212.35</v>
      </c>
      <c r="W2341" s="5">
        <v>1024200</v>
      </c>
    </row>
    <row r="2342" spans="17:23" x14ac:dyDescent="0.3">
      <c r="Q2342" s="6">
        <v>41708</v>
      </c>
      <c r="R2342" s="7">
        <v>0.66666666666666663</v>
      </c>
      <c r="S2342" s="5">
        <v>213</v>
      </c>
      <c r="T2342" s="5">
        <v>222.87</v>
      </c>
      <c r="U2342" s="5">
        <v>212.55</v>
      </c>
      <c r="V2342" s="5">
        <v>222.22</v>
      </c>
      <c r="W2342" s="5">
        <v>2819200</v>
      </c>
    </row>
    <row r="2343" spans="17:23" x14ac:dyDescent="0.3">
      <c r="Q2343" s="6">
        <v>41709</v>
      </c>
      <c r="R2343" s="7">
        <v>0.66666666666666663</v>
      </c>
      <c r="S2343" s="5">
        <v>222.21</v>
      </c>
      <c r="T2343" s="5">
        <v>228.97</v>
      </c>
      <c r="U2343" s="5">
        <v>220.2</v>
      </c>
      <c r="V2343" s="5">
        <v>226.7</v>
      </c>
      <c r="W2343" s="5">
        <v>4466500</v>
      </c>
    </row>
    <row r="2344" spans="17:23" x14ac:dyDescent="0.3">
      <c r="Q2344" s="6">
        <v>41710</v>
      </c>
      <c r="R2344" s="7">
        <v>0.66666666666666663</v>
      </c>
      <c r="S2344" s="5">
        <v>227</v>
      </c>
      <c r="T2344" s="5">
        <v>231.18</v>
      </c>
      <c r="U2344" s="5">
        <v>222.61</v>
      </c>
      <c r="V2344" s="5">
        <v>223.92</v>
      </c>
      <c r="W2344" s="5">
        <v>2461200</v>
      </c>
    </row>
    <row r="2345" spans="17:23" x14ac:dyDescent="0.3">
      <c r="Q2345" s="6">
        <v>41711</v>
      </c>
      <c r="R2345" s="7">
        <v>0.66666666666666663</v>
      </c>
      <c r="S2345" s="5">
        <v>224</v>
      </c>
      <c r="T2345" s="5">
        <v>225.6</v>
      </c>
      <c r="U2345" s="5">
        <v>221.5</v>
      </c>
      <c r="V2345" s="5">
        <v>223.52</v>
      </c>
      <c r="W2345" s="5">
        <v>606400</v>
      </c>
    </row>
    <row r="2346" spans="17:23" x14ac:dyDescent="0.3">
      <c r="Q2346" s="6">
        <v>41712</v>
      </c>
      <c r="R2346" s="7">
        <v>0.66666666666666663</v>
      </c>
      <c r="S2346" s="5">
        <v>223</v>
      </c>
      <c r="T2346" s="5">
        <v>227.9</v>
      </c>
      <c r="U2346" s="5">
        <v>222.5</v>
      </c>
      <c r="V2346" s="5">
        <v>223.26</v>
      </c>
      <c r="W2346" s="5">
        <v>925200</v>
      </c>
    </row>
    <row r="2347" spans="17:23" x14ac:dyDescent="0.3">
      <c r="Q2347" s="6">
        <v>41715</v>
      </c>
      <c r="R2347" s="7">
        <v>0.66666666666666663</v>
      </c>
      <c r="S2347" s="5">
        <v>224.49</v>
      </c>
      <c r="T2347" s="5">
        <v>226</v>
      </c>
      <c r="U2347" s="5">
        <v>223</v>
      </c>
      <c r="V2347" s="5">
        <v>224.86</v>
      </c>
      <c r="W2347" s="5">
        <v>404800</v>
      </c>
    </row>
    <row r="2348" spans="17:23" x14ac:dyDescent="0.3">
      <c r="Q2348" s="6">
        <v>41716</v>
      </c>
      <c r="R2348" s="7">
        <v>0.66666666666666663</v>
      </c>
      <c r="S2348" s="5">
        <v>224.48</v>
      </c>
      <c r="T2348" s="5">
        <v>229</v>
      </c>
      <c r="U2348" s="5">
        <v>224.05</v>
      </c>
      <c r="V2348" s="5">
        <v>226.58</v>
      </c>
      <c r="W2348" s="5">
        <v>1981400</v>
      </c>
    </row>
    <row r="2349" spans="17:23" x14ac:dyDescent="0.3">
      <c r="Q2349" s="6">
        <v>41717</v>
      </c>
      <c r="R2349" s="7">
        <v>0.66666666666666663</v>
      </c>
      <c r="S2349" s="5">
        <v>227.99</v>
      </c>
      <c r="T2349" s="5">
        <v>230.5</v>
      </c>
      <c r="U2349" s="5">
        <v>226.01</v>
      </c>
      <c r="V2349" s="5">
        <v>226.72</v>
      </c>
      <c r="W2349" s="5">
        <v>1667500</v>
      </c>
    </row>
    <row r="2350" spans="17:23" x14ac:dyDescent="0.3">
      <c r="Q2350" s="6">
        <v>41718</v>
      </c>
      <c r="R2350" s="7">
        <v>0.66666666666666663</v>
      </c>
      <c r="S2350" s="5">
        <v>227.9</v>
      </c>
      <c r="T2350" s="5">
        <v>228.45</v>
      </c>
      <c r="U2350" s="5">
        <v>221.01</v>
      </c>
      <c r="V2350" s="5">
        <v>221.63</v>
      </c>
      <c r="W2350" s="5">
        <v>1262000</v>
      </c>
    </row>
    <row r="2351" spans="17:23" x14ac:dyDescent="0.3">
      <c r="Q2351" s="6">
        <v>41719</v>
      </c>
      <c r="R2351" s="7">
        <v>0.66666666666666663</v>
      </c>
      <c r="S2351" s="5">
        <v>222.9</v>
      </c>
      <c r="T2351" s="5">
        <v>223.4</v>
      </c>
      <c r="U2351" s="5">
        <v>215.01</v>
      </c>
      <c r="V2351" s="5">
        <v>216.21</v>
      </c>
      <c r="W2351" s="5">
        <v>745700</v>
      </c>
    </row>
  </sheetData>
  <mergeCells count="3">
    <mergeCell ref="A1:G1"/>
    <mergeCell ref="I1:O1"/>
    <mergeCell ref="Q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44DB-000B-4565-8AFF-C5A464780785}">
  <dimension ref="A1:F20"/>
  <sheetViews>
    <sheetView workbookViewId="0">
      <selection activeCell="K1" sqref="K1"/>
    </sheetView>
  </sheetViews>
  <sheetFormatPr defaultRowHeight="14.4" x14ac:dyDescent="0.3"/>
  <sheetData>
    <row r="1" spans="1:6" x14ac:dyDescent="0.3">
      <c r="A1" s="1" t="s">
        <v>23</v>
      </c>
    </row>
    <row r="3" spans="1:6" x14ac:dyDescent="0.3">
      <c r="A3" s="1" t="s">
        <v>10</v>
      </c>
    </row>
    <row r="5" spans="1:6" x14ac:dyDescent="0.3">
      <c r="B5" s="1" t="s">
        <v>16</v>
      </c>
    </row>
    <row r="6" spans="1:6" x14ac:dyDescent="0.3">
      <c r="B6" s="1" t="s">
        <v>17</v>
      </c>
    </row>
    <row r="8" spans="1:6" x14ac:dyDescent="0.3">
      <c r="A8" s="1" t="s">
        <v>11</v>
      </c>
      <c r="F8" s="2" t="s">
        <v>12</v>
      </c>
    </row>
    <row r="10" spans="1:6" x14ac:dyDescent="0.3">
      <c r="C10" s="1" t="s">
        <v>13</v>
      </c>
    </row>
    <row r="11" spans="1:6" x14ac:dyDescent="0.3">
      <c r="C11" t="s">
        <v>19</v>
      </c>
    </row>
    <row r="12" spans="1:6" x14ac:dyDescent="0.3">
      <c r="C12" t="s">
        <v>20</v>
      </c>
    </row>
    <row r="13" spans="1:6" x14ac:dyDescent="0.3">
      <c r="C13" t="s">
        <v>14</v>
      </c>
    </row>
    <row r="15" spans="1:6" x14ac:dyDescent="0.3">
      <c r="C15" s="1" t="s">
        <v>15</v>
      </c>
    </row>
    <row r="16" spans="1:6" x14ac:dyDescent="0.3">
      <c r="C16" s="1" t="s">
        <v>18</v>
      </c>
    </row>
    <row r="17" spans="1:3" x14ac:dyDescent="0.3">
      <c r="C17" s="1" t="s">
        <v>21</v>
      </c>
    </row>
    <row r="18" spans="1:3" x14ac:dyDescent="0.3">
      <c r="C18" s="1" t="s">
        <v>22</v>
      </c>
    </row>
    <row r="20" spans="1:3" x14ac:dyDescent="0.3">
      <c r="A2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 stock optimal portfolio</vt:lpstr>
      <vt:lpstr>2 stock optimal portfolio</vt:lpstr>
      <vt:lpstr>Sample 2010</vt:lpstr>
      <vt:lpstr>3 stocks 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Naeemullah Khan</dc:creator>
  <cp:lastModifiedBy>Abdullah Tufail</cp:lastModifiedBy>
  <dcterms:created xsi:type="dcterms:W3CDTF">2024-10-24T14:42:27Z</dcterms:created>
  <dcterms:modified xsi:type="dcterms:W3CDTF">2025-11-09T02:45:24Z</dcterms:modified>
</cp:coreProperties>
</file>