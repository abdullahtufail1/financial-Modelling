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esktop\Bahria Uni\Financial Modelling\"/>
    </mc:Choice>
  </mc:AlternateContent>
  <xr:revisionPtr revIDLastSave="0" documentId="8_{B55A40F5-1252-4DC8-BCFF-3BBF080AC161}" xr6:coauthVersionLast="47" xr6:coauthVersionMax="47" xr10:uidLastSave="{00000000-0000-0000-0000-000000000000}"/>
  <bookViews>
    <workbookView minimized="1" xWindow="4560" yWindow="4752" windowWidth="17280" windowHeight="8880" xr2:uid="{13FA18F7-5067-4137-B3D9-55FE362C5029}"/>
  </bookViews>
  <sheets>
    <sheet name="Gillete" sheetId="1" r:id="rId1"/>
    <sheet name="Proctor &amp; Gam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3" i="1" l="1"/>
  <c r="F234" i="1"/>
  <c r="F235" i="1"/>
  <c r="F236" i="1"/>
  <c r="I229" i="1"/>
  <c r="I228" i="1"/>
  <c r="I227" i="1"/>
  <c r="I22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3" i="1"/>
  <c r="E3" i="1"/>
</calcChain>
</file>

<file path=xl/sharedStrings.xml><?xml version="1.0" encoding="utf-8"?>
<sst xmlns="http://schemas.openxmlformats.org/spreadsheetml/2006/main" count="16" uniqueCount="14">
  <si>
    <t>Date</t>
  </si>
  <si>
    <t>NYSE</t>
  </si>
  <si>
    <t>Gillette</t>
  </si>
  <si>
    <t xml:space="preserve">P&amp;G </t>
  </si>
  <si>
    <t>RX</t>
  </si>
  <si>
    <t>Ry</t>
  </si>
  <si>
    <t>intercept</t>
  </si>
  <si>
    <t>slope</t>
  </si>
  <si>
    <t>r sq</t>
  </si>
  <si>
    <t>SE</t>
  </si>
  <si>
    <t xml:space="preserve">expected return </t>
  </si>
  <si>
    <t>AR</t>
  </si>
  <si>
    <t>T Test</t>
  </si>
  <si>
    <t>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</si>
</sst>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E0FA-AEAF-43C8-B620-21508527A304}">
  <dimension ref="A1:I236"/>
  <sheetViews>
    <sheetView tabSelected="1" topLeftCell="A224" zoomScale="160" zoomScaleNormal="160" workbookViewId="0">
      <selection activeCell="F232" sqref="F232"/>
    </sheetView>
  </sheetViews>
  <sheetFormatPr defaultRowHeight="14.4" x14ac:dyDescent="0.3"/>
  <cols>
    <col min="1" max="1" width="10.5546875" bestFit="1" customWidth="1"/>
  </cols>
  <sheetData>
    <row r="1" spans="1:5" s="6" customFormat="1" x14ac:dyDescent="0.3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</row>
    <row r="2" spans="1:5" x14ac:dyDescent="0.3">
      <c r="A2" s="1">
        <v>38014</v>
      </c>
      <c r="B2">
        <v>5696.17</v>
      </c>
      <c r="C2">
        <v>713.7</v>
      </c>
    </row>
    <row r="3" spans="1:5" x14ac:dyDescent="0.3">
      <c r="A3" s="1">
        <v>38015</v>
      </c>
      <c r="B3">
        <v>5740.6</v>
      </c>
      <c r="C3">
        <v>712.75</v>
      </c>
      <c r="D3">
        <f>LN(B3/B2)</f>
        <v>7.7697153154356689E-3</v>
      </c>
      <c r="E3">
        <f>LN(C3/C2)</f>
        <v>-1.3319781842403597E-3</v>
      </c>
    </row>
    <row r="4" spans="1:5" x14ac:dyDescent="0.3">
      <c r="A4" s="1">
        <v>38016</v>
      </c>
      <c r="B4">
        <v>5719.34</v>
      </c>
      <c r="C4">
        <v>709.2</v>
      </c>
      <c r="D4">
        <f t="shared" ref="D4:D67" si="0">LN(B4/B3)</f>
        <v>-3.7103203663550687E-3</v>
      </c>
      <c r="E4">
        <f t="shared" ref="E4:E67" si="1">LN(C4/C3)</f>
        <v>-4.9931535927285062E-3</v>
      </c>
    </row>
    <row r="5" spans="1:5" x14ac:dyDescent="0.3">
      <c r="A5" s="1">
        <v>38020</v>
      </c>
      <c r="B5">
        <v>5741.99</v>
      </c>
      <c r="C5">
        <v>647</v>
      </c>
      <c r="D5">
        <f t="shared" si="0"/>
        <v>3.9524260248849502E-3</v>
      </c>
      <c r="E5">
        <f t="shared" si="1"/>
        <v>-9.1791279699152351E-2</v>
      </c>
    </row>
    <row r="6" spans="1:5" x14ac:dyDescent="0.3">
      <c r="A6" s="1">
        <v>38021</v>
      </c>
      <c r="B6">
        <v>5728.75</v>
      </c>
      <c r="C6">
        <v>644.95000000000005</v>
      </c>
      <c r="D6">
        <f t="shared" si="0"/>
        <v>-2.3084833026931718E-3</v>
      </c>
      <c r="E6">
        <f t="shared" si="1"/>
        <v>-3.1735000897553651E-3</v>
      </c>
    </row>
    <row r="7" spans="1:5" x14ac:dyDescent="0.3">
      <c r="A7" s="1">
        <v>38022</v>
      </c>
      <c r="B7">
        <v>5740.55</v>
      </c>
      <c r="C7">
        <v>647.04999999999995</v>
      </c>
      <c r="D7">
        <f t="shared" si="0"/>
        <v>2.0576677152797651E-3</v>
      </c>
      <c r="E7">
        <f t="shared" si="1"/>
        <v>3.250776856533885E-3</v>
      </c>
    </row>
    <row r="8" spans="1:5" x14ac:dyDescent="0.3">
      <c r="A8" s="1">
        <v>38023</v>
      </c>
      <c r="B8">
        <v>5795.55</v>
      </c>
      <c r="C8">
        <v>651.04999999999995</v>
      </c>
      <c r="D8">
        <f t="shared" si="0"/>
        <v>9.535357136285099E-3</v>
      </c>
      <c r="E8">
        <f t="shared" si="1"/>
        <v>6.1628729070581896E-3</v>
      </c>
    </row>
    <row r="9" spans="1:5" x14ac:dyDescent="0.3">
      <c r="A9" s="1">
        <v>38026</v>
      </c>
      <c r="B9">
        <v>5777.7</v>
      </c>
      <c r="C9">
        <v>657.15</v>
      </c>
      <c r="D9">
        <f t="shared" si="0"/>
        <v>-3.0847020766226062E-3</v>
      </c>
      <c r="E9">
        <f t="shared" si="1"/>
        <v>9.3258587532799239E-3</v>
      </c>
    </row>
    <row r="10" spans="1:5" x14ac:dyDescent="0.3">
      <c r="A10" s="1">
        <v>38027</v>
      </c>
      <c r="B10">
        <v>5807.22</v>
      </c>
      <c r="C10">
        <v>664.95</v>
      </c>
      <c r="D10">
        <f t="shared" si="0"/>
        <v>5.0962913669753834E-3</v>
      </c>
      <c r="E10">
        <f t="shared" si="1"/>
        <v>1.1799546931155251E-2</v>
      </c>
    </row>
    <row r="11" spans="1:5" x14ac:dyDescent="0.3">
      <c r="A11" s="1">
        <v>38028</v>
      </c>
      <c r="B11">
        <v>5877.17</v>
      </c>
      <c r="C11">
        <v>657.2</v>
      </c>
      <c r="D11">
        <f t="shared" si="0"/>
        <v>1.1973382551994906E-2</v>
      </c>
      <c r="E11">
        <f t="shared" si="1"/>
        <v>-1.1723463696059259E-2</v>
      </c>
    </row>
    <row r="12" spans="1:5" x14ac:dyDescent="0.3">
      <c r="A12" s="1">
        <v>38029</v>
      </c>
      <c r="B12">
        <v>5846.4</v>
      </c>
      <c r="C12">
        <v>656.35</v>
      </c>
      <c r="D12">
        <f t="shared" si="0"/>
        <v>-5.2492663335587933E-3</v>
      </c>
      <c r="E12">
        <f t="shared" si="1"/>
        <v>-1.2942029136965801E-3</v>
      </c>
    </row>
    <row r="13" spans="1:5" x14ac:dyDescent="0.3">
      <c r="A13" s="1">
        <v>38030</v>
      </c>
      <c r="B13">
        <v>5821.22</v>
      </c>
      <c r="C13">
        <v>672.95</v>
      </c>
      <c r="D13">
        <f t="shared" si="0"/>
        <v>-4.3162254326969511E-3</v>
      </c>
      <c r="E13">
        <f t="shared" si="1"/>
        <v>2.4976849430308284E-2</v>
      </c>
    </row>
    <row r="14" spans="1:5" x14ac:dyDescent="0.3">
      <c r="A14" s="1">
        <v>38034</v>
      </c>
      <c r="B14">
        <v>5870.49</v>
      </c>
      <c r="C14">
        <v>668.1</v>
      </c>
      <c r="D14">
        <f t="shared" si="0"/>
        <v>8.4282438854088489E-3</v>
      </c>
      <c r="E14">
        <f t="shared" si="1"/>
        <v>-7.2331697482931013E-3</v>
      </c>
    </row>
    <row r="15" spans="1:5" x14ac:dyDescent="0.3">
      <c r="A15" s="1">
        <v>38035</v>
      </c>
      <c r="B15">
        <v>5838.37</v>
      </c>
      <c r="C15">
        <v>664.4</v>
      </c>
      <c r="D15">
        <f t="shared" si="0"/>
        <v>-5.4864573614983427E-3</v>
      </c>
      <c r="E15">
        <f t="shared" si="1"/>
        <v>-5.5534851922919102E-3</v>
      </c>
    </row>
    <row r="16" spans="1:5" x14ac:dyDescent="0.3">
      <c r="A16" s="1">
        <v>38036</v>
      </c>
      <c r="B16">
        <v>5826.85</v>
      </c>
      <c r="C16">
        <v>654.35</v>
      </c>
      <c r="D16">
        <f t="shared" si="0"/>
        <v>-1.9751026975896807E-3</v>
      </c>
      <c r="E16">
        <f t="shared" si="1"/>
        <v>-1.5242001237650111E-2</v>
      </c>
    </row>
    <row r="17" spans="1:5" x14ac:dyDescent="0.3">
      <c r="A17" s="1">
        <v>38037</v>
      </c>
      <c r="B17">
        <v>5817.3</v>
      </c>
      <c r="C17">
        <v>650.15</v>
      </c>
      <c r="D17">
        <f t="shared" si="0"/>
        <v>-1.6403090206292272E-3</v>
      </c>
      <c r="E17">
        <f t="shared" si="1"/>
        <v>-6.4392710041608165E-3</v>
      </c>
    </row>
    <row r="18" spans="1:5" x14ac:dyDescent="0.3">
      <c r="A18" s="1">
        <v>38040</v>
      </c>
      <c r="B18">
        <v>5821.63</v>
      </c>
      <c r="C18">
        <v>636.79999999999995</v>
      </c>
      <c r="D18">
        <f t="shared" si="0"/>
        <v>7.440546853986382E-4</v>
      </c>
      <c r="E18">
        <f t="shared" si="1"/>
        <v>-2.0747470967155686E-2</v>
      </c>
    </row>
    <row r="19" spans="1:5" x14ac:dyDescent="0.3">
      <c r="A19" s="1">
        <v>38041</v>
      </c>
      <c r="B19">
        <v>5808.3</v>
      </c>
      <c r="C19">
        <v>627.9</v>
      </c>
      <c r="D19">
        <f t="shared" si="0"/>
        <v>-2.2923621788513522E-3</v>
      </c>
      <c r="E19">
        <f t="shared" si="1"/>
        <v>-1.4074716410109493E-2</v>
      </c>
    </row>
    <row r="20" spans="1:5" x14ac:dyDescent="0.3">
      <c r="A20" s="1">
        <v>38042</v>
      </c>
      <c r="B20">
        <v>5825.35</v>
      </c>
      <c r="C20">
        <v>636.04999999999995</v>
      </c>
      <c r="D20">
        <f t="shared" si="0"/>
        <v>2.9311544025003417E-3</v>
      </c>
      <c r="E20">
        <f t="shared" si="1"/>
        <v>1.289625848215626E-2</v>
      </c>
    </row>
    <row r="21" spans="1:5" x14ac:dyDescent="0.3">
      <c r="A21" s="1">
        <v>38043</v>
      </c>
      <c r="B21">
        <v>5828.92</v>
      </c>
      <c r="C21">
        <v>629.29999999999995</v>
      </c>
      <c r="D21">
        <f t="shared" si="0"/>
        <v>6.1265100459543468E-4</v>
      </c>
      <c r="E21">
        <f t="shared" si="1"/>
        <v>-1.0669086069332076E-2</v>
      </c>
    </row>
    <row r="22" spans="1:5" x14ac:dyDescent="0.3">
      <c r="A22" s="1">
        <v>38044</v>
      </c>
      <c r="B22">
        <v>5824.58</v>
      </c>
      <c r="C22">
        <v>638.5</v>
      </c>
      <c r="D22">
        <f t="shared" si="0"/>
        <v>-7.4484064026225248E-4</v>
      </c>
      <c r="E22">
        <f t="shared" si="1"/>
        <v>1.4513584939706062E-2</v>
      </c>
    </row>
    <row r="23" spans="1:5" x14ac:dyDescent="0.3">
      <c r="A23" s="1">
        <v>38047</v>
      </c>
      <c r="B23">
        <v>5870.33</v>
      </c>
      <c r="C23">
        <v>634.79999999999995</v>
      </c>
      <c r="D23">
        <f t="shared" si="0"/>
        <v>7.8239564698250365E-3</v>
      </c>
      <c r="E23">
        <f t="shared" si="1"/>
        <v>-5.8116868203400918E-3</v>
      </c>
    </row>
    <row r="24" spans="1:5" x14ac:dyDescent="0.3">
      <c r="A24" s="1">
        <v>38049</v>
      </c>
      <c r="B24">
        <v>5860.06</v>
      </c>
      <c r="C24">
        <v>616.70000000000005</v>
      </c>
      <c r="D24">
        <f t="shared" si="0"/>
        <v>-1.75100787339703E-3</v>
      </c>
      <c r="E24">
        <f t="shared" si="1"/>
        <v>-2.8927306654806719E-2</v>
      </c>
    </row>
    <row r="25" spans="1:5" x14ac:dyDescent="0.3">
      <c r="A25" s="1">
        <v>38050</v>
      </c>
      <c r="B25">
        <v>5870.95</v>
      </c>
      <c r="C25">
        <v>612.15</v>
      </c>
      <c r="D25">
        <f t="shared" si="0"/>
        <v>1.8566181647069961E-3</v>
      </c>
      <c r="E25">
        <f t="shared" si="1"/>
        <v>-7.4053314775228175E-3</v>
      </c>
    </row>
    <row r="26" spans="1:5" x14ac:dyDescent="0.3">
      <c r="A26" s="1">
        <v>38051</v>
      </c>
      <c r="B26">
        <v>5888.5</v>
      </c>
      <c r="C26">
        <v>625.79999999999995</v>
      </c>
      <c r="D26">
        <f t="shared" si="0"/>
        <v>2.9848356904051175E-3</v>
      </c>
      <c r="E26">
        <f t="shared" si="1"/>
        <v>2.2053480714857437E-2</v>
      </c>
    </row>
    <row r="27" spans="1:5" x14ac:dyDescent="0.3">
      <c r="A27" s="1">
        <v>38054</v>
      </c>
      <c r="B27">
        <v>5858.37</v>
      </c>
      <c r="C27">
        <v>617.79999999999995</v>
      </c>
      <c r="D27">
        <f t="shared" si="0"/>
        <v>-5.1298883999645727E-3</v>
      </c>
      <c r="E27">
        <f t="shared" si="1"/>
        <v>-1.2866050750300402E-2</v>
      </c>
    </row>
    <row r="28" spans="1:5" x14ac:dyDescent="0.3">
      <c r="A28" s="1">
        <v>38055</v>
      </c>
      <c r="B28">
        <v>5824.28</v>
      </c>
      <c r="C28">
        <v>603.9</v>
      </c>
      <c r="D28">
        <f t="shared" si="0"/>
        <v>-5.8360212376980481E-3</v>
      </c>
      <c r="E28">
        <f t="shared" si="1"/>
        <v>-2.275615917062581E-2</v>
      </c>
    </row>
    <row r="29" spans="1:5" x14ac:dyDescent="0.3">
      <c r="A29" s="1">
        <v>38056</v>
      </c>
      <c r="B29">
        <v>5738.21</v>
      </c>
      <c r="C29">
        <v>603.54999999999995</v>
      </c>
      <c r="D29">
        <f t="shared" si="0"/>
        <v>-1.4888071654514097E-2</v>
      </c>
      <c r="E29">
        <f t="shared" si="1"/>
        <v>-5.7973416671941544E-4</v>
      </c>
    </row>
    <row r="30" spans="1:5" x14ac:dyDescent="0.3">
      <c r="A30" s="1">
        <v>38057</v>
      </c>
      <c r="B30">
        <v>5644.15</v>
      </c>
      <c r="C30">
        <v>594.75</v>
      </c>
      <c r="D30">
        <f t="shared" si="0"/>
        <v>-1.6527704474062758E-2</v>
      </c>
      <c r="E30">
        <f t="shared" si="1"/>
        <v>-1.4687737964068973E-2</v>
      </c>
    </row>
    <row r="31" spans="1:5" x14ac:dyDescent="0.3">
      <c r="A31" s="1">
        <v>38058</v>
      </c>
      <c r="B31">
        <v>5699.12</v>
      </c>
      <c r="C31">
        <v>593.85</v>
      </c>
      <c r="D31">
        <f t="shared" si="0"/>
        <v>9.6921664236257962E-3</v>
      </c>
      <c r="E31">
        <f t="shared" si="1"/>
        <v>-1.51438696281774E-3</v>
      </c>
    </row>
    <row r="32" spans="1:5" x14ac:dyDescent="0.3">
      <c r="A32" s="1">
        <v>38061</v>
      </c>
      <c r="B32">
        <v>5622.01</v>
      </c>
      <c r="C32">
        <v>599.85</v>
      </c>
      <c r="D32">
        <f t="shared" si="0"/>
        <v>-1.3622525747662203E-2</v>
      </c>
      <c r="E32">
        <f t="shared" si="1"/>
        <v>1.005286174068765E-2</v>
      </c>
    </row>
    <row r="33" spans="1:5" x14ac:dyDescent="0.3">
      <c r="A33" s="1">
        <v>38062</v>
      </c>
      <c r="B33">
        <v>5658.9</v>
      </c>
      <c r="C33">
        <v>580.70000000000005</v>
      </c>
      <c r="D33">
        <f t="shared" si="0"/>
        <v>6.5402758284613897E-3</v>
      </c>
      <c r="E33">
        <f t="shared" si="1"/>
        <v>-3.2445351582932859E-2</v>
      </c>
    </row>
    <row r="34" spans="1:5" x14ac:dyDescent="0.3">
      <c r="A34" s="1">
        <v>38063</v>
      </c>
      <c r="B34">
        <v>5710.75</v>
      </c>
      <c r="C34">
        <v>577.15</v>
      </c>
      <c r="D34">
        <f t="shared" si="0"/>
        <v>9.1208365161904361E-3</v>
      </c>
      <c r="E34">
        <f t="shared" si="1"/>
        <v>-6.1320743170830624E-3</v>
      </c>
    </row>
    <row r="35" spans="1:5" x14ac:dyDescent="0.3">
      <c r="A35" s="1">
        <v>38064</v>
      </c>
      <c r="B35">
        <v>5710.7</v>
      </c>
      <c r="C35">
        <v>572.79999999999995</v>
      </c>
      <c r="D35">
        <f t="shared" si="0"/>
        <v>-8.7554557434095704E-6</v>
      </c>
      <c r="E35">
        <f t="shared" si="1"/>
        <v>-7.5655824144854394E-3</v>
      </c>
    </row>
    <row r="36" spans="1:5" x14ac:dyDescent="0.3">
      <c r="A36" s="1">
        <v>38065</v>
      </c>
      <c r="B36">
        <v>5644.17</v>
      </c>
      <c r="C36">
        <v>567.54999999999995</v>
      </c>
      <c r="D36">
        <f t="shared" si="0"/>
        <v>-1.1718454079215818E-2</v>
      </c>
      <c r="E36">
        <f t="shared" si="1"/>
        <v>-9.2077644450874619E-3</v>
      </c>
    </row>
    <row r="37" spans="1:5" x14ac:dyDescent="0.3">
      <c r="A37" s="1">
        <v>38068</v>
      </c>
      <c r="B37">
        <v>5564.88</v>
      </c>
      <c r="C37">
        <v>536.4</v>
      </c>
      <c r="D37">
        <f t="shared" si="0"/>
        <v>-1.4147732866184761E-2</v>
      </c>
      <c r="E37">
        <f t="shared" si="1"/>
        <v>-5.6448699793824858E-2</v>
      </c>
    </row>
    <row r="38" spans="1:5" x14ac:dyDescent="0.3">
      <c r="A38" s="1">
        <v>38069</v>
      </c>
      <c r="B38">
        <v>5563.65</v>
      </c>
      <c r="C38">
        <v>531.29999999999995</v>
      </c>
      <c r="D38">
        <f t="shared" si="0"/>
        <v>-2.2105345539963361E-4</v>
      </c>
      <c r="E38">
        <f t="shared" si="1"/>
        <v>-9.5533179506259447E-3</v>
      </c>
    </row>
    <row r="39" spans="1:5" x14ac:dyDescent="0.3">
      <c r="A39" s="1">
        <v>38070</v>
      </c>
      <c r="B39">
        <v>5539.17</v>
      </c>
      <c r="C39">
        <v>517.45000000000005</v>
      </c>
      <c r="D39">
        <f t="shared" si="0"/>
        <v>-4.4096976567522079E-3</v>
      </c>
      <c r="E39">
        <f t="shared" si="1"/>
        <v>-2.6413931342715337E-2</v>
      </c>
    </row>
    <row r="40" spans="1:5" x14ac:dyDescent="0.3">
      <c r="A40" s="1">
        <v>38071</v>
      </c>
      <c r="B40">
        <v>5610.79</v>
      </c>
      <c r="C40">
        <v>504.35</v>
      </c>
      <c r="D40">
        <f t="shared" si="0"/>
        <v>1.2846859544207865E-2</v>
      </c>
      <c r="E40">
        <f t="shared" si="1"/>
        <v>-2.564243061333767E-2</v>
      </c>
    </row>
    <row r="41" spans="1:5" x14ac:dyDescent="0.3">
      <c r="A41" s="1">
        <v>38072</v>
      </c>
      <c r="B41">
        <v>5610.17</v>
      </c>
      <c r="C41">
        <v>504.1</v>
      </c>
      <c r="D41">
        <f t="shared" si="0"/>
        <v>-1.105074789734059E-4</v>
      </c>
      <c r="E41">
        <f t="shared" si="1"/>
        <v>-4.9581041225926509E-4</v>
      </c>
    </row>
    <row r="42" spans="1:5" x14ac:dyDescent="0.3">
      <c r="A42" s="1">
        <v>38075</v>
      </c>
      <c r="B42">
        <v>5683.21</v>
      </c>
      <c r="C42">
        <v>500.9</v>
      </c>
      <c r="D42">
        <f t="shared" si="0"/>
        <v>1.2935191840402779E-2</v>
      </c>
      <c r="E42">
        <f t="shared" si="1"/>
        <v>-6.3681807250141002E-3</v>
      </c>
    </row>
    <row r="43" spans="1:5" x14ac:dyDescent="0.3">
      <c r="A43" s="1">
        <v>38077</v>
      </c>
      <c r="B43">
        <v>5704.74</v>
      </c>
      <c r="C43">
        <v>516.6</v>
      </c>
      <c r="D43">
        <f t="shared" si="0"/>
        <v>3.7811942714828591E-3</v>
      </c>
      <c r="E43">
        <f t="shared" si="1"/>
        <v>3.0862400298169144E-2</v>
      </c>
    </row>
    <row r="44" spans="1:5" x14ac:dyDescent="0.3">
      <c r="A44" s="1">
        <v>38078</v>
      </c>
      <c r="B44">
        <v>5735.82</v>
      </c>
      <c r="C44">
        <v>538.70000000000005</v>
      </c>
      <c r="D44">
        <f t="shared" si="0"/>
        <v>5.4333138341289547E-3</v>
      </c>
      <c r="E44">
        <f t="shared" si="1"/>
        <v>4.1889949024748081E-2</v>
      </c>
    </row>
    <row r="45" spans="1:5" x14ac:dyDescent="0.3">
      <c r="A45" s="1">
        <v>38079</v>
      </c>
      <c r="B45">
        <v>5763.8</v>
      </c>
      <c r="C45">
        <v>547.85</v>
      </c>
      <c r="D45">
        <f t="shared" si="0"/>
        <v>4.8662573571855291E-3</v>
      </c>
      <c r="E45">
        <f t="shared" si="1"/>
        <v>1.6842697164914117E-2</v>
      </c>
    </row>
    <row r="46" spans="1:5" x14ac:dyDescent="0.3">
      <c r="A46" s="1">
        <v>38082</v>
      </c>
      <c r="B46">
        <v>5808.74</v>
      </c>
      <c r="C46">
        <v>569.85</v>
      </c>
      <c r="D46">
        <f t="shared" si="0"/>
        <v>7.7667004658094549E-3</v>
      </c>
      <c r="E46">
        <f t="shared" si="1"/>
        <v>3.9371641450341867E-2</v>
      </c>
    </row>
    <row r="47" spans="1:5" x14ac:dyDescent="0.3">
      <c r="A47" s="1">
        <v>38083</v>
      </c>
      <c r="B47">
        <v>5802</v>
      </c>
      <c r="C47">
        <v>559</v>
      </c>
      <c r="D47">
        <f t="shared" si="0"/>
        <v>-1.1609941755778366E-3</v>
      </c>
      <c r="E47">
        <f t="shared" si="1"/>
        <v>-1.9223695146645178E-2</v>
      </c>
    </row>
    <row r="48" spans="1:5" x14ac:dyDescent="0.3">
      <c r="A48" s="1">
        <v>38084</v>
      </c>
      <c r="B48">
        <v>5764.28</v>
      </c>
      <c r="C48">
        <v>550.35</v>
      </c>
      <c r="D48">
        <f t="shared" si="0"/>
        <v>-6.5224313649575628E-3</v>
      </c>
      <c r="E48">
        <f t="shared" si="1"/>
        <v>-1.5595033685698423E-2</v>
      </c>
    </row>
    <row r="49" spans="1:5" x14ac:dyDescent="0.3">
      <c r="A49" s="1">
        <v>38085</v>
      </c>
      <c r="B49">
        <v>5754.38</v>
      </c>
      <c r="C49">
        <v>555.75</v>
      </c>
      <c r="D49">
        <f t="shared" si="0"/>
        <v>-1.7189503705641962E-3</v>
      </c>
      <c r="E49">
        <f t="shared" si="1"/>
        <v>9.7641133749051413E-3</v>
      </c>
    </row>
    <row r="50" spans="1:5" x14ac:dyDescent="0.3">
      <c r="A50" s="1">
        <v>38089</v>
      </c>
      <c r="B50">
        <v>5788.58</v>
      </c>
      <c r="C50">
        <v>571</v>
      </c>
      <c r="D50">
        <f t="shared" si="0"/>
        <v>5.925707110629304E-3</v>
      </c>
      <c r="E50">
        <f t="shared" si="1"/>
        <v>2.7070656811704185E-2</v>
      </c>
    </row>
    <row r="51" spans="1:5" x14ac:dyDescent="0.3">
      <c r="A51" s="1">
        <v>38090</v>
      </c>
      <c r="B51">
        <v>5712.29</v>
      </c>
      <c r="C51">
        <v>567.25</v>
      </c>
      <c r="D51">
        <f t="shared" si="0"/>
        <v>-1.3267017017681728E-2</v>
      </c>
      <c r="E51">
        <f t="shared" si="1"/>
        <v>-6.5890859960591134E-3</v>
      </c>
    </row>
    <row r="52" spans="1:5" x14ac:dyDescent="0.3">
      <c r="A52" s="1">
        <v>38092</v>
      </c>
      <c r="B52">
        <v>5735.43</v>
      </c>
      <c r="C52">
        <v>558</v>
      </c>
      <c r="D52">
        <f t="shared" si="0"/>
        <v>4.0427319179813853E-3</v>
      </c>
      <c r="E52">
        <f t="shared" si="1"/>
        <v>-1.6441161278640166E-2</v>
      </c>
    </row>
    <row r="53" spans="1:5" x14ac:dyDescent="0.3">
      <c r="A53" s="1">
        <v>38096</v>
      </c>
      <c r="B53">
        <v>5764.06</v>
      </c>
      <c r="C53">
        <v>581.6</v>
      </c>
      <c r="D53">
        <f t="shared" si="0"/>
        <v>4.9793615463687331E-3</v>
      </c>
      <c r="E53">
        <f t="shared" si="1"/>
        <v>4.1423963837998692E-2</v>
      </c>
    </row>
    <row r="54" spans="1:5" x14ac:dyDescent="0.3">
      <c r="A54" s="1">
        <v>38097</v>
      </c>
      <c r="B54">
        <v>5681.37</v>
      </c>
      <c r="C54">
        <v>576.35</v>
      </c>
      <c r="D54">
        <f t="shared" si="0"/>
        <v>-1.4449686688193818E-2</v>
      </c>
      <c r="E54">
        <f t="shared" si="1"/>
        <v>-9.0678111722880452E-3</v>
      </c>
    </row>
    <row r="55" spans="1:5" x14ac:dyDescent="0.3">
      <c r="A55" s="1">
        <v>38098</v>
      </c>
      <c r="B55">
        <v>5709.47</v>
      </c>
      <c r="C55">
        <v>568.04999999999995</v>
      </c>
      <c r="D55">
        <f t="shared" si="0"/>
        <v>4.9337989124063212E-3</v>
      </c>
      <c r="E55">
        <f t="shared" si="1"/>
        <v>-1.4505672031108193E-2</v>
      </c>
    </row>
    <row r="56" spans="1:5" x14ac:dyDescent="0.3">
      <c r="A56" s="1">
        <v>38099</v>
      </c>
      <c r="B56">
        <v>5770.83</v>
      </c>
      <c r="C56">
        <v>556.45000000000005</v>
      </c>
      <c r="D56">
        <f t="shared" si="0"/>
        <v>1.0689717916751294E-2</v>
      </c>
      <c r="E56">
        <f t="shared" si="1"/>
        <v>-2.0632123596479233E-2</v>
      </c>
    </row>
    <row r="57" spans="1:5" x14ac:dyDescent="0.3">
      <c r="A57" s="1">
        <v>38100</v>
      </c>
      <c r="B57">
        <v>5755.2</v>
      </c>
      <c r="C57">
        <v>564.4</v>
      </c>
      <c r="D57">
        <f t="shared" si="0"/>
        <v>-2.7121237027298174E-3</v>
      </c>
      <c r="E57">
        <f t="shared" si="1"/>
        <v>1.4185900559224798E-2</v>
      </c>
    </row>
    <row r="58" spans="1:5" x14ac:dyDescent="0.3">
      <c r="A58" s="1">
        <v>38104</v>
      </c>
      <c r="B58">
        <v>5758.03</v>
      </c>
      <c r="C58">
        <v>551.6</v>
      </c>
      <c r="D58">
        <f t="shared" si="0"/>
        <v>4.9160835959943599E-4</v>
      </c>
      <c r="E58">
        <f t="shared" si="1"/>
        <v>-2.2940074059512088E-2</v>
      </c>
    </row>
    <row r="59" spans="1:5" x14ac:dyDescent="0.3">
      <c r="A59" s="1">
        <v>38105</v>
      </c>
      <c r="B59">
        <v>5685.17</v>
      </c>
      <c r="C59">
        <v>546</v>
      </c>
      <c r="D59">
        <f t="shared" si="0"/>
        <v>-1.273437230923821E-2</v>
      </c>
      <c r="E59">
        <f t="shared" si="1"/>
        <v>-1.0204170174241736E-2</v>
      </c>
    </row>
    <row r="60" spans="1:5" x14ac:dyDescent="0.3">
      <c r="A60" s="1">
        <v>38106</v>
      </c>
      <c r="B60">
        <v>5656.06</v>
      </c>
      <c r="C60">
        <v>547.04999999999995</v>
      </c>
      <c r="D60">
        <f t="shared" si="0"/>
        <v>-5.1334932679010792E-3</v>
      </c>
      <c r="E60">
        <f t="shared" si="1"/>
        <v>1.9212301778938723E-3</v>
      </c>
    </row>
    <row r="61" spans="1:5" x14ac:dyDescent="0.3">
      <c r="A61" s="1">
        <v>38107</v>
      </c>
      <c r="B61">
        <v>5641.27</v>
      </c>
      <c r="C61">
        <v>578.5</v>
      </c>
      <c r="D61">
        <f t="shared" si="0"/>
        <v>-2.6183192753545612E-3</v>
      </c>
      <c r="E61">
        <f t="shared" si="1"/>
        <v>5.5898340710932505E-2</v>
      </c>
    </row>
    <row r="62" spans="1:5" x14ac:dyDescent="0.3">
      <c r="A62" s="1">
        <v>38110</v>
      </c>
      <c r="B62">
        <v>5695.06</v>
      </c>
      <c r="C62">
        <v>611.45000000000005</v>
      </c>
      <c r="D62">
        <f t="shared" si="0"/>
        <v>9.4899149348255715E-3</v>
      </c>
      <c r="E62">
        <f t="shared" si="1"/>
        <v>5.5394639001647636E-2</v>
      </c>
    </row>
    <row r="63" spans="1:5" x14ac:dyDescent="0.3">
      <c r="A63" s="1">
        <v>38111</v>
      </c>
      <c r="B63">
        <v>5704.47</v>
      </c>
      <c r="C63">
        <v>659.35</v>
      </c>
      <c r="D63">
        <f t="shared" si="0"/>
        <v>1.6509456332570518E-3</v>
      </c>
      <c r="E63">
        <f t="shared" si="1"/>
        <v>7.5421315618329113E-2</v>
      </c>
    </row>
    <row r="64" spans="1:5" x14ac:dyDescent="0.3">
      <c r="A64" s="1">
        <v>38112</v>
      </c>
      <c r="B64">
        <v>5711.06</v>
      </c>
      <c r="C64">
        <v>634.1</v>
      </c>
      <c r="D64">
        <f t="shared" si="0"/>
        <v>1.1545676341009796E-3</v>
      </c>
      <c r="E64">
        <f t="shared" si="1"/>
        <v>-3.9047830547722179E-2</v>
      </c>
    </row>
    <row r="65" spans="1:5" x14ac:dyDescent="0.3">
      <c r="A65" s="1">
        <v>38113</v>
      </c>
      <c r="B65">
        <v>5676.92</v>
      </c>
      <c r="C65">
        <v>637.6</v>
      </c>
      <c r="D65">
        <f t="shared" si="0"/>
        <v>-5.9958135291883156E-3</v>
      </c>
      <c r="E65">
        <f t="shared" si="1"/>
        <v>5.504456770019376E-3</v>
      </c>
    </row>
    <row r="66" spans="1:5" x14ac:dyDescent="0.3">
      <c r="A66" s="1">
        <v>38114</v>
      </c>
      <c r="B66">
        <v>5597.56</v>
      </c>
      <c r="C66">
        <v>621.20000000000005</v>
      </c>
      <c r="D66">
        <f t="shared" si="0"/>
        <v>-1.4078043634985207E-2</v>
      </c>
      <c r="E66">
        <f t="shared" si="1"/>
        <v>-2.6058036201473237E-2</v>
      </c>
    </row>
    <row r="67" spans="1:5" x14ac:dyDescent="0.3">
      <c r="A67" s="1">
        <v>38117</v>
      </c>
      <c r="B67">
        <v>5533.68</v>
      </c>
      <c r="C67">
        <v>636.79999999999995</v>
      </c>
      <c r="D67">
        <f t="shared" si="0"/>
        <v>-1.1477733170007373E-2</v>
      </c>
      <c r="E67">
        <f t="shared" si="1"/>
        <v>2.4802543255641029E-2</v>
      </c>
    </row>
    <row r="68" spans="1:5" x14ac:dyDescent="0.3">
      <c r="A68" s="1">
        <v>38118</v>
      </c>
      <c r="B68">
        <v>5561</v>
      </c>
      <c r="C68">
        <v>618.1</v>
      </c>
      <c r="D68">
        <f t="shared" ref="D68:D131" si="2">LN(B68/B67)</f>
        <v>4.9248928710965102E-3</v>
      </c>
      <c r="E68">
        <f t="shared" ref="E68:E131" si="3">LN(C68/C67)</f>
        <v>-2.9805377864945543E-2</v>
      </c>
    </row>
    <row r="69" spans="1:5" x14ac:dyDescent="0.3">
      <c r="A69" s="1">
        <v>38119</v>
      </c>
      <c r="B69">
        <v>5579.07</v>
      </c>
      <c r="C69">
        <v>611.4</v>
      </c>
      <c r="D69">
        <f t="shared" si="2"/>
        <v>3.2441476306936876E-3</v>
      </c>
      <c r="E69">
        <f t="shared" si="3"/>
        <v>-1.0898847208493555E-2</v>
      </c>
    </row>
    <row r="70" spans="1:5" x14ac:dyDescent="0.3">
      <c r="A70" s="1">
        <v>38120</v>
      </c>
      <c r="B70">
        <v>5567.94</v>
      </c>
      <c r="C70">
        <v>623.04999999999995</v>
      </c>
      <c r="D70">
        <f t="shared" si="2"/>
        <v>-1.9969487241311137E-3</v>
      </c>
      <c r="E70">
        <f t="shared" si="3"/>
        <v>1.8875362932142481E-2</v>
      </c>
    </row>
    <row r="71" spans="1:5" x14ac:dyDescent="0.3">
      <c r="A71" s="1">
        <v>38121</v>
      </c>
      <c r="B71">
        <v>5571.48</v>
      </c>
      <c r="C71">
        <v>580.65</v>
      </c>
      <c r="D71">
        <f t="shared" si="2"/>
        <v>6.3558068897104608E-4</v>
      </c>
      <c r="E71">
        <f t="shared" si="3"/>
        <v>-7.047860669710973E-2</v>
      </c>
    </row>
    <row r="72" spans="1:5" x14ac:dyDescent="0.3">
      <c r="A72" s="1">
        <v>38124</v>
      </c>
      <c r="B72">
        <v>5518.68</v>
      </c>
      <c r="C72">
        <v>545.95000000000005</v>
      </c>
      <c r="D72">
        <f t="shared" si="2"/>
        <v>-9.5220265429804499E-3</v>
      </c>
      <c r="E72">
        <f t="shared" si="3"/>
        <v>-6.1620769231691429E-2</v>
      </c>
    </row>
    <row r="73" spans="1:5" x14ac:dyDescent="0.3">
      <c r="A73" s="1">
        <v>38125</v>
      </c>
      <c r="B73">
        <v>5548.2</v>
      </c>
      <c r="C73">
        <v>565.20000000000005</v>
      </c>
      <c r="D73">
        <f t="shared" si="2"/>
        <v>5.3348495715308799E-3</v>
      </c>
      <c r="E73">
        <f t="shared" si="3"/>
        <v>3.4652254350297097E-2</v>
      </c>
    </row>
    <row r="74" spans="1:5" x14ac:dyDescent="0.3">
      <c r="A74" s="1">
        <v>38126</v>
      </c>
      <c r="B74">
        <v>5532.92</v>
      </c>
      <c r="C74">
        <v>562.29999999999995</v>
      </c>
      <c r="D74">
        <f t="shared" si="2"/>
        <v>-2.7578457203976149E-3</v>
      </c>
      <c r="E74">
        <f t="shared" si="3"/>
        <v>-5.1441355122165584E-3</v>
      </c>
    </row>
    <row r="75" spans="1:5" x14ac:dyDescent="0.3">
      <c r="A75" s="1">
        <v>38127</v>
      </c>
      <c r="B75">
        <v>5536.55</v>
      </c>
      <c r="C75">
        <v>566.70000000000005</v>
      </c>
      <c r="D75">
        <f t="shared" si="2"/>
        <v>6.5585798238221586E-4</v>
      </c>
      <c r="E75">
        <f t="shared" si="3"/>
        <v>7.7945478774178031E-3</v>
      </c>
    </row>
    <row r="76" spans="1:5" x14ac:dyDescent="0.3">
      <c r="A76" s="1">
        <v>38128</v>
      </c>
      <c r="B76">
        <v>5551.13</v>
      </c>
      <c r="C76">
        <v>568.04999999999995</v>
      </c>
      <c r="D76">
        <f t="shared" si="2"/>
        <v>2.6299475460506701E-3</v>
      </c>
      <c r="E76">
        <f t="shared" si="3"/>
        <v>2.3793798403397683E-3</v>
      </c>
    </row>
    <row r="77" spans="1:5" x14ac:dyDescent="0.3">
      <c r="A77" s="1">
        <v>38131</v>
      </c>
      <c r="B77">
        <v>5547.29</v>
      </c>
      <c r="C77">
        <v>604.15</v>
      </c>
      <c r="D77">
        <f t="shared" si="2"/>
        <v>-6.9199041903841082E-4</v>
      </c>
      <c r="E77">
        <f t="shared" si="3"/>
        <v>6.1613068457403754E-2</v>
      </c>
    </row>
    <row r="78" spans="1:5" x14ac:dyDescent="0.3">
      <c r="A78" s="1">
        <v>38132</v>
      </c>
      <c r="B78">
        <v>5629.73</v>
      </c>
      <c r="C78">
        <v>597.79999999999995</v>
      </c>
      <c r="D78">
        <f t="shared" si="2"/>
        <v>1.4751963411874259E-2</v>
      </c>
      <c r="E78">
        <f t="shared" si="3"/>
        <v>-1.0566261623479744E-2</v>
      </c>
    </row>
    <row r="79" spans="1:5" x14ac:dyDescent="0.3">
      <c r="A79" s="1">
        <v>38133</v>
      </c>
      <c r="B79">
        <v>5634.87</v>
      </c>
      <c r="C79">
        <v>595.5</v>
      </c>
      <c r="D79">
        <f t="shared" si="2"/>
        <v>9.1259349763472299E-4</v>
      </c>
      <c r="E79">
        <f t="shared" si="3"/>
        <v>-3.8548610544825823E-3</v>
      </c>
    </row>
    <row r="80" spans="1:5" x14ac:dyDescent="0.3">
      <c r="A80" s="1">
        <v>38134</v>
      </c>
      <c r="B80">
        <v>5671.88</v>
      </c>
      <c r="C80">
        <v>590.45000000000005</v>
      </c>
      <c r="D80">
        <f t="shared" si="2"/>
        <v>6.5465553194735031E-3</v>
      </c>
      <c r="E80">
        <f t="shared" si="3"/>
        <v>-8.5164307480641438E-3</v>
      </c>
    </row>
    <row r="81" spans="1:5" x14ac:dyDescent="0.3">
      <c r="A81" s="1">
        <v>38135</v>
      </c>
      <c r="B81">
        <v>5660.94</v>
      </c>
      <c r="C81">
        <v>568.20000000000005</v>
      </c>
      <c r="D81">
        <f t="shared" si="2"/>
        <v>-1.9306762832635794E-3</v>
      </c>
      <c r="E81">
        <f t="shared" si="3"/>
        <v>-3.8411488627203047E-2</v>
      </c>
    </row>
    <row r="82" spans="1:5" x14ac:dyDescent="0.3">
      <c r="A82" s="1">
        <v>38139</v>
      </c>
      <c r="B82">
        <v>5669.07</v>
      </c>
      <c r="C82">
        <v>562.45000000000005</v>
      </c>
      <c r="D82">
        <f t="shared" si="2"/>
        <v>1.435126958470823E-3</v>
      </c>
      <c r="E82">
        <f t="shared" si="3"/>
        <v>-1.0171228181252694E-2</v>
      </c>
    </row>
    <row r="83" spans="1:5" x14ac:dyDescent="0.3">
      <c r="A83" s="1">
        <v>38140</v>
      </c>
      <c r="B83">
        <v>5695.35</v>
      </c>
      <c r="C83">
        <v>566.4</v>
      </c>
      <c r="D83">
        <f t="shared" si="2"/>
        <v>4.6249693068068521E-3</v>
      </c>
      <c r="E83">
        <f t="shared" si="3"/>
        <v>6.9983011406750699E-3</v>
      </c>
    </row>
    <row r="84" spans="1:5" x14ac:dyDescent="0.3">
      <c r="A84" s="1">
        <v>38141</v>
      </c>
      <c r="B84">
        <v>5659.78</v>
      </c>
      <c r="C84">
        <v>555.29999999999995</v>
      </c>
      <c r="D84">
        <f t="shared" si="2"/>
        <v>-6.2650302277922889E-3</v>
      </c>
      <c r="E84">
        <f t="shared" si="3"/>
        <v>-1.9792034131948581E-2</v>
      </c>
    </row>
    <row r="85" spans="1:5" x14ac:dyDescent="0.3">
      <c r="A85" s="1">
        <v>38142</v>
      </c>
      <c r="B85">
        <v>5683.19</v>
      </c>
      <c r="C85">
        <v>567.1</v>
      </c>
      <c r="D85">
        <f t="shared" si="2"/>
        <v>4.1276726003271445E-3</v>
      </c>
      <c r="E85">
        <f t="shared" si="3"/>
        <v>2.1027146772420853E-2</v>
      </c>
    </row>
    <row r="86" spans="1:5" x14ac:dyDescent="0.3">
      <c r="A86" s="1">
        <v>38145</v>
      </c>
      <c r="B86">
        <v>5759.47</v>
      </c>
      <c r="C86">
        <v>569.29999999999995</v>
      </c>
      <c r="D86">
        <f t="shared" si="2"/>
        <v>1.3332761783334432E-2</v>
      </c>
      <c r="E86">
        <f t="shared" si="3"/>
        <v>3.8718809370537374E-3</v>
      </c>
    </row>
    <row r="87" spans="1:5" x14ac:dyDescent="0.3">
      <c r="A87" s="1">
        <v>38146</v>
      </c>
      <c r="B87">
        <v>5766.65</v>
      </c>
      <c r="C87">
        <v>565</v>
      </c>
      <c r="D87">
        <f t="shared" si="2"/>
        <v>1.2458660726631988E-3</v>
      </c>
      <c r="E87">
        <f t="shared" si="3"/>
        <v>-7.5818048105951268E-3</v>
      </c>
    </row>
    <row r="88" spans="1:5" x14ac:dyDescent="0.3">
      <c r="A88" s="1">
        <v>38147</v>
      </c>
      <c r="B88">
        <v>5719.47</v>
      </c>
      <c r="C88">
        <v>569.79999999999995</v>
      </c>
      <c r="D88">
        <f t="shared" si="2"/>
        <v>-8.2151789019440577E-3</v>
      </c>
      <c r="E88">
        <f t="shared" si="3"/>
        <v>8.459690917366822E-3</v>
      </c>
    </row>
    <row r="89" spans="1:5" x14ac:dyDescent="0.3">
      <c r="A89" s="1">
        <v>38148</v>
      </c>
      <c r="B89">
        <v>5739.67</v>
      </c>
      <c r="C89">
        <v>569.85</v>
      </c>
      <c r="D89">
        <f t="shared" si="2"/>
        <v>3.5255736334964603E-3</v>
      </c>
      <c r="E89">
        <f t="shared" si="3"/>
        <v>8.774623793656716E-5</v>
      </c>
    </row>
    <row r="90" spans="1:5" x14ac:dyDescent="0.3">
      <c r="A90" s="1">
        <v>38152</v>
      </c>
      <c r="B90">
        <v>5691.31</v>
      </c>
      <c r="C90">
        <v>561.95000000000005</v>
      </c>
      <c r="D90">
        <f t="shared" si="2"/>
        <v>-8.4612672788549059E-3</v>
      </c>
      <c r="E90">
        <f t="shared" si="3"/>
        <v>-1.3960290337468149E-2</v>
      </c>
    </row>
    <row r="91" spans="1:5" x14ac:dyDescent="0.3">
      <c r="A91" s="1">
        <v>38153</v>
      </c>
      <c r="B91">
        <v>5711.78</v>
      </c>
      <c r="C91">
        <v>568.85</v>
      </c>
      <c r="D91">
        <f t="shared" si="2"/>
        <v>3.5902587786495153E-3</v>
      </c>
      <c r="E91">
        <f t="shared" si="3"/>
        <v>1.2203901021449335E-2</v>
      </c>
    </row>
    <row r="92" spans="1:5" x14ac:dyDescent="0.3">
      <c r="A92" s="1">
        <v>38154</v>
      </c>
      <c r="B92">
        <v>5723.45</v>
      </c>
      <c r="C92">
        <v>568.9</v>
      </c>
      <c r="D92">
        <f t="shared" si="2"/>
        <v>2.0410615355123361E-3</v>
      </c>
      <c r="E92">
        <f t="shared" si="3"/>
        <v>8.7892770876151153E-5</v>
      </c>
    </row>
    <row r="93" spans="1:5" x14ac:dyDescent="0.3">
      <c r="A93" s="1">
        <v>38155</v>
      </c>
      <c r="B93">
        <v>5721.74</v>
      </c>
      <c r="C93">
        <v>567.04999999999995</v>
      </c>
      <c r="D93">
        <f t="shared" si="2"/>
        <v>-2.9881548715639917E-4</v>
      </c>
      <c r="E93">
        <f t="shared" si="3"/>
        <v>-3.2571884952623171E-3</v>
      </c>
    </row>
    <row r="94" spans="1:5" x14ac:dyDescent="0.3">
      <c r="A94" s="1">
        <v>38156</v>
      </c>
      <c r="B94">
        <v>5736.55</v>
      </c>
      <c r="C94">
        <v>571.04999999999995</v>
      </c>
      <c r="D94">
        <f t="shared" si="2"/>
        <v>2.5850293974347756E-3</v>
      </c>
      <c r="E94">
        <f t="shared" si="3"/>
        <v>7.0292882352766253E-3</v>
      </c>
    </row>
    <row r="95" spans="1:5" x14ac:dyDescent="0.3">
      <c r="A95" s="1">
        <v>38159</v>
      </c>
      <c r="B95">
        <v>5711.81</v>
      </c>
      <c r="C95">
        <v>567.5</v>
      </c>
      <c r="D95">
        <f t="shared" si="2"/>
        <v>-4.3220231564490164E-3</v>
      </c>
      <c r="E95">
        <f t="shared" si="3"/>
        <v>-6.2360221410582197E-3</v>
      </c>
    </row>
    <row r="96" spans="1:5" x14ac:dyDescent="0.3">
      <c r="A96" s="1">
        <v>38160</v>
      </c>
      <c r="B96">
        <v>5717.86</v>
      </c>
      <c r="C96">
        <v>560.45000000000005</v>
      </c>
      <c r="D96">
        <f t="shared" si="2"/>
        <v>1.058648336310145E-3</v>
      </c>
      <c r="E96">
        <f t="shared" si="3"/>
        <v>-1.2500716888453257E-2</v>
      </c>
    </row>
    <row r="97" spans="1:5" x14ac:dyDescent="0.3">
      <c r="A97" s="1">
        <v>38161</v>
      </c>
      <c r="B97">
        <v>5758.44</v>
      </c>
      <c r="C97">
        <v>552.1</v>
      </c>
      <c r="D97">
        <f t="shared" si="2"/>
        <v>7.071995177460628E-3</v>
      </c>
      <c r="E97">
        <f t="shared" si="3"/>
        <v>-1.50108431771055E-2</v>
      </c>
    </row>
    <row r="98" spans="1:5" x14ac:dyDescent="0.3">
      <c r="A98" s="1">
        <v>38162</v>
      </c>
      <c r="B98">
        <v>5743.93</v>
      </c>
      <c r="C98">
        <v>555.35</v>
      </c>
      <c r="D98">
        <f t="shared" si="2"/>
        <v>-2.5229596503568634E-3</v>
      </c>
      <c r="E98">
        <f t="shared" si="3"/>
        <v>5.8693563231300254E-3</v>
      </c>
    </row>
    <row r="99" spans="1:5" x14ac:dyDescent="0.3">
      <c r="A99" s="1">
        <v>38163</v>
      </c>
      <c r="B99">
        <v>5683.6</v>
      </c>
      <c r="C99">
        <v>558.25</v>
      </c>
      <c r="D99">
        <f t="shared" si="2"/>
        <v>-1.0558810260355806E-2</v>
      </c>
      <c r="E99">
        <f t="shared" si="3"/>
        <v>5.2083451071382597E-3</v>
      </c>
    </row>
    <row r="100" spans="1:5" x14ac:dyDescent="0.3">
      <c r="A100" s="1">
        <v>38166</v>
      </c>
      <c r="B100">
        <v>5687.88</v>
      </c>
      <c r="C100">
        <v>566.1</v>
      </c>
      <c r="D100">
        <f t="shared" si="2"/>
        <v>7.5276045019713217E-4</v>
      </c>
      <c r="E100">
        <f t="shared" si="3"/>
        <v>1.3963850322347111E-2</v>
      </c>
    </row>
    <row r="101" spans="1:5" x14ac:dyDescent="0.3">
      <c r="A101" s="1">
        <v>38167</v>
      </c>
      <c r="B101">
        <v>5697.68</v>
      </c>
      <c r="C101">
        <v>564.20000000000005</v>
      </c>
      <c r="D101">
        <f t="shared" si="2"/>
        <v>1.7214792105411801E-3</v>
      </c>
      <c r="E101">
        <f t="shared" si="3"/>
        <v>-3.3619424747182809E-3</v>
      </c>
    </row>
    <row r="102" spans="1:5" x14ac:dyDescent="0.3">
      <c r="A102" s="1">
        <v>38168</v>
      </c>
      <c r="B102">
        <v>5710.69</v>
      </c>
      <c r="C102">
        <v>561.6</v>
      </c>
      <c r="D102">
        <f t="shared" si="2"/>
        <v>2.2807825552293246E-3</v>
      </c>
      <c r="E102">
        <f t="shared" si="3"/>
        <v>-4.6189458562946404E-3</v>
      </c>
    </row>
    <row r="103" spans="1:5" x14ac:dyDescent="0.3">
      <c r="A103" s="1">
        <v>38169</v>
      </c>
      <c r="B103">
        <v>5658.66</v>
      </c>
      <c r="C103">
        <v>570.15</v>
      </c>
      <c r="D103">
        <f t="shared" si="2"/>
        <v>-9.1527419287632111E-3</v>
      </c>
      <c r="E103">
        <f t="shared" si="3"/>
        <v>1.5109631391765915E-2</v>
      </c>
    </row>
    <row r="104" spans="1:5" x14ac:dyDescent="0.3">
      <c r="A104" s="1">
        <v>38170</v>
      </c>
      <c r="B104">
        <v>5645.59</v>
      </c>
      <c r="C104">
        <v>565.04999999999995</v>
      </c>
      <c r="D104">
        <f t="shared" si="2"/>
        <v>-2.3124056569896966E-3</v>
      </c>
      <c r="E104">
        <f t="shared" si="3"/>
        <v>-8.9852612972077164E-3</v>
      </c>
    </row>
    <row r="105" spans="1:5" x14ac:dyDescent="0.3">
      <c r="A105" s="1">
        <v>38174</v>
      </c>
      <c r="B105">
        <v>5616.65</v>
      </c>
      <c r="C105">
        <v>574.65</v>
      </c>
      <c r="D105">
        <f t="shared" si="2"/>
        <v>-5.1393086451900268E-3</v>
      </c>
      <c r="E105">
        <f t="shared" si="3"/>
        <v>1.6846937008607964E-2</v>
      </c>
    </row>
    <row r="106" spans="1:5" x14ac:dyDescent="0.3">
      <c r="A106" s="1">
        <v>38175</v>
      </c>
      <c r="B106">
        <v>5623.44</v>
      </c>
      <c r="C106">
        <v>578.5</v>
      </c>
      <c r="D106">
        <f t="shared" si="2"/>
        <v>1.2081755263418557E-3</v>
      </c>
      <c r="E106">
        <f t="shared" si="3"/>
        <v>6.6773868189636465E-3</v>
      </c>
    </row>
    <row r="107" spans="1:5" x14ac:dyDescent="0.3">
      <c r="A107" s="1">
        <v>38176</v>
      </c>
      <c r="B107">
        <v>5589.25</v>
      </c>
      <c r="C107">
        <v>558.25</v>
      </c>
      <c r="D107">
        <f t="shared" si="2"/>
        <v>-6.0984662849183462E-3</v>
      </c>
      <c r="E107">
        <f t="shared" si="3"/>
        <v>-3.5631655913464053E-2</v>
      </c>
    </row>
    <row r="108" spans="1:5" x14ac:dyDescent="0.3">
      <c r="A108" s="1">
        <v>38177</v>
      </c>
      <c r="B108">
        <v>5604.67</v>
      </c>
      <c r="C108">
        <v>559.9</v>
      </c>
      <c r="D108">
        <f t="shared" si="2"/>
        <v>2.7550687790636129E-3</v>
      </c>
      <c r="E108">
        <f t="shared" si="3"/>
        <v>2.9513056345803197E-3</v>
      </c>
    </row>
    <row r="109" spans="1:5" x14ac:dyDescent="0.3">
      <c r="A109" s="1">
        <v>38180</v>
      </c>
      <c r="B109">
        <v>5619.67</v>
      </c>
      <c r="C109">
        <v>567.85</v>
      </c>
      <c r="D109">
        <f t="shared" si="2"/>
        <v>2.6727645330749047E-3</v>
      </c>
      <c r="E109">
        <f t="shared" si="3"/>
        <v>1.4099102982807726E-2</v>
      </c>
    </row>
    <row r="110" spans="1:5" x14ac:dyDescent="0.3">
      <c r="A110" s="1">
        <v>38181</v>
      </c>
      <c r="B110">
        <v>5632.85</v>
      </c>
      <c r="C110">
        <v>568.1</v>
      </c>
      <c r="D110">
        <f t="shared" si="2"/>
        <v>2.3425874430511536E-3</v>
      </c>
      <c r="E110">
        <f t="shared" si="3"/>
        <v>4.4016022542583928E-4</v>
      </c>
    </row>
    <row r="111" spans="1:5" x14ac:dyDescent="0.3">
      <c r="A111" s="1">
        <v>38182</v>
      </c>
      <c r="B111">
        <v>5624.02</v>
      </c>
      <c r="C111">
        <v>557</v>
      </c>
      <c r="D111">
        <f t="shared" si="2"/>
        <v>-1.5688200736137404E-3</v>
      </c>
      <c r="E111">
        <f t="shared" si="3"/>
        <v>-1.9732219635797223E-2</v>
      </c>
    </row>
    <row r="112" spans="1:5" x14ac:dyDescent="0.3">
      <c r="A112" s="1">
        <v>38183</v>
      </c>
      <c r="B112">
        <v>5587.51</v>
      </c>
      <c r="C112">
        <v>563.20000000000005</v>
      </c>
      <c r="D112">
        <f t="shared" si="2"/>
        <v>-6.5129610425493419E-3</v>
      </c>
      <c r="E112">
        <f t="shared" si="3"/>
        <v>1.1069564916548704E-2</v>
      </c>
    </row>
    <row r="113" spans="1:5" x14ac:dyDescent="0.3">
      <c r="A113" s="1">
        <v>38184</v>
      </c>
      <c r="B113">
        <v>5578.42</v>
      </c>
      <c r="C113">
        <v>569.25</v>
      </c>
      <c r="D113">
        <f t="shared" si="2"/>
        <v>-1.6281674715995698E-3</v>
      </c>
      <c r="E113">
        <f t="shared" si="3"/>
        <v>1.0684900100016353E-2</v>
      </c>
    </row>
    <row r="114" spans="1:5" x14ac:dyDescent="0.3">
      <c r="A114" s="1">
        <v>38187</v>
      </c>
      <c r="B114">
        <v>5571.2</v>
      </c>
      <c r="C114">
        <v>575.85</v>
      </c>
      <c r="D114">
        <f t="shared" si="2"/>
        <v>-1.2951115839255889E-3</v>
      </c>
      <c r="E114">
        <f t="shared" si="3"/>
        <v>1.1527505171067414E-2</v>
      </c>
    </row>
    <row r="115" spans="1:5" x14ac:dyDescent="0.3">
      <c r="A115" s="1">
        <v>38188</v>
      </c>
      <c r="B115">
        <v>5594.86</v>
      </c>
      <c r="C115">
        <v>574.45000000000005</v>
      </c>
      <c r="D115">
        <f t="shared" si="2"/>
        <v>4.2378485177154805E-3</v>
      </c>
      <c r="E115">
        <f t="shared" si="3"/>
        <v>-2.4341488155425134E-3</v>
      </c>
    </row>
    <row r="116" spans="1:5" x14ac:dyDescent="0.3">
      <c r="A116" s="1">
        <v>38189</v>
      </c>
      <c r="B116">
        <v>5524.57</v>
      </c>
      <c r="C116">
        <v>585.20000000000005</v>
      </c>
      <c r="D116">
        <f t="shared" si="2"/>
        <v>-1.2642902788690591E-2</v>
      </c>
      <c r="E116">
        <f t="shared" si="3"/>
        <v>1.8540607846595392E-2</v>
      </c>
    </row>
    <row r="117" spans="1:5" x14ac:dyDescent="0.3">
      <c r="A117" s="1">
        <v>38190</v>
      </c>
      <c r="B117">
        <v>5541.86</v>
      </c>
      <c r="C117">
        <v>599.65</v>
      </c>
      <c r="D117">
        <f t="shared" si="2"/>
        <v>3.1247681625506825E-3</v>
      </c>
      <c r="E117">
        <f t="shared" si="3"/>
        <v>2.4392482531760667E-2</v>
      </c>
    </row>
    <row r="118" spans="1:5" x14ac:dyDescent="0.3">
      <c r="A118" s="1">
        <v>38191</v>
      </c>
      <c r="B118">
        <v>5502.4</v>
      </c>
      <c r="C118">
        <v>598.79999999999995</v>
      </c>
      <c r="D118">
        <f t="shared" si="2"/>
        <v>-7.1458237874437508E-3</v>
      </c>
      <c r="E118">
        <f t="shared" si="3"/>
        <v>-1.4184991322567719E-3</v>
      </c>
    </row>
    <row r="119" spans="1:5" x14ac:dyDescent="0.3">
      <c r="A119" s="1">
        <v>38194</v>
      </c>
      <c r="B119">
        <v>5496.83</v>
      </c>
      <c r="C119">
        <v>604.29999999999995</v>
      </c>
      <c r="D119">
        <f t="shared" si="2"/>
        <v>-1.0127982551730124E-3</v>
      </c>
      <c r="E119">
        <f t="shared" si="3"/>
        <v>9.1431108220395105E-3</v>
      </c>
    </row>
    <row r="120" spans="1:5" x14ac:dyDescent="0.3">
      <c r="A120" s="1">
        <v>38196</v>
      </c>
      <c r="B120">
        <v>5560.16</v>
      </c>
      <c r="C120">
        <v>596.20000000000005</v>
      </c>
      <c r="D120">
        <f t="shared" si="2"/>
        <v>1.1455322386167421E-2</v>
      </c>
      <c r="E120">
        <f t="shared" si="3"/>
        <v>-1.3494582123541656E-2</v>
      </c>
    </row>
    <row r="121" spans="1:5" x14ac:dyDescent="0.3">
      <c r="A121" s="1">
        <v>38197</v>
      </c>
      <c r="B121">
        <v>5570.9</v>
      </c>
      <c r="C121">
        <v>580.75</v>
      </c>
      <c r="D121">
        <f t="shared" si="2"/>
        <v>1.9297359519889574E-3</v>
      </c>
      <c r="E121">
        <f t="shared" si="3"/>
        <v>-2.6255809593452667E-2</v>
      </c>
    </row>
    <row r="122" spans="1:5" x14ac:dyDescent="0.3">
      <c r="A122" s="1">
        <v>38198</v>
      </c>
      <c r="B122">
        <v>5572.1</v>
      </c>
      <c r="C122">
        <v>575.95000000000005</v>
      </c>
      <c r="D122">
        <f t="shared" si="2"/>
        <v>2.1538185491157892E-4</v>
      </c>
      <c r="E122">
        <f t="shared" si="3"/>
        <v>-8.2995202780030679E-3</v>
      </c>
    </row>
    <row r="123" spans="1:5" x14ac:dyDescent="0.3">
      <c r="A123" s="1">
        <v>38201</v>
      </c>
      <c r="B123">
        <v>5594.93</v>
      </c>
      <c r="C123">
        <v>569.1</v>
      </c>
      <c r="D123">
        <f t="shared" si="2"/>
        <v>4.0888278811756183E-3</v>
      </c>
      <c r="E123">
        <f t="shared" si="3"/>
        <v>-1.1964685763437219E-2</v>
      </c>
    </row>
    <row r="124" spans="1:5" x14ac:dyDescent="0.3">
      <c r="A124" s="1">
        <v>38202</v>
      </c>
      <c r="B124">
        <v>5581.13</v>
      </c>
      <c r="C124">
        <v>569.75</v>
      </c>
      <c r="D124">
        <f t="shared" si="2"/>
        <v>-2.4695656633137559E-3</v>
      </c>
      <c r="E124">
        <f t="shared" si="3"/>
        <v>1.1415025167153632E-3</v>
      </c>
    </row>
    <row r="125" spans="1:5" x14ac:dyDescent="0.3">
      <c r="A125" s="1">
        <v>38203</v>
      </c>
      <c r="B125">
        <v>5577.42</v>
      </c>
      <c r="C125">
        <v>563.25</v>
      </c>
      <c r="D125">
        <f t="shared" si="2"/>
        <v>-6.6496097372956673E-4</v>
      </c>
      <c r="E125">
        <f t="shared" si="3"/>
        <v>-1.1474088813439875E-2</v>
      </c>
    </row>
    <row r="126" spans="1:5" x14ac:dyDescent="0.3">
      <c r="A126" s="1">
        <v>38204</v>
      </c>
      <c r="B126">
        <v>5491.75</v>
      </c>
      <c r="C126">
        <v>562.79999999999995</v>
      </c>
      <c r="D126">
        <f t="shared" si="2"/>
        <v>-1.54793377657337E-2</v>
      </c>
      <c r="E126">
        <f t="shared" si="3"/>
        <v>-7.992540721199257E-4</v>
      </c>
    </row>
    <row r="127" spans="1:5" x14ac:dyDescent="0.3">
      <c r="A127" s="1">
        <v>38205</v>
      </c>
      <c r="B127">
        <v>5419.53</v>
      </c>
      <c r="C127">
        <v>561.25</v>
      </c>
      <c r="D127">
        <f t="shared" si="2"/>
        <v>-1.3237870287800154E-2</v>
      </c>
      <c r="E127">
        <f t="shared" si="3"/>
        <v>-2.7578861837698958E-3</v>
      </c>
    </row>
    <row r="128" spans="1:5" x14ac:dyDescent="0.3">
      <c r="A128" s="1">
        <v>38208</v>
      </c>
      <c r="B128">
        <v>5423.13</v>
      </c>
      <c r="C128">
        <v>559.35</v>
      </c>
      <c r="D128">
        <f t="shared" si="2"/>
        <v>6.6404371847617039E-4</v>
      </c>
      <c r="E128">
        <f t="shared" si="3"/>
        <v>-3.3910437635245581E-3</v>
      </c>
    </row>
    <row r="129" spans="1:5" x14ac:dyDescent="0.3">
      <c r="A129" s="1">
        <v>38209</v>
      </c>
      <c r="B129">
        <v>5483.68</v>
      </c>
      <c r="C129">
        <v>555.20000000000005</v>
      </c>
      <c r="D129">
        <f t="shared" si="2"/>
        <v>1.1103268886516388E-2</v>
      </c>
      <c r="E129">
        <f t="shared" si="3"/>
        <v>-7.446986100344743E-3</v>
      </c>
    </row>
    <row r="130" spans="1:5" x14ac:dyDescent="0.3">
      <c r="A130" s="1">
        <v>38210</v>
      </c>
      <c r="B130">
        <v>5492.16</v>
      </c>
      <c r="C130">
        <v>545.4</v>
      </c>
      <c r="D130">
        <f t="shared" si="2"/>
        <v>1.545212336785936E-3</v>
      </c>
      <c r="E130">
        <f t="shared" si="3"/>
        <v>-1.7808938781106769E-2</v>
      </c>
    </row>
    <row r="131" spans="1:5" x14ac:dyDescent="0.3">
      <c r="A131" s="1">
        <v>38212</v>
      </c>
      <c r="B131">
        <v>5438.89</v>
      </c>
      <c r="C131">
        <v>555.45000000000005</v>
      </c>
      <c r="D131">
        <f t="shared" si="2"/>
        <v>-9.7466248357654401E-3</v>
      </c>
      <c r="E131">
        <f t="shared" si="3"/>
        <v>1.8259125616243443E-2</v>
      </c>
    </row>
    <row r="132" spans="1:5" x14ac:dyDescent="0.3">
      <c r="A132" s="1">
        <v>38215</v>
      </c>
      <c r="B132">
        <v>5508.79</v>
      </c>
      <c r="C132">
        <v>559.1</v>
      </c>
      <c r="D132">
        <f t="shared" ref="D132:D195" si="4">LN(B132/B131)</f>
        <v>1.2770002392729154E-2</v>
      </c>
      <c r="E132">
        <f t="shared" ref="E132:E195" si="5">LN(C132/C131)</f>
        <v>6.5497520048681873E-3</v>
      </c>
    </row>
    <row r="133" spans="1:5" x14ac:dyDescent="0.3">
      <c r="A133" s="1">
        <v>38216</v>
      </c>
      <c r="B133">
        <v>5515.38</v>
      </c>
      <c r="C133">
        <v>556.29999999999995</v>
      </c>
      <c r="D133">
        <f t="shared" si="4"/>
        <v>1.1955550005039912E-3</v>
      </c>
      <c r="E133">
        <f t="shared" si="5"/>
        <v>-5.0206309513522139E-3</v>
      </c>
    </row>
    <row r="134" spans="1:5" x14ac:dyDescent="0.3">
      <c r="A134" s="1">
        <v>38217</v>
      </c>
      <c r="B134">
        <v>5577.62</v>
      </c>
      <c r="C134">
        <v>556.04999999999995</v>
      </c>
      <c r="D134">
        <f t="shared" si="4"/>
        <v>1.1221608785189718E-2</v>
      </c>
      <c r="E134">
        <f t="shared" si="5"/>
        <v>-4.4949881639661627E-4</v>
      </c>
    </row>
    <row r="135" spans="1:5" x14ac:dyDescent="0.3">
      <c r="A135" s="1">
        <v>38218</v>
      </c>
      <c r="B135">
        <v>5561.91</v>
      </c>
      <c r="C135">
        <v>552.95000000000005</v>
      </c>
      <c r="D135">
        <f t="shared" si="4"/>
        <v>-2.8205876577118423E-3</v>
      </c>
      <c r="E135">
        <f t="shared" si="5"/>
        <v>-5.590636743481793E-3</v>
      </c>
    </row>
    <row r="136" spans="1:5" x14ac:dyDescent="0.3">
      <c r="A136" s="1">
        <v>38219</v>
      </c>
      <c r="B136">
        <v>5598.4</v>
      </c>
      <c r="C136">
        <v>552.95000000000005</v>
      </c>
      <c r="D136">
        <f t="shared" si="4"/>
        <v>6.5392681802043332E-3</v>
      </c>
      <c r="E136">
        <f t="shared" si="5"/>
        <v>0</v>
      </c>
    </row>
    <row r="137" spans="1:5" x14ac:dyDescent="0.3">
      <c r="A137" s="1">
        <v>38222</v>
      </c>
      <c r="B137">
        <v>5580.59</v>
      </c>
      <c r="C137">
        <v>551.35</v>
      </c>
      <c r="D137">
        <f t="shared" si="4"/>
        <v>-3.1863370605682748E-3</v>
      </c>
      <c r="E137">
        <f t="shared" si="5"/>
        <v>-2.8977653166814888E-3</v>
      </c>
    </row>
    <row r="138" spans="1:5" x14ac:dyDescent="0.3">
      <c r="A138" s="1">
        <v>38223</v>
      </c>
      <c r="B138">
        <v>5586.28</v>
      </c>
      <c r="C138">
        <v>545.54999999999995</v>
      </c>
      <c r="D138">
        <f t="shared" si="4"/>
        <v>1.019086009318449E-3</v>
      </c>
      <c r="E138">
        <f t="shared" si="5"/>
        <v>-1.0575356103579934E-2</v>
      </c>
    </row>
    <row r="139" spans="1:5" x14ac:dyDescent="0.3">
      <c r="A139" s="1">
        <v>38224</v>
      </c>
      <c r="B139">
        <v>5624.81</v>
      </c>
      <c r="C139">
        <v>557.1</v>
      </c>
      <c r="D139">
        <f t="shared" si="4"/>
        <v>6.8735781621874267E-3</v>
      </c>
      <c r="E139">
        <f t="shared" si="5"/>
        <v>2.0950296925662273E-2</v>
      </c>
    </row>
    <row r="140" spans="1:5" x14ac:dyDescent="0.3">
      <c r="A140" s="1">
        <v>38225</v>
      </c>
      <c r="B140">
        <v>5629.87</v>
      </c>
      <c r="C140">
        <v>559.6</v>
      </c>
      <c r="D140">
        <f t="shared" si="4"/>
        <v>8.9918155663749617E-4</v>
      </c>
      <c r="E140">
        <f t="shared" si="5"/>
        <v>4.4774857645563633E-3</v>
      </c>
    </row>
    <row r="141" spans="1:5" x14ac:dyDescent="0.3">
      <c r="A141" s="1">
        <v>38226</v>
      </c>
      <c r="B141">
        <v>5645.78</v>
      </c>
      <c r="C141">
        <v>592.79999999999995</v>
      </c>
      <c r="D141">
        <f t="shared" si="4"/>
        <v>2.8220121338648559E-3</v>
      </c>
      <c r="E141">
        <f t="shared" si="5"/>
        <v>5.7634831190550843E-2</v>
      </c>
    </row>
    <row r="142" spans="1:5" x14ac:dyDescent="0.3">
      <c r="A142" s="1">
        <v>38229</v>
      </c>
      <c r="B142">
        <v>5606.14</v>
      </c>
      <c r="C142">
        <v>588.5</v>
      </c>
      <c r="D142">
        <f t="shared" si="4"/>
        <v>-7.0459377590022312E-3</v>
      </c>
      <c r="E142">
        <f t="shared" si="5"/>
        <v>-7.2801472815456391E-3</v>
      </c>
    </row>
    <row r="143" spans="1:5" x14ac:dyDescent="0.3">
      <c r="A143" s="1">
        <v>38230</v>
      </c>
      <c r="B143">
        <v>5640.42</v>
      </c>
      <c r="C143">
        <v>580.95000000000005</v>
      </c>
      <c r="D143">
        <f t="shared" si="4"/>
        <v>6.0961051487392875E-3</v>
      </c>
      <c r="E143">
        <f t="shared" si="5"/>
        <v>-1.2912232071460399E-2</v>
      </c>
    </row>
    <row r="144" spans="1:5" x14ac:dyDescent="0.3">
      <c r="A144" s="1">
        <v>38231</v>
      </c>
      <c r="B144">
        <v>5636.71</v>
      </c>
      <c r="C144">
        <v>590.45000000000005</v>
      </c>
      <c r="D144">
        <f t="shared" si="4"/>
        <v>-6.579688509124877E-4</v>
      </c>
      <c r="E144">
        <f t="shared" si="5"/>
        <v>1.6220263418419815E-2</v>
      </c>
    </row>
    <row r="145" spans="1:5" x14ac:dyDescent="0.3">
      <c r="A145" s="1">
        <v>38232</v>
      </c>
      <c r="B145">
        <v>5695.8</v>
      </c>
      <c r="C145">
        <v>592.04999999999995</v>
      </c>
      <c r="D145">
        <f t="shared" si="4"/>
        <v>1.0428499162119499E-2</v>
      </c>
      <c r="E145">
        <f t="shared" si="5"/>
        <v>2.7061327296750938E-3</v>
      </c>
    </row>
    <row r="146" spans="1:5" x14ac:dyDescent="0.3">
      <c r="A146" s="1">
        <v>38233</v>
      </c>
      <c r="B146">
        <v>5688.76</v>
      </c>
      <c r="C146">
        <v>582.6</v>
      </c>
      <c r="D146">
        <f t="shared" si="4"/>
        <v>-1.2367629310846991E-3</v>
      </c>
      <c r="E146">
        <f t="shared" si="5"/>
        <v>-1.6090246251631482E-2</v>
      </c>
    </row>
    <row r="147" spans="1:5" x14ac:dyDescent="0.3">
      <c r="A147" s="1">
        <v>38237</v>
      </c>
      <c r="B147">
        <v>5727.44</v>
      </c>
      <c r="C147">
        <v>580.29999999999995</v>
      </c>
      <c r="D147">
        <f t="shared" si="4"/>
        <v>6.776361313285204E-3</v>
      </c>
      <c r="E147">
        <f t="shared" si="5"/>
        <v>-3.9556333287717096E-3</v>
      </c>
    </row>
    <row r="148" spans="1:5" x14ac:dyDescent="0.3">
      <c r="A148" s="1">
        <v>38238</v>
      </c>
      <c r="B148">
        <v>5706.51</v>
      </c>
      <c r="C148">
        <v>582.20000000000005</v>
      </c>
      <c r="D148">
        <f t="shared" si="4"/>
        <v>-3.6610311182608754E-3</v>
      </c>
      <c r="E148">
        <f t="shared" si="5"/>
        <v>3.2688201149604712E-3</v>
      </c>
    </row>
    <row r="149" spans="1:5" x14ac:dyDescent="0.3">
      <c r="A149" s="1">
        <v>38239</v>
      </c>
      <c r="B149">
        <v>5708.69</v>
      </c>
      <c r="C149">
        <v>580.04999999999995</v>
      </c>
      <c r="D149">
        <f t="shared" si="4"/>
        <v>3.8194688249026113E-4</v>
      </c>
      <c r="E149">
        <f t="shared" si="5"/>
        <v>-3.699724590107218E-3</v>
      </c>
    </row>
    <row r="150" spans="1:5" x14ac:dyDescent="0.3">
      <c r="A150" s="1">
        <v>38243</v>
      </c>
      <c r="B150">
        <v>5725.17</v>
      </c>
      <c r="C150">
        <v>605.45000000000005</v>
      </c>
      <c r="D150">
        <f t="shared" si="4"/>
        <v>2.8826680424790842E-3</v>
      </c>
      <c r="E150">
        <f t="shared" si="5"/>
        <v>4.2857676478959709E-2</v>
      </c>
    </row>
    <row r="151" spans="1:5" x14ac:dyDescent="0.3">
      <c r="A151" s="1">
        <v>38244</v>
      </c>
      <c r="B151">
        <v>5738.29</v>
      </c>
      <c r="C151">
        <v>608.45000000000005</v>
      </c>
      <c r="D151">
        <f t="shared" si="4"/>
        <v>2.2890132174070233E-3</v>
      </c>
      <c r="E151">
        <f t="shared" si="5"/>
        <v>4.9427565824337223E-3</v>
      </c>
    </row>
    <row r="152" spans="1:5" x14ac:dyDescent="0.3">
      <c r="A152" s="1">
        <v>38245</v>
      </c>
      <c r="B152">
        <v>5698.06</v>
      </c>
      <c r="C152">
        <v>605.15</v>
      </c>
      <c r="D152">
        <f t="shared" si="4"/>
        <v>-7.0354905091803872E-3</v>
      </c>
      <c r="E152">
        <f t="shared" si="5"/>
        <v>-5.4383785981964028E-3</v>
      </c>
    </row>
    <row r="153" spans="1:5" x14ac:dyDescent="0.3">
      <c r="A153" s="1">
        <v>38246</v>
      </c>
      <c r="B153">
        <v>5711.95</v>
      </c>
      <c r="C153">
        <v>612.75</v>
      </c>
      <c r="D153">
        <f t="shared" si="4"/>
        <v>2.4347054667641687E-3</v>
      </c>
      <c r="E153">
        <f t="shared" si="5"/>
        <v>1.2480661223609224E-2</v>
      </c>
    </row>
    <row r="154" spans="1:5" x14ac:dyDescent="0.3">
      <c r="A154" s="1">
        <v>38247</v>
      </c>
      <c r="B154">
        <v>5739.75</v>
      </c>
      <c r="C154">
        <v>608.85</v>
      </c>
      <c r="D154">
        <f t="shared" si="4"/>
        <v>4.8551838784326572E-3</v>
      </c>
      <c r="E154">
        <f t="shared" si="5"/>
        <v>-6.3850904552055316E-3</v>
      </c>
    </row>
    <row r="155" spans="1:5" x14ac:dyDescent="0.3">
      <c r="A155" s="1">
        <v>38250</v>
      </c>
      <c r="B155">
        <v>5693.92</v>
      </c>
      <c r="C155">
        <v>601.15</v>
      </c>
      <c r="D155">
        <f t="shared" si="4"/>
        <v>-8.0167164959213076E-3</v>
      </c>
      <c r="E155">
        <f t="shared" si="5"/>
        <v>-1.2727444532098349E-2</v>
      </c>
    </row>
    <row r="156" spans="1:5" x14ac:dyDescent="0.3">
      <c r="A156" s="1">
        <v>38251</v>
      </c>
      <c r="B156">
        <v>5726.81</v>
      </c>
      <c r="C156">
        <v>600.25</v>
      </c>
      <c r="D156">
        <f t="shared" si="4"/>
        <v>5.7597177983038494E-3</v>
      </c>
      <c r="E156">
        <f t="shared" si="5"/>
        <v>-1.4982523195554804E-3</v>
      </c>
    </row>
    <row r="157" spans="1:5" x14ac:dyDescent="0.3">
      <c r="A157" s="1">
        <v>38252</v>
      </c>
      <c r="B157">
        <v>5646.59</v>
      </c>
      <c r="C157">
        <v>606.5</v>
      </c>
      <c r="D157">
        <f t="shared" si="4"/>
        <v>-1.4106833546518985E-2</v>
      </c>
      <c r="E157">
        <f t="shared" si="5"/>
        <v>1.0358493282742128E-2</v>
      </c>
    </row>
    <row r="158" spans="1:5" x14ac:dyDescent="0.3">
      <c r="A158" s="1">
        <v>38253</v>
      </c>
      <c r="B158">
        <v>5606.06</v>
      </c>
      <c r="C158">
        <v>599.5</v>
      </c>
      <c r="D158">
        <f t="shared" si="4"/>
        <v>-7.2036676281359881E-3</v>
      </c>
      <c r="E158">
        <f t="shared" si="5"/>
        <v>-1.1608753916535861E-2</v>
      </c>
    </row>
    <row r="159" spans="1:5" x14ac:dyDescent="0.3">
      <c r="A159" s="1">
        <v>38254</v>
      </c>
      <c r="B159">
        <v>5617.24</v>
      </c>
      <c r="C159">
        <v>592.15</v>
      </c>
      <c r="D159">
        <f t="shared" si="4"/>
        <v>1.9922845683476072E-3</v>
      </c>
      <c r="E159">
        <f t="shared" si="5"/>
        <v>-1.2335993300064947E-2</v>
      </c>
    </row>
    <row r="160" spans="1:5" x14ac:dyDescent="0.3">
      <c r="A160" s="1">
        <v>38257</v>
      </c>
      <c r="B160">
        <v>5589.3</v>
      </c>
      <c r="C160">
        <v>587.6</v>
      </c>
      <c r="D160">
        <f t="shared" si="4"/>
        <v>-4.9863843597975866E-3</v>
      </c>
      <c r="E160">
        <f t="shared" si="5"/>
        <v>-7.7135368677817232E-3</v>
      </c>
    </row>
    <row r="161" spans="1:5" x14ac:dyDescent="0.3">
      <c r="A161" s="1">
        <v>38258</v>
      </c>
      <c r="B161">
        <v>5623.42</v>
      </c>
      <c r="C161">
        <v>586.70000000000005</v>
      </c>
      <c r="D161">
        <f t="shared" si="4"/>
        <v>6.0859640326414478E-3</v>
      </c>
      <c r="E161">
        <f t="shared" si="5"/>
        <v>-1.5328283679080514E-3</v>
      </c>
    </row>
    <row r="162" spans="1:5" x14ac:dyDescent="0.3">
      <c r="A162" s="1">
        <v>38259</v>
      </c>
      <c r="B162">
        <v>5638.3</v>
      </c>
      <c r="C162">
        <v>588.85</v>
      </c>
      <c r="D162">
        <f t="shared" si="4"/>
        <v>2.6425818896607519E-3</v>
      </c>
      <c r="E162">
        <f t="shared" si="5"/>
        <v>3.6578663557432895E-3</v>
      </c>
    </row>
    <row r="163" spans="1:5" x14ac:dyDescent="0.3">
      <c r="A163" s="1">
        <v>38260</v>
      </c>
      <c r="B163">
        <v>5616.85</v>
      </c>
      <c r="C163">
        <v>581.35</v>
      </c>
      <c r="D163">
        <f t="shared" si="4"/>
        <v>-3.8115930874712384E-3</v>
      </c>
      <c r="E163">
        <f t="shared" si="5"/>
        <v>-1.281849717294032E-2</v>
      </c>
    </row>
    <row r="164" spans="1:5" x14ac:dyDescent="0.3">
      <c r="A164" s="1">
        <v>38261</v>
      </c>
      <c r="B164">
        <v>5692.78</v>
      </c>
      <c r="C164">
        <v>588.85</v>
      </c>
      <c r="D164">
        <f t="shared" si="4"/>
        <v>1.342769672642739E-2</v>
      </c>
      <c r="E164">
        <f t="shared" si="5"/>
        <v>1.2818497172940356E-2</v>
      </c>
    </row>
    <row r="165" spans="1:5" x14ac:dyDescent="0.3">
      <c r="A165" s="1">
        <v>38264</v>
      </c>
      <c r="B165">
        <v>5714.78</v>
      </c>
      <c r="C165">
        <v>584.9</v>
      </c>
      <c r="D165">
        <f t="shared" si="4"/>
        <v>3.8570960441743868E-3</v>
      </c>
      <c r="E165">
        <f t="shared" si="5"/>
        <v>-6.730589838577437E-3</v>
      </c>
    </row>
    <row r="166" spans="1:5" x14ac:dyDescent="0.3">
      <c r="A166" s="1">
        <v>38265</v>
      </c>
      <c r="B166">
        <v>5705.77</v>
      </c>
      <c r="C166">
        <v>587.65</v>
      </c>
      <c r="D166">
        <f t="shared" si="4"/>
        <v>-1.5778577860611482E-3</v>
      </c>
      <c r="E166">
        <f t="shared" si="5"/>
        <v>4.6906401298830421E-3</v>
      </c>
    </row>
    <row r="167" spans="1:5" x14ac:dyDescent="0.3">
      <c r="A167" s="1">
        <v>38266</v>
      </c>
      <c r="B167">
        <v>5739.85</v>
      </c>
      <c r="C167">
        <v>583.45000000000005</v>
      </c>
      <c r="D167">
        <f t="shared" si="4"/>
        <v>5.9551340541842343E-3</v>
      </c>
      <c r="E167">
        <f t="shared" si="5"/>
        <v>-7.1727743267466816E-3</v>
      </c>
    </row>
    <row r="168" spans="1:5" x14ac:dyDescent="0.3">
      <c r="A168" s="1">
        <v>38267</v>
      </c>
      <c r="B168">
        <v>5680.13</v>
      </c>
      <c r="C168">
        <v>580.75</v>
      </c>
      <c r="D168">
        <f t="shared" si="4"/>
        <v>-1.0458957790743857E-2</v>
      </c>
      <c r="E168">
        <f t="shared" si="5"/>
        <v>-4.6383866015978154E-3</v>
      </c>
    </row>
    <row r="169" spans="1:5" x14ac:dyDescent="0.3">
      <c r="A169" s="1">
        <v>38271</v>
      </c>
      <c r="B169">
        <v>5662.63</v>
      </c>
      <c r="C169">
        <v>585.85</v>
      </c>
      <c r="D169">
        <f t="shared" si="4"/>
        <v>-3.0856711920775096E-3</v>
      </c>
      <c r="E169">
        <f t="shared" si="5"/>
        <v>8.7434124636460754E-3</v>
      </c>
    </row>
    <row r="170" spans="1:5" x14ac:dyDescent="0.3">
      <c r="A170" s="1">
        <v>38272</v>
      </c>
      <c r="B170">
        <v>5650.18</v>
      </c>
      <c r="C170">
        <v>576.9</v>
      </c>
      <c r="D170">
        <f t="shared" si="4"/>
        <v>-2.201045545054361E-3</v>
      </c>
      <c r="E170">
        <f t="shared" si="5"/>
        <v>-1.5394842851320959E-2</v>
      </c>
    </row>
    <row r="171" spans="1:5" x14ac:dyDescent="0.3">
      <c r="A171" s="1">
        <v>38274</v>
      </c>
      <c r="B171">
        <v>5542.63</v>
      </c>
      <c r="C171">
        <v>576.45000000000005</v>
      </c>
      <c r="D171">
        <f t="shared" si="4"/>
        <v>-1.9218285705167655E-2</v>
      </c>
      <c r="E171">
        <f t="shared" si="5"/>
        <v>-7.8033558388097553E-4</v>
      </c>
    </row>
    <row r="172" spans="1:5" x14ac:dyDescent="0.3">
      <c r="A172" s="1">
        <v>38278</v>
      </c>
      <c r="B172">
        <v>5588.66</v>
      </c>
      <c r="C172">
        <v>573.04999999999995</v>
      </c>
      <c r="D172">
        <f t="shared" si="4"/>
        <v>8.2704273036777205E-3</v>
      </c>
      <c r="E172">
        <f t="shared" si="5"/>
        <v>-5.9156327362545474E-3</v>
      </c>
    </row>
    <row r="173" spans="1:5" x14ac:dyDescent="0.3">
      <c r="A173" s="1">
        <v>38279</v>
      </c>
      <c r="B173">
        <v>5536.55</v>
      </c>
      <c r="C173">
        <v>578.4</v>
      </c>
      <c r="D173">
        <f t="shared" si="4"/>
        <v>-9.3679815649755464E-3</v>
      </c>
      <c r="E173">
        <f t="shared" si="5"/>
        <v>9.2926979018467335E-3</v>
      </c>
    </row>
    <row r="174" spans="1:5" x14ac:dyDescent="0.3">
      <c r="A174" s="1">
        <v>38280</v>
      </c>
      <c r="B174">
        <v>5523.27</v>
      </c>
      <c r="C174">
        <v>576</v>
      </c>
      <c r="D174">
        <f t="shared" si="4"/>
        <v>-2.4014868926076605E-3</v>
      </c>
      <c r="E174">
        <f t="shared" si="5"/>
        <v>-4.158010148663677E-3</v>
      </c>
    </row>
    <row r="175" spans="1:5" x14ac:dyDescent="0.3">
      <c r="A175" s="1">
        <v>38281</v>
      </c>
      <c r="B175">
        <v>5520.79</v>
      </c>
      <c r="C175">
        <v>571.95000000000005</v>
      </c>
      <c r="D175">
        <f t="shared" si="4"/>
        <v>-4.4911020796435398E-4</v>
      </c>
      <c r="E175">
        <f t="shared" si="5"/>
        <v>-7.056085724208733E-3</v>
      </c>
    </row>
    <row r="176" spans="1:5" x14ac:dyDescent="0.3">
      <c r="A176" s="1">
        <v>38285</v>
      </c>
      <c r="B176">
        <v>5459.99</v>
      </c>
      <c r="C176">
        <v>570.6</v>
      </c>
      <c r="D176">
        <f t="shared" si="4"/>
        <v>-1.1074007737618574E-2</v>
      </c>
      <c r="E176">
        <f t="shared" si="5"/>
        <v>-2.3631361922828906E-3</v>
      </c>
    </row>
    <row r="177" spans="1:5" x14ac:dyDescent="0.3">
      <c r="A177" s="1">
        <v>38286</v>
      </c>
      <c r="B177">
        <v>5545.22</v>
      </c>
      <c r="C177">
        <v>577.45000000000005</v>
      </c>
      <c r="D177">
        <f t="shared" si="4"/>
        <v>1.5489337145206436E-2</v>
      </c>
      <c r="E177">
        <f t="shared" si="5"/>
        <v>1.1933419781696849E-2</v>
      </c>
    </row>
    <row r="178" spans="1:5" x14ac:dyDescent="0.3">
      <c r="A178" s="1">
        <v>38287</v>
      </c>
      <c r="B178">
        <v>5612.69</v>
      </c>
      <c r="C178">
        <v>579.79999999999995</v>
      </c>
      <c r="D178">
        <f t="shared" si="4"/>
        <v>1.2093810103542718E-2</v>
      </c>
      <c r="E178">
        <f t="shared" si="5"/>
        <v>4.0613579264583881E-3</v>
      </c>
    </row>
    <row r="179" spans="1:5" x14ac:dyDescent="0.3">
      <c r="A179" s="1">
        <v>38288</v>
      </c>
      <c r="B179">
        <v>5621.16</v>
      </c>
      <c r="C179">
        <v>570.85</v>
      </c>
      <c r="D179">
        <f t="shared" si="4"/>
        <v>1.5079427987713706E-3</v>
      </c>
      <c r="E179">
        <f t="shared" si="5"/>
        <v>-1.5556738365218805E-2</v>
      </c>
    </row>
    <row r="180" spans="1:5" x14ac:dyDescent="0.3">
      <c r="A180" s="1">
        <v>38292</v>
      </c>
      <c r="B180">
        <v>5633.9</v>
      </c>
      <c r="C180">
        <v>552.85</v>
      </c>
      <c r="D180">
        <f t="shared" si="4"/>
        <v>2.2638716170616316E-3</v>
      </c>
      <c r="E180">
        <f t="shared" si="5"/>
        <v>-3.2039761133925412E-2</v>
      </c>
    </row>
    <row r="181" spans="1:5" x14ac:dyDescent="0.3">
      <c r="A181" s="1">
        <v>38293</v>
      </c>
      <c r="B181">
        <v>5632.18</v>
      </c>
      <c r="C181">
        <v>566.20000000000005</v>
      </c>
      <c r="D181">
        <f t="shared" si="4"/>
        <v>-3.0534134559005537E-4</v>
      </c>
      <c r="E181">
        <f t="shared" si="5"/>
        <v>2.3860655689388437E-2</v>
      </c>
    </row>
    <row r="182" spans="1:5" x14ac:dyDescent="0.3">
      <c r="A182" s="1">
        <v>38294</v>
      </c>
      <c r="B182">
        <v>5695.41</v>
      </c>
      <c r="C182">
        <v>567.9</v>
      </c>
      <c r="D182">
        <f t="shared" si="4"/>
        <v>1.1164008711773527E-2</v>
      </c>
      <c r="E182">
        <f t="shared" si="5"/>
        <v>2.9979742055874651E-3</v>
      </c>
    </row>
    <row r="183" spans="1:5" x14ac:dyDescent="0.3">
      <c r="A183" s="1">
        <v>38295</v>
      </c>
      <c r="B183">
        <v>5789.07</v>
      </c>
      <c r="C183">
        <v>575.15</v>
      </c>
      <c r="D183">
        <f t="shared" si="4"/>
        <v>1.6311069638118566E-2</v>
      </c>
      <c r="E183">
        <f t="shared" si="5"/>
        <v>1.2685529458632345E-2</v>
      </c>
    </row>
    <row r="184" spans="1:5" x14ac:dyDescent="0.3">
      <c r="A184" s="1">
        <v>38296</v>
      </c>
      <c r="B184">
        <v>5805.57</v>
      </c>
      <c r="C184">
        <v>575.95000000000005</v>
      </c>
      <c r="D184">
        <f t="shared" si="4"/>
        <v>2.8461446216940553E-3</v>
      </c>
      <c r="E184">
        <f t="shared" si="5"/>
        <v>1.3899750304962688E-3</v>
      </c>
    </row>
    <row r="185" spans="1:5" x14ac:dyDescent="0.3">
      <c r="A185" s="1">
        <v>38299</v>
      </c>
      <c r="B185">
        <v>5797.61</v>
      </c>
      <c r="C185">
        <v>576.20000000000005</v>
      </c>
      <c r="D185">
        <f t="shared" si="4"/>
        <v>-1.3720378807735292E-3</v>
      </c>
      <c r="E185">
        <f t="shared" si="5"/>
        <v>4.3397127791270306E-4</v>
      </c>
    </row>
    <row r="186" spans="1:5" x14ac:dyDescent="0.3">
      <c r="A186" s="1">
        <v>38300</v>
      </c>
      <c r="B186">
        <v>5787.15</v>
      </c>
      <c r="C186">
        <v>580</v>
      </c>
      <c r="D186">
        <f t="shared" si="4"/>
        <v>-1.8058212414407491E-3</v>
      </c>
      <c r="E186">
        <f t="shared" si="5"/>
        <v>6.5732808900367361E-3</v>
      </c>
    </row>
    <row r="187" spans="1:5" x14ac:dyDescent="0.3">
      <c r="A187" s="1">
        <v>38301</v>
      </c>
      <c r="B187">
        <v>5786.76</v>
      </c>
      <c r="C187">
        <v>584.35</v>
      </c>
      <c r="D187">
        <f t="shared" si="4"/>
        <v>-6.7392955387967992E-5</v>
      </c>
      <c r="E187">
        <f t="shared" si="5"/>
        <v>7.4720148387010564E-3</v>
      </c>
    </row>
    <row r="188" spans="1:5" x14ac:dyDescent="0.3">
      <c r="A188" s="1">
        <v>38302</v>
      </c>
      <c r="B188">
        <v>5833.06</v>
      </c>
      <c r="C188">
        <v>599.15</v>
      </c>
      <c r="D188">
        <f t="shared" si="4"/>
        <v>7.969184554390326E-3</v>
      </c>
      <c r="E188">
        <f t="shared" si="5"/>
        <v>2.5011865749359468E-2</v>
      </c>
    </row>
    <row r="189" spans="1:5" x14ac:dyDescent="0.3">
      <c r="A189" s="1">
        <v>38303</v>
      </c>
      <c r="B189">
        <v>5882.49</v>
      </c>
      <c r="C189">
        <v>600.75</v>
      </c>
      <c r="D189">
        <f t="shared" si="4"/>
        <v>8.4384076397630153E-3</v>
      </c>
      <c r="E189">
        <f t="shared" si="5"/>
        <v>2.6668904880528099E-3</v>
      </c>
    </row>
    <row r="190" spans="1:5" x14ac:dyDescent="0.3">
      <c r="A190" s="1">
        <v>38307</v>
      </c>
      <c r="B190">
        <v>5829.27</v>
      </c>
      <c r="C190">
        <v>597.35</v>
      </c>
      <c r="D190">
        <f t="shared" si="4"/>
        <v>-9.088363546245138E-3</v>
      </c>
      <c r="E190">
        <f t="shared" si="5"/>
        <v>-5.6756683533454632E-3</v>
      </c>
    </row>
    <row r="191" spans="1:5" x14ac:dyDescent="0.3">
      <c r="A191" s="1">
        <v>38308</v>
      </c>
      <c r="B191">
        <v>5857.05</v>
      </c>
      <c r="C191">
        <v>604.5</v>
      </c>
      <c r="D191">
        <f t="shared" si="4"/>
        <v>4.7542857505979549E-3</v>
      </c>
      <c r="E191">
        <f t="shared" si="5"/>
        <v>1.1898463791614518E-2</v>
      </c>
    </row>
    <row r="192" spans="1:5" x14ac:dyDescent="0.3">
      <c r="A192" s="1">
        <v>38309</v>
      </c>
      <c r="B192">
        <v>5858.61</v>
      </c>
      <c r="C192">
        <v>621.65</v>
      </c>
      <c r="D192">
        <f t="shared" si="4"/>
        <v>2.6631022225288733E-4</v>
      </c>
      <c r="E192">
        <f t="shared" si="5"/>
        <v>2.7975563344099254E-2</v>
      </c>
    </row>
    <row r="193" spans="1:5" x14ac:dyDescent="0.3">
      <c r="A193" s="1">
        <v>38313</v>
      </c>
      <c r="B193">
        <v>5823.77</v>
      </c>
      <c r="C193">
        <v>640.15</v>
      </c>
      <c r="D193">
        <f t="shared" si="4"/>
        <v>-5.9645557307170362E-3</v>
      </c>
      <c r="E193">
        <f t="shared" si="5"/>
        <v>2.9325290493241483E-2</v>
      </c>
    </row>
    <row r="194" spans="1:5" x14ac:dyDescent="0.3">
      <c r="A194" s="1">
        <v>38314</v>
      </c>
      <c r="B194">
        <v>5824.63</v>
      </c>
      <c r="C194">
        <v>653.5</v>
      </c>
      <c r="D194">
        <f t="shared" si="4"/>
        <v>1.4765976469933637E-4</v>
      </c>
      <c r="E194">
        <f t="shared" si="5"/>
        <v>2.0640009172088577E-2</v>
      </c>
    </row>
    <row r="195" spans="1:5" x14ac:dyDescent="0.3">
      <c r="A195" s="1">
        <v>38315</v>
      </c>
      <c r="B195">
        <v>5834.48</v>
      </c>
      <c r="C195">
        <v>648.20000000000005</v>
      </c>
      <c r="D195">
        <f t="shared" si="4"/>
        <v>1.6896662512757895E-3</v>
      </c>
      <c r="E195">
        <f t="shared" si="5"/>
        <v>-8.143242356829514E-3</v>
      </c>
    </row>
    <row r="196" spans="1:5" x14ac:dyDescent="0.3">
      <c r="A196" s="1">
        <v>38320</v>
      </c>
      <c r="B196">
        <v>5817.87</v>
      </c>
      <c r="C196">
        <v>649.75</v>
      </c>
      <c r="D196">
        <f t="shared" ref="D196:D236" si="6">LN(B196/B195)</f>
        <v>-2.8509289971932923E-3</v>
      </c>
      <c r="E196">
        <f t="shared" ref="E196:E236" si="7">LN(C196/C195)</f>
        <v>2.3883828141524721E-3</v>
      </c>
    </row>
    <row r="197" spans="1:5" x14ac:dyDescent="0.3">
      <c r="A197" s="1">
        <v>38321</v>
      </c>
      <c r="B197">
        <v>5798.27</v>
      </c>
      <c r="C197">
        <v>634.95000000000005</v>
      </c>
      <c r="D197">
        <f t="shared" si="6"/>
        <v>-3.3746181778928283E-3</v>
      </c>
      <c r="E197">
        <f t="shared" si="7"/>
        <v>-2.3041417886557163E-2</v>
      </c>
    </row>
    <row r="198" spans="1:5" x14ac:dyDescent="0.3">
      <c r="A198" s="1">
        <v>38322</v>
      </c>
      <c r="B198">
        <v>5883.84</v>
      </c>
      <c r="C198">
        <v>626.54999999999995</v>
      </c>
      <c r="D198">
        <f t="shared" si="6"/>
        <v>1.4650012786127403E-2</v>
      </c>
      <c r="E198">
        <f t="shared" si="7"/>
        <v>-1.3317676023748533E-2</v>
      </c>
    </row>
    <row r="199" spans="1:5" x14ac:dyDescent="0.3">
      <c r="A199" s="1">
        <v>38323</v>
      </c>
      <c r="B199">
        <v>5886.86</v>
      </c>
      <c r="C199">
        <v>643.95000000000005</v>
      </c>
      <c r="D199">
        <f t="shared" si="6"/>
        <v>5.1313856716528295E-4</v>
      </c>
      <c r="E199">
        <f t="shared" si="7"/>
        <v>2.7392503727385328E-2</v>
      </c>
    </row>
    <row r="200" spans="1:5" x14ac:dyDescent="0.3">
      <c r="A200" s="1">
        <v>38324</v>
      </c>
      <c r="B200">
        <v>5880.34</v>
      </c>
      <c r="C200">
        <v>644.4</v>
      </c>
      <c r="D200">
        <f t="shared" si="6"/>
        <v>-1.1081651824103222E-3</v>
      </c>
      <c r="E200">
        <f t="shared" si="7"/>
        <v>6.9856796413984336E-4</v>
      </c>
    </row>
    <row r="201" spans="1:5" x14ac:dyDescent="0.3">
      <c r="A201" s="1">
        <v>38327</v>
      </c>
      <c r="B201">
        <v>5870.75</v>
      </c>
      <c r="C201">
        <v>632.25</v>
      </c>
      <c r="D201">
        <f t="shared" si="6"/>
        <v>-1.6321893763070522E-3</v>
      </c>
      <c r="E201">
        <f t="shared" si="7"/>
        <v>-1.903476575274473E-2</v>
      </c>
    </row>
    <row r="202" spans="1:5" x14ac:dyDescent="0.3">
      <c r="A202" s="1">
        <v>38328</v>
      </c>
      <c r="B202">
        <v>5817.34</v>
      </c>
      <c r="C202">
        <v>621.54999999999995</v>
      </c>
      <c r="D202">
        <f t="shared" si="6"/>
        <v>-9.1392813987323761E-3</v>
      </c>
      <c r="E202">
        <f t="shared" si="7"/>
        <v>-1.7068527312350156E-2</v>
      </c>
    </row>
    <row r="203" spans="1:5" x14ac:dyDescent="0.3">
      <c r="A203" s="1">
        <v>38329</v>
      </c>
      <c r="B203">
        <v>5850.59</v>
      </c>
      <c r="C203">
        <v>620.45000000000005</v>
      </c>
      <c r="D203">
        <f t="shared" si="6"/>
        <v>5.6993982660712376E-3</v>
      </c>
      <c r="E203">
        <f t="shared" si="7"/>
        <v>-1.7713370170956951E-3</v>
      </c>
    </row>
    <row r="204" spans="1:5" x14ac:dyDescent="0.3">
      <c r="A204" s="1">
        <v>38330</v>
      </c>
      <c r="B204">
        <v>5883.24</v>
      </c>
      <c r="C204">
        <v>618.35</v>
      </c>
      <c r="D204">
        <f t="shared" si="6"/>
        <v>5.5651197035717923E-3</v>
      </c>
      <c r="E204">
        <f t="shared" si="7"/>
        <v>-3.3903810325626028E-3</v>
      </c>
    </row>
    <row r="205" spans="1:5" x14ac:dyDescent="0.3">
      <c r="A205" s="1">
        <v>38331</v>
      </c>
      <c r="B205">
        <v>5874.78</v>
      </c>
      <c r="C205">
        <v>624</v>
      </c>
      <c r="D205">
        <f t="shared" si="6"/>
        <v>-1.4390180421354243E-3</v>
      </c>
      <c r="E205">
        <f t="shared" si="7"/>
        <v>9.095728181361477E-3</v>
      </c>
    </row>
    <row r="206" spans="1:5" x14ac:dyDescent="0.3">
      <c r="A206" s="1">
        <v>38335</v>
      </c>
      <c r="B206">
        <v>5947.89</v>
      </c>
      <c r="C206">
        <v>625.70000000000005</v>
      </c>
      <c r="D206">
        <f t="shared" si="6"/>
        <v>1.2367922295039085E-2</v>
      </c>
      <c r="E206">
        <f t="shared" si="7"/>
        <v>2.7206546348902401E-3</v>
      </c>
    </row>
    <row r="207" spans="1:5" x14ac:dyDescent="0.3">
      <c r="A207" s="1">
        <v>38336</v>
      </c>
      <c r="B207">
        <v>5961.81</v>
      </c>
      <c r="C207">
        <v>637.35</v>
      </c>
      <c r="D207">
        <f t="shared" si="6"/>
        <v>2.3375914319633323E-3</v>
      </c>
      <c r="E207">
        <f t="shared" si="7"/>
        <v>1.8447932224612412E-2</v>
      </c>
    </row>
    <row r="208" spans="1:5" x14ac:dyDescent="0.3">
      <c r="A208" s="1">
        <v>38337</v>
      </c>
      <c r="B208">
        <v>5964.58</v>
      </c>
      <c r="C208">
        <v>633.75</v>
      </c>
      <c r="D208">
        <f t="shared" si="6"/>
        <v>4.6451609410855477E-4</v>
      </c>
      <c r="E208">
        <f t="shared" si="7"/>
        <v>-5.6644003235373445E-3</v>
      </c>
    </row>
    <row r="209" spans="1:5" x14ac:dyDescent="0.3">
      <c r="A209" s="1">
        <v>38338</v>
      </c>
      <c r="B209">
        <v>5910.68</v>
      </c>
      <c r="C209">
        <v>630.25</v>
      </c>
      <c r="D209">
        <f t="shared" si="6"/>
        <v>-9.0777583208131139E-3</v>
      </c>
      <c r="E209">
        <f t="shared" si="7"/>
        <v>-5.5379888373637189E-3</v>
      </c>
    </row>
    <row r="210" spans="1:5" x14ac:dyDescent="0.3">
      <c r="A210" s="1">
        <v>38341</v>
      </c>
      <c r="B210">
        <v>5914.52</v>
      </c>
      <c r="C210">
        <v>643.75</v>
      </c>
      <c r="D210">
        <f t="shared" si="6"/>
        <v>6.4946049706984918E-4</v>
      </c>
      <c r="E210">
        <f t="shared" si="7"/>
        <v>2.1193885909916634E-2</v>
      </c>
    </row>
    <row r="211" spans="1:5" x14ac:dyDescent="0.3">
      <c r="A211" s="1">
        <v>38342</v>
      </c>
      <c r="B211">
        <v>5965.28</v>
      </c>
      <c r="C211">
        <v>650</v>
      </c>
      <c r="D211">
        <f t="shared" si="6"/>
        <v>8.545650416448133E-3</v>
      </c>
      <c r="E211">
        <f t="shared" si="7"/>
        <v>9.6619109117368901E-3</v>
      </c>
    </row>
    <row r="212" spans="1:5" x14ac:dyDescent="0.3">
      <c r="A212" s="1">
        <v>38343</v>
      </c>
      <c r="B212">
        <v>5993.22</v>
      </c>
      <c r="C212">
        <v>644</v>
      </c>
      <c r="D212">
        <f t="shared" si="6"/>
        <v>4.6728353623028181E-3</v>
      </c>
      <c r="E212">
        <f t="shared" si="7"/>
        <v>-9.2736367853292149E-3</v>
      </c>
    </row>
    <row r="213" spans="1:5" x14ac:dyDescent="0.3">
      <c r="A213" s="1">
        <v>38344</v>
      </c>
      <c r="B213">
        <v>5998.52</v>
      </c>
      <c r="C213">
        <v>651</v>
      </c>
      <c r="D213">
        <f t="shared" si="6"/>
        <v>8.8394183748102719E-4</v>
      </c>
      <c r="E213">
        <f t="shared" si="7"/>
        <v>1.0810916104215676E-2</v>
      </c>
    </row>
    <row r="214" spans="1:5" x14ac:dyDescent="0.3">
      <c r="A214" s="1">
        <v>38348</v>
      </c>
      <c r="B214">
        <v>5975.74</v>
      </c>
      <c r="C214">
        <v>689</v>
      </c>
      <c r="D214">
        <f t="shared" si="6"/>
        <v>-3.8048326129035671E-3</v>
      </c>
      <c r="E214">
        <f t="shared" si="7"/>
        <v>5.6731628805089369E-2</v>
      </c>
    </row>
    <row r="215" spans="1:5" x14ac:dyDescent="0.3">
      <c r="A215" s="1">
        <v>38349</v>
      </c>
      <c r="B215">
        <v>6008.15</v>
      </c>
      <c r="C215">
        <v>679.4</v>
      </c>
      <c r="D215">
        <f t="shared" si="6"/>
        <v>5.4089413399634398E-3</v>
      </c>
      <c r="E215">
        <f t="shared" si="7"/>
        <v>-1.4031215287175007E-2</v>
      </c>
    </row>
    <row r="216" spans="1:5" x14ac:dyDescent="0.3">
      <c r="A216" s="1">
        <v>38351</v>
      </c>
      <c r="B216">
        <v>6006.37</v>
      </c>
      <c r="C216">
        <v>671.8</v>
      </c>
      <c r="D216">
        <f t="shared" si="6"/>
        <v>-2.9630813599268804E-4</v>
      </c>
      <c r="E216">
        <f t="shared" si="7"/>
        <v>-1.1249378548291156E-2</v>
      </c>
    </row>
    <row r="217" spans="1:5" x14ac:dyDescent="0.3">
      <c r="A217" s="1">
        <v>38352</v>
      </c>
      <c r="B217">
        <v>5997.37</v>
      </c>
      <c r="C217">
        <v>677.15</v>
      </c>
      <c r="D217">
        <f t="shared" si="6"/>
        <v>-1.4995329266460408E-3</v>
      </c>
      <c r="E217">
        <f t="shared" si="7"/>
        <v>7.9321369231879577E-3</v>
      </c>
    </row>
    <row r="218" spans="1:5" x14ac:dyDescent="0.3">
      <c r="A218" s="1">
        <v>38355</v>
      </c>
      <c r="B218">
        <v>5958.86</v>
      </c>
      <c r="C218">
        <v>689.85</v>
      </c>
      <c r="D218">
        <f t="shared" si="6"/>
        <v>-6.4418521845384094E-3</v>
      </c>
      <c r="E218">
        <f t="shared" si="7"/>
        <v>1.8581368552662167E-2</v>
      </c>
    </row>
    <row r="219" spans="1:5" x14ac:dyDescent="0.3">
      <c r="A219" s="1">
        <v>38356</v>
      </c>
      <c r="B219">
        <v>5903.51</v>
      </c>
      <c r="C219">
        <v>699.1</v>
      </c>
      <c r="D219">
        <f t="shared" si="6"/>
        <v>-9.332098340060312E-3</v>
      </c>
      <c r="E219">
        <f t="shared" si="7"/>
        <v>1.3319610863897016E-2</v>
      </c>
    </row>
    <row r="220" spans="1:5" x14ac:dyDescent="0.3">
      <c r="A220" s="1">
        <v>38357</v>
      </c>
      <c r="B220">
        <v>5891.27</v>
      </c>
      <c r="C220">
        <v>693.15</v>
      </c>
      <c r="D220">
        <f t="shared" si="6"/>
        <v>-2.07549515867752E-3</v>
      </c>
      <c r="E220">
        <f t="shared" si="7"/>
        <v>-8.5473675335544282E-3</v>
      </c>
    </row>
    <row r="221" spans="1:5" x14ac:dyDescent="0.3">
      <c r="A221" s="1">
        <v>38358</v>
      </c>
      <c r="B221">
        <v>5919.84</v>
      </c>
      <c r="C221">
        <v>671</v>
      </c>
      <c r="D221">
        <f t="shared" si="6"/>
        <v>4.8378273883431799E-3</v>
      </c>
      <c r="E221">
        <f t="shared" si="7"/>
        <v>-3.2477289012703213E-2</v>
      </c>
    </row>
    <row r="222" spans="1:5" x14ac:dyDescent="0.3">
      <c r="A222" s="1">
        <v>38359</v>
      </c>
      <c r="B222">
        <v>5905.97</v>
      </c>
      <c r="C222">
        <v>676.5</v>
      </c>
      <c r="D222">
        <f t="shared" si="6"/>
        <v>-2.3457177749087862E-3</v>
      </c>
      <c r="E222">
        <f t="shared" si="7"/>
        <v>8.1633106391608354E-3</v>
      </c>
    </row>
    <row r="223" spans="1:5" x14ac:dyDescent="0.3">
      <c r="A223" s="1">
        <v>38362</v>
      </c>
      <c r="B223">
        <v>5925.63</v>
      </c>
      <c r="C223">
        <v>668</v>
      </c>
      <c r="D223">
        <f t="shared" si="6"/>
        <v>3.3233067538375296E-3</v>
      </c>
      <c r="E223">
        <f t="shared" si="7"/>
        <v>-1.2644274074197012E-2</v>
      </c>
    </row>
    <row r="224" spans="1:5" x14ac:dyDescent="0.3">
      <c r="A224" s="1">
        <v>38363</v>
      </c>
      <c r="B224">
        <v>5885.51</v>
      </c>
      <c r="C224">
        <v>660.15</v>
      </c>
      <c r="D224">
        <f t="shared" si="6"/>
        <v>-6.7936125226382201E-3</v>
      </c>
      <c r="E224">
        <f t="shared" si="7"/>
        <v>-1.1821091611435696E-2</v>
      </c>
    </row>
    <row r="225" spans="1:9" x14ac:dyDescent="0.3">
      <c r="A225" s="1">
        <v>38364</v>
      </c>
      <c r="B225">
        <v>5899.59</v>
      </c>
      <c r="C225">
        <v>639.04999999999995</v>
      </c>
      <c r="D225">
        <f t="shared" si="6"/>
        <v>2.3894590116609396E-3</v>
      </c>
      <c r="E225">
        <f t="shared" si="7"/>
        <v>-3.2484383347486795E-2</v>
      </c>
    </row>
    <row r="226" spans="1:9" x14ac:dyDescent="0.3">
      <c r="A226" s="1">
        <v>38365</v>
      </c>
      <c r="B226">
        <v>5843.6</v>
      </c>
      <c r="C226">
        <v>641.35</v>
      </c>
      <c r="D226">
        <f t="shared" si="6"/>
        <v>-9.5358116953801926E-3</v>
      </c>
      <c r="E226">
        <f t="shared" si="7"/>
        <v>3.5926311681365119E-3</v>
      </c>
      <c r="H226" t="s">
        <v>6</v>
      </c>
      <c r="I226">
        <f>INTERCEPT(E3:E231,D3:D231)</f>
        <v>-5.7688053688503913E-4</v>
      </c>
    </row>
    <row r="227" spans="1:9" x14ac:dyDescent="0.3">
      <c r="A227" s="1">
        <v>38366</v>
      </c>
      <c r="B227">
        <v>5874.3</v>
      </c>
      <c r="C227">
        <v>640.5</v>
      </c>
      <c r="D227">
        <f t="shared" si="6"/>
        <v>5.2398587190320969E-3</v>
      </c>
      <c r="E227">
        <f t="shared" si="7"/>
        <v>-1.3262084090708353E-3</v>
      </c>
      <c r="H227" t="s">
        <v>7</v>
      </c>
      <c r="I227">
        <f>SLOPE(E3:E231,D3:D231)</f>
        <v>0.21584705340947202</v>
      </c>
    </row>
    <row r="228" spans="1:9" x14ac:dyDescent="0.3">
      <c r="A228" s="1">
        <v>38370</v>
      </c>
      <c r="B228">
        <v>5932.99</v>
      </c>
      <c r="C228">
        <v>628.95000000000005</v>
      </c>
      <c r="D228">
        <f t="shared" si="6"/>
        <v>9.9413977918828885E-3</v>
      </c>
      <c r="E228">
        <f t="shared" si="7"/>
        <v>-1.8197359051907468E-2</v>
      </c>
      <c r="H228" t="s">
        <v>8</v>
      </c>
      <c r="I228">
        <f>RSQ(E3:E231,D3:D231)</f>
        <v>5.3478675668076374E-3</v>
      </c>
    </row>
    <row r="229" spans="1:9" x14ac:dyDescent="0.3">
      <c r="A229" s="1">
        <v>38371</v>
      </c>
      <c r="B229">
        <v>5879.61</v>
      </c>
      <c r="C229">
        <v>626.20000000000005</v>
      </c>
      <c r="D229">
        <f t="shared" si="6"/>
        <v>-9.0378686069152708E-3</v>
      </c>
      <c r="E229">
        <f t="shared" si="7"/>
        <v>-4.3819533925760065E-3</v>
      </c>
      <c r="H229" t="s">
        <v>9</v>
      </c>
      <c r="I229">
        <f>STEYX(E3:E231,D3:D231)</f>
        <v>2.0152432583648912E-2</v>
      </c>
    </row>
    <row r="230" spans="1:9" x14ac:dyDescent="0.3">
      <c r="A230" s="1">
        <v>38372</v>
      </c>
      <c r="B230">
        <v>5848.12</v>
      </c>
      <c r="C230">
        <v>630.9</v>
      </c>
      <c r="D230">
        <f t="shared" si="6"/>
        <v>-5.3701911074319382E-3</v>
      </c>
      <c r="E230">
        <f t="shared" si="7"/>
        <v>7.4775624844584171E-3</v>
      </c>
    </row>
    <row r="231" spans="1:9" x14ac:dyDescent="0.3">
      <c r="A231" s="1">
        <v>38377</v>
      </c>
      <c r="B231">
        <v>5831.24</v>
      </c>
      <c r="C231">
        <v>628.54999999999995</v>
      </c>
      <c r="D231">
        <f t="shared" si="6"/>
        <v>-2.890571358921176E-3</v>
      </c>
      <c r="E231">
        <f t="shared" si="7"/>
        <v>-3.7317920159237032E-3</v>
      </c>
    </row>
    <row r="232" spans="1:9" x14ac:dyDescent="0.3">
      <c r="A232" s="2">
        <v>38379</v>
      </c>
      <c r="B232" s="3">
        <v>5843.03</v>
      </c>
      <c r="C232" s="3">
        <v>628.1</v>
      </c>
      <c r="D232">
        <f t="shared" si="6"/>
        <v>2.0198271940441129E-3</v>
      </c>
      <c r="E232">
        <f t="shared" si="7"/>
        <v>-7.1618990050491564E-4</v>
      </c>
      <c r="F232" t="s">
        <v>10</v>
      </c>
      <c r="G232" t="s">
        <v>11</v>
      </c>
      <c r="H232" t="s">
        <v>12</v>
      </c>
      <c r="I232" t="s">
        <v>13</v>
      </c>
    </row>
    <row r="233" spans="1:9" x14ac:dyDescent="0.3">
      <c r="A233" s="2">
        <v>38380</v>
      </c>
      <c r="B233" s="3">
        <v>5832.39</v>
      </c>
      <c r="C233" s="3">
        <v>672.4</v>
      </c>
      <c r="D233">
        <f t="shared" si="6"/>
        <v>-1.8226330094330999E-3</v>
      </c>
      <c r="E233">
        <f t="shared" si="7"/>
        <v>6.8154012074125414E-2</v>
      </c>
      <c r="F233">
        <f t="shared" ref="F233:F236" si="8">$I$226+($I$227*D233)</f>
        <v>-9.702905014180121E-4</v>
      </c>
    </row>
    <row r="234" spans="1:9" x14ac:dyDescent="0.3">
      <c r="A234" s="2">
        <v>38383</v>
      </c>
      <c r="B234" s="3">
        <v>5869.99</v>
      </c>
      <c r="C234" s="3">
        <v>679.15</v>
      </c>
      <c r="D234">
        <f t="shared" si="6"/>
        <v>6.4260653625617939E-3</v>
      </c>
      <c r="E234">
        <f t="shared" si="7"/>
        <v>9.988614734039265E-3</v>
      </c>
      <c r="F234">
        <f t="shared" si="8"/>
        <v>8.1016673664059463E-4</v>
      </c>
    </row>
    <row r="235" spans="1:9" x14ac:dyDescent="0.3">
      <c r="A235" s="4">
        <v>38384</v>
      </c>
      <c r="B235" s="5">
        <v>5912.78</v>
      </c>
      <c r="C235" s="5">
        <v>676.9</v>
      </c>
      <c r="D235">
        <f t="shared" si="6"/>
        <v>7.2631797295577127E-3</v>
      </c>
      <c r="E235">
        <f t="shared" si="7"/>
        <v>-3.3184647539378155E-3</v>
      </c>
      <c r="F235">
        <f t="shared" si="8"/>
        <v>9.9085540612339914E-4</v>
      </c>
    </row>
    <row r="236" spans="1:9" x14ac:dyDescent="0.3">
      <c r="A236" s="4">
        <v>38385</v>
      </c>
      <c r="B236" s="5">
        <v>5931.56</v>
      </c>
      <c r="C236" s="5">
        <v>681.6</v>
      </c>
      <c r="D236">
        <f t="shared" si="6"/>
        <v>3.1711375623826939E-3</v>
      </c>
      <c r="E236">
        <f t="shared" si="7"/>
        <v>6.9194240005441008E-3</v>
      </c>
      <c r="F236">
        <f t="shared" si="8"/>
        <v>1.0760016191136107E-4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E0B0762-0DAE-4903-AED4-E4AB8F7BBB5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D41E-793D-4216-9D0B-61BD2FC070D5}">
  <dimension ref="A1:C260"/>
  <sheetViews>
    <sheetView topLeftCell="A249" workbookViewId="0">
      <selection activeCell="C258" sqref="C258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0</v>
      </c>
      <c r="B1" t="s">
        <v>3</v>
      </c>
      <c r="C1" t="s">
        <v>1</v>
      </c>
    </row>
    <row r="2" spans="1:3" x14ac:dyDescent="0.3">
      <c r="A2" s="1">
        <v>38012</v>
      </c>
      <c r="B2">
        <v>99.83</v>
      </c>
      <c r="C2">
        <v>5820.87</v>
      </c>
    </row>
    <row r="3" spans="1:3" x14ac:dyDescent="0.3">
      <c r="A3" s="1">
        <v>38013</v>
      </c>
      <c r="B3">
        <v>99.18</v>
      </c>
      <c r="C3">
        <v>5770.99</v>
      </c>
    </row>
    <row r="4" spans="1:3" x14ac:dyDescent="0.3">
      <c r="A4" s="1">
        <v>38014</v>
      </c>
      <c r="B4">
        <v>98.62</v>
      </c>
      <c r="C4">
        <v>5696.17</v>
      </c>
    </row>
    <row r="5" spans="1:3" x14ac:dyDescent="0.3">
      <c r="A5" s="1">
        <v>38015</v>
      </c>
      <c r="B5">
        <v>101</v>
      </c>
      <c r="C5">
        <v>5740.6</v>
      </c>
    </row>
    <row r="6" spans="1:3" x14ac:dyDescent="0.3">
      <c r="A6" s="1">
        <v>38016</v>
      </c>
      <c r="B6">
        <v>101.08</v>
      </c>
      <c r="C6">
        <v>5719.34</v>
      </c>
    </row>
    <row r="7" spans="1:3" x14ac:dyDescent="0.3">
      <c r="A7" s="1">
        <v>38019</v>
      </c>
      <c r="B7">
        <v>101.68</v>
      </c>
      <c r="C7">
        <v>5746.87</v>
      </c>
    </row>
    <row r="8" spans="1:3" x14ac:dyDescent="0.3">
      <c r="A8" s="1">
        <v>38020</v>
      </c>
      <c r="B8">
        <v>102.02</v>
      </c>
      <c r="C8">
        <v>5741.99</v>
      </c>
    </row>
    <row r="9" spans="1:3" x14ac:dyDescent="0.3">
      <c r="A9" s="1">
        <v>38021</v>
      </c>
      <c r="B9">
        <v>103.2</v>
      </c>
      <c r="C9">
        <v>5728.75</v>
      </c>
    </row>
    <row r="10" spans="1:3" x14ac:dyDescent="0.3">
      <c r="A10" s="1">
        <v>38022</v>
      </c>
      <c r="B10">
        <v>102.69</v>
      </c>
      <c r="C10">
        <v>5740.55</v>
      </c>
    </row>
    <row r="11" spans="1:3" x14ac:dyDescent="0.3">
      <c r="A11" s="1">
        <v>38023</v>
      </c>
      <c r="B11">
        <v>102.36</v>
      </c>
      <c r="C11">
        <v>5795.55</v>
      </c>
    </row>
    <row r="12" spans="1:3" x14ac:dyDescent="0.3">
      <c r="A12" s="1">
        <v>38026</v>
      </c>
      <c r="B12">
        <v>102.55</v>
      </c>
      <c r="C12">
        <v>5777.7</v>
      </c>
    </row>
    <row r="13" spans="1:3" x14ac:dyDescent="0.3">
      <c r="A13" s="1">
        <v>38027</v>
      </c>
      <c r="B13">
        <v>102.35</v>
      </c>
      <c r="C13">
        <v>5807.22</v>
      </c>
    </row>
    <row r="14" spans="1:3" x14ac:dyDescent="0.3">
      <c r="A14" s="1">
        <v>38028</v>
      </c>
      <c r="B14">
        <v>103.2</v>
      </c>
      <c r="C14">
        <v>5877.17</v>
      </c>
    </row>
    <row r="15" spans="1:3" x14ac:dyDescent="0.3">
      <c r="A15" s="1">
        <v>38029</v>
      </c>
      <c r="B15">
        <v>102.39</v>
      </c>
      <c r="C15">
        <v>5846.4</v>
      </c>
    </row>
    <row r="16" spans="1:3" x14ac:dyDescent="0.3">
      <c r="A16" s="1">
        <v>38030</v>
      </c>
      <c r="B16">
        <v>102.05</v>
      </c>
      <c r="C16">
        <v>5821.22</v>
      </c>
    </row>
    <row r="17" spans="1:3" x14ac:dyDescent="0.3">
      <c r="A17" s="1">
        <v>38034</v>
      </c>
      <c r="B17">
        <v>103.12</v>
      </c>
      <c r="C17">
        <v>5870.49</v>
      </c>
    </row>
    <row r="18" spans="1:3" x14ac:dyDescent="0.3">
      <c r="A18" s="1">
        <v>38035</v>
      </c>
      <c r="B18">
        <v>102.95</v>
      </c>
      <c r="C18">
        <v>5838.37</v>
      </c>
    </row>
    <row r="19" spans="1:3" x14ac:dyDescent="0.3">
      <c r="A19" s="1">
        <v>38036</v>
      </c>
      <c r="B19">
        <v>102.43</v>
      </c>
      <c r="C19">
        <v>5826.85</v>
      </c>
    </row>
    <row r="20" spans="1:3" x14ac:dyDescent="0.3">
      <c r="A20" s="1">
        <v>38037</v>
      </c>
      <c r="B20">
        <v>102.5</v>
      </c>
      <c r="C20">
        <v>5817.3</v>
      </c>
    </row>
    <row r="21" spans="1:3" x14ac:dyDescent="0.3">
      <c r="A21" s="1">
        <v>38040</v>
      </c>
      <c r="B21">
        <v>103.57</v>
      </c>
      <c r="C21">
        <v>5821.63</v>
      </c>
    </row>
    <row r="22" spans="1:3" x14ac:dyDescent="0.3">
      <c r="A22" s="1">
        <v>38041</v>
      </c>
      <c r="B22">
        <v>101.78</v>
      </c>
      <c r="C22">
        <v>5808.3</v>
      </c>
    </row>
    <row r="23" spans="1:3" x14ac:dyDescent="0.3">
      <c r="A23" s="1">
        <v>38042</v>
      </c>
      <c r="B23">
        <v>102.69</v>
      </c>
      <c r="C23">
        <v>5825.35</v>
      </c>
    </row>
    <row r="24" spans="1:3" x14ac:dyDescent="0.3">
      <c r="A24" s="1">
        <v>38043</v>
      </c>
      <c r="B24">
        <v>103.07</v>
      </c>
      <c r="C24">
        <v>5828.92</v>
      </c>
    </row>
    <row r="25" spans="1:3" x14ac:dyDescent="0.3">
      <c r="A25" s="1">
        <v>38044</v>
      </c>
      <c r="B25">
        <v>102.51</v>
      </c>
      <c r="C25">
        <v>5824.58</v>
      </c>
    </row>
    <row r="26" spans="1:3" x14ac:dyDescent="0.3">
      <c r="A26" s="1">
        <v>38047</v>
      </c>
      <c r="B26">
        <v>103.86</v>
      </c>
      <c r="C26">
        <v>5870.33</v>
      </c>
    </row>
    <row r="27" spans="1:3" x14ac:dyDescent="0.3">
      <c r="A27" s="1">
        <v>38048</v>
      </c>
      <c r="B27">
        <v>102.12</v>
      </c>
      <c r="C27">
        <v>5842.75</v>
      </c>
    </row>
    <row r="28" spans="1:3" x14ac:dyDescent="0.3">
      <c r="A28" s="1">
        <v>38049</v>
      </c>
      <c r="B28">
        <v>102.46</v>
      </c>
      <c r="C28">
        <v>5860.06</v>
      </c>
    </row>
    <row r="29" spans="1:3" x14ac:dyDescent="0.3">
      <c r="A29" s="1">
        <v>38050</v>
      </c>
      <c r="B29">
        <v>102.1</v>
      </c>
      <c r="C29">
        <v>5870.95</v>
      </c>
    </row>
    <row r="30" spans="1:3" x14ac:dyDescent="0.3">
      <c r="A30" s="1">
        <v>38051</v>
      </c>
      <c r="B30">
        <v>101.76</v>
      </c>
      <c r="C30">
        <v>5888.5</v>
      </c>
    </row>
    <row r="31" spans="1:3" x14ac:dyDescent="0.3">
      <c r="A31" s="1">
        <v>38054</v>
      </c>
      <c r="B31">
        <v>102.47</v>
      </c>
      <c r="C31">
        <v>5858.37</v>
      </c>
    </row>
    <row r="32" spans="1:3" x14ac:dyDescent="0.3">
      <c r="A32" s="1">
        <v>38055</v>
      </c>
      <c r="B32">
        <v>102.49</v>
      </c>
      <c r="C32">
        <v>5824.28</v>
      </c>
    </row>
    <row r="33" spans="1:3" x14ac:dyDescent="0.3">
      <c r="A33" s="1">
        <v>38056</v>
      </c>
      <c r="B33">
        <v>105.53</v>
      </c>
      <c r="C33">
        <v>5738.21</v>
      </c>
    </row>
    <row r="34" spans="1:3" x14ac:dyDescent="0.3">
      <c r="A34" s="1">
        <v>38057</v>
      </c>
      <c r="B34">
        <v>103.95</v>
      </c>
      <c r="C34">
        <v>5644.15</v>
      </c>
    </row>
    <row r="35" spans="1:3" x14ac:dyDescent="0.3">
      <c r="A35" s="1">
        <v>38058</v>
      </c>
      <c r="B35">
        <v>104.12</v>
      </c>
      <c r="C35">
        <v>5699.12</v>
      </c>
    </row>
    <row r="36" spans="1:3" x14ac:dyDescent="0.3">
      <c r="A36" s="1">
        <v>38061</v>
      </c>
      <c r="B36">
        <v>102.52</v>
      </c>
      <c r="C36">
        <v>5622.01</v>
      </c>
    </row>
    <row r="37" spans="1:3" x14ac:dyDescent="0.3">
      <c r="A37" s="1">
        <v>38062</v>
      </c>
      <c r="B37">
        <v>103.06</v>
      </c>
      <c r="C37">
        <v>5658.9</v>
      </c>
    </row>
    <row r="38" spans="1:3" x14ac:dyDescent="0.3">
      <c r="A38" s="1">
        <v>38063</v>
      </c>
      <c r="B38">
        <v>104.22</v>
      </c>
      <c r="C38">
        <v>5710.75</v>
      </c>
    </row>
    <row r="39" spans="1:3" x14ac:dyDescent="0.3">
      <c r="A39" s="1">
        <v>38064</v>
      </c>
      <c r="B39">
        <v>104.43</v>
      </c>
      <c r="C39">
        <v>5710.7</v>
      </c>
    </row>
    <row r="40" spans="1:3" x14ac:dyDescent="0.3">
      <c r="A40" s="1">
        <v>38065</v>
      </c>
      <c r="B40">
        <v>104.03</v>
      </c>
      <c r="C40">
        <v>5644.17</v>
      </c>
    </row>
    <row r="41" spans="1:3" x14ac:dyDescent="0.3">
      <c r="A41" s="1">
        <v>38068</v>
      </c>
      <c r="B41">
        <v>103.97</v>
      </c>
      <c r="C41">
        <v>5564.88</v>
      </c>
    </row>
    <row r="42" spans="1:3" x14ac:dyDescent="0.3">
      <c r="A42" s="1">
        <v>38069</v>
      </c>
      <c r="B42">
        <v>103.36</v>
      </c>
      <c r="C42">
        <v>5563.65</v>
      </c>
    </row>
    <row r="43" spans="1:3" x14ac:dyDescent="0.3">
      <c r="A43" s="1">
        <v>38070</v>
      </c>
      <c r="B43">
        <v>103.02</v>
      </c>
      <c r="C43">
        <v>5539.17</v>
      </c>
    </row>
    <row r="44" spans="1:3" x14ac:dyDescent="0.3">
      <c r="A44" s="1">
        <v>38071</v>
      </c>
      <c r="B44">
        <v>104.54</v>
      </c>
      <c r="C44">
        <v>5610.79</v>
      </c>
    </row>
    <row r="45" spans="1:3" x14ac:dyDescent="0.3">
      <c r="A45" s="1">
        <v>38072</v>
      </c>
      <c r="B45">
        <v>103.95</v>
      </c>
      <c r="C45">
        <v>5610.17</v>
      </c>
    </row>
    <row r="46" spans="1:3" x14ac:dyDescent="0.3">
      <c r="A46" s="1">
        <v>38075</v>
      </c>
      <c r="B46">
        <v>104.88</v>
      </c>
      <c r="C46">
        <v>5683.21</v>
      </c>
    </row>
    <row r="47" spans="1:3" x14ac:dyDescent="0.3">
      <c r="A47" s="1">
        <v>38076</v>
      </c>
      <c r="B47">
        <v>105.98</v>
      </c>
      <c r="C47">
        <v>5710</v>
      </c>
    </row>
    <row r="48" spans="1:3" x14ac:dyDescent="0.3">
      <c r="A48" s="1">
        <v>38077</v>
      </c>
      <c r="B48">
        <v>104.88</v>
      </c>
      <c r="C48">
        <v>5704.74</v>
      </c>
    </row>
    <row r="49" spans="1:3" x14ac:dyDescent="0.3">
      <c r="A49" s="1">
        <v>38078</v>
      </c>
      <c r="B49">
        <v>105.98</v>
      </c>
      <c r="C49">
        <v>5735.82</v>
      </c>
    </row>
    <row r="50" spans="1:3" x14ac:dyDescent="0.3">
      <c r="A50" s="1">
        <v>38079</v>
      </c>
      <c r="B50">
        <v>106.11</v>
      </c>
      <c r="C50">
        <v>5763.8</v>
      </c>
    </row>
    <row r="51" spans="1:3" x14ac:dyDescent="0.3">
      <c r="A51" s="1">
        <v>38082</v>
      </c>
      <c r="B51">
        <v>106.35</v>
      </c>
      <c r="C51">
        <v>5808.74</v>
      </c>
    </row>
    <row r="52" spans="1:3" x14ac:dyDescent="0.3">
      <c r="A52" s="1">
        <v>38083</v>
      </c>
      <c r="B52">
        <v>107</v>
      </c>
      <c r="C52">
        <v>5802</v>
      </c>
    </row>
    <row r="53" spans="1:3" x14ac:dyDescent="0.3">
      <c r="A53" s="1">
        <v>38084</v>
      </c>
      <c r="B53">
        <v>106.45</v>
      </c>
      <c r="C53">
        <v>5764.28</v>
      </c>
    </row>
    <row r="54" spans="1:3" x14ac:dyDescent="0.3">
      <c r="A54" s="1">
        <v>38085</v>
      </c>
      <c r="B54">
        <v>106.4</v>
      </c>
      <c r="C54">
        <v>5754.38</v>
      </c>
    </row>
    <row r="55" spans="1:3" x14ac:dyDescent="0.3">
      <c r="A55" s="1">
        <v>38089</v>
      </c>
      <c r="B55">
        <v>107.12</v>
      </c>
      <c r="C55">
        <v>5788.58</v>
      </c>
    </row>
    <row r="56" spans="1:3" x14ac:dyDescent="0.3">
      <c r="A56" s="1">
        <v>38090</v>
      </c>
      <c r="B56">
        <v>105.93</v>
      </c>
      <c r="C56">
        <v>5712.29</v>
      </c>
    </row>
    <row r="57" spans="1:3" x14ac:dyDescent="0.3">
      <c r="A57" s="1">
        <v>38091</v>
      </c>
      <c r="B57">
        <v>105.81</v>
      </c>
      <c r="C57">
        <v>5710.51</v>
      </c>
    </row>
    <row r="58" spans="1:3" x14ac:dyDescent="0.3">
      <c r="A58" s="1">
        <v>38092</v>
      </c>
      <c r="B58">
        <v>106.12</v>
      </c>
      <c r="C58">
        <v>5735.43</v>
      </c>
    </row>
    <row r="59" spans="1:3" x14ac:dyDescent="0.3">
      <c r="A59" s="1">
        <v>38093</v>
      </c>
      <c r="B59">
        <v>105.97</v>
      </c>
      <c r="C59">
        <v>5769.2</v>
      </c>
    </row>
    <row r="60" spans="1:3" x14ac:dyDescent="0.3">
      <c r="A60" s="1">
        <v>38096</v>
      </c>
      <c r="B60">
        <v>106.02</v>
      </c>
      <c r="C60">
        <v>5764.06</v>
      </c>
    </row>
    <row r="61" spans="1:3" x14ac:dyDescent="0.3">
      <c r="A61" s="1">
        <v>38097</v>
      </c>
      <c r="B61">
        <v>104.61</v>
      </c>
      <c r="C61">
        <v>5681.37</v>
      </c>
    </row>
    <row r="62" spans="1:3" x14ac:dyDescent="0.3">
      <c r="A62" s="1">
        <v>38098</v>
      </c>
      <c r="B62">
        <v>103.54</v>
      </c>
      <c r="C62">
        <v>5709.47</v>
      </c>
    </row>
    <row r="63" spans="1:3" x14ac:dyDescent="0.3">
      <c r="A63" s="1">
        <v>38099</v>
      </c>
      <c r="B63">
        <v>104.63</v>
      </c>
      <c r="C63">
        <v>5770.83</v>
      </c>
    </row>
    <row r="64" spans="1:3" x14ac:dyDescent="0.3">
      <c r="A64" s="1">
        <v>38100</v>
      </c>
      <c r="B64">
        <v>104.99</v>
      </c>
      <c r="C64">
        <v>5755.2</v>
      </c>
    </row>
    <row r="65" spans="1:3" x14ac:dyDescent="0.3">
      <c r="A65" s="1">
        <v>38103</v>
      </c>
      <c r="B65">
        <v>105.24</v>
      </c>
      <c r="C65">
        <v>5742.36</v>
      </c>
    </row>
    <row r="66" spans="1:3" x14ac:dyDescent="0.3">
      <c r="A66" s="1">
        <v>38104</v>
      </c>
      <c r="B66">
        <v>105.63</v>
      </c>
      <c r="C66">
        <v>5758.03</v>
      </c>
    </row>
    <row r="67" spans="1:3" x14ac:dyDescent="0.3">
      <c r="A67" s="1">
        <v>38105</v>
      </c>
      <c r="B67">
        <v>104.17</v>
      </c>
      <c r="C67">
        <v>5685.17</v>
      </c>
    </row>
    <row r="68" spans="1:3" x14ac:dyDescent="0.3">
      <c r="A68" s="1">
        <v>38106</v>
      </c>
      <c r="B68">
        <v>105.97</v>
      </c>
      <c r="C68">
        <v>5656.06</v>
      </c>
    </row>
    <row r="69" spans="1:3" x14ac:dyDescent="0.3">
      <c r="A69" s="1">
        <v>38107</v>
      </c>
      <c r="B69">
        <v>105.79</v>
      </c>
      <c r="C69">
        <v>5641.27</v>
      </c>
    </row>
    <row r="70" spans="1:3" x14ac:dyDescent="0.3">
      <c r="A70" s="1">
        <v>38110</v>
      </c>
      <c r="B70">
        <v>106.79</v>
      </c>
      <c r="C70">
        <v>5695.06</v>
      </c>
    </row>
    <row r="71" spans="1:3" x14ac:dyDescent="0.3">
      <c r="A71" s="1">
        <v>38111</v>
      </c>
      <c r="B71">
        <v>106.3</v>
      </c>
      <c r="C71">
        <v>5704.47</v>
      </c>
    </row>
    <row r="72" spans="1:3" x14ac:dyDescent="0.3">
      <c r="A72" s="1">
        <v>38112</v>
      </c>
      <c r="B72">
        <v>106.81</v>
      </c>
      <c r="C72">
        <v>5711.06</v>
      </c>
    </row>
    <row r="73" spans="1:3" x14ac:dyDescent="0.3">
      <c r="A73" s="1">
        <v>38113</v>
      </c>
      <c r="B73">
        <v>107.78</v>
      </c>
      <c r="C73">
        <v>5676.92</v>
      </c>
    </row>
    <row r="74" spans="1:3" x14ac:dyDescent="0.3">
      <c r="A74" s="1">
        <v>38114</v>
      </c>
      <c r="B74">
        <v>106.72</v>
      </c>
      <c r="C74">
        <v>5597.56</v>
      </c>
    </row>
    <row r="75" spans="1:3" x14ac:dyDescent="0.3">
      <c r="A75" s="1">
        <v>38117</v>
      </c>
      <c r="B75">
        <v>105.67</v>
      </c>
      <c r="C75">
        <v>5533.68</v>
      </c>
    </row>
    <row r="76" spans="1:3" x14ac:dyDescent="0.3">
      <c r="A76" s="1">
        <v>38118</v>
      </c>
      <c r="B76">
        <v>106.08</v>
      </c>
      <c r="C76">
        <v>5561</v>
      </c>
    </row>
    <row r="77" spans="1:3" x14ac:dyDescent="0.3">
      <c r="A77" s="1">
        <v>38119</v>
      </c>
      <c r="B77">
        <v>106.14</v>
      </c>
      <c r="C77">
        <v>5579.07</v>
      </c>
    </row>
    <row r="78" spans="1:3" x14ac:dyDescent="0.3">
      <c r="A78" s="1">
        <v>38120</v>
      </c>
      <c r="B78">
        <v>105.31</v>
      </c>
      <c r="C78">
        <v>5567.94</v>
      </c>
    </row>
    <row r="79" spans="1:3" x14ac:dyDescent="0.3">
      <c r="A79" s="1">
        <v>38121</v>
      </c>
      <c r="B79">
        <v>106.41</v>
      </c>
      <c r="C79">
        <v>5571.48</v>
      </c>
    </row>
    <row r="80" spans="1:3" x14ac:dyDescent="0.3">
      <c r="A80" s="1">
        <v>38124</v>
      </c>
      <c r="B80">
        <v>106.28</v>
      </c>
      <c r="C80">
        <v>5518.68</v>
      </c>
    </row>
    <row r="81" spans="1:3" x14ac:dyDescent="0.3">
      <c r="A81" s="1">
        <v>38125</v>
      </c>
      <c r="B81">
        <v>106.06</v>
      </c>
      <c r="C81">
        <v>5548.2</v>
      </c>
    </row>
    <row r="82" spans="1:3" x14ac:dyDescent="0.3">
      <c r="A82" s="1">
        <v>38126</v>
      </c>
      <c r="B82">
        <v>105.48</v>
      </c>
      <c r="C82">
        <v>5532.92</v>
      </c>
    </row>
    <row r="83" spans="1:3" x14ac:dyDescent="0.3">
      <c r="A83" s="1">
        <v>38127</v>
      </c>
      <c r="B83">
        <v>106.69</v>
      </c>
      <c r="C83">
        <v>5536.55</v>
      </c>
    </row>
    <row r="84" spans="1:3" x14ac:dyDescent="0.3">
      <c r="A84" s="1">
        <v>38128</v>
      </c>
      <c r="B84">
        <v>106.91</v>
      </c>
      <c r="C84">
        <v>5551.13</v>
      </c>
    </row>
    <row r="85" spans="1:3" x14ac:dyDescent="0.3">
      <c r="A85" s="1">
        <v>38131</v>
      </c>
      <c r="B85">
        <v>106.17</v>
      </c>
      <c r="C85">
        <v>5547.29</v>
      </c>
    </row>
    <row r="86" spans="1:3" x14ac:dyDescent="0.3">
      <c r="A86" s="1">
        <v>38132</v>
      </c>
      <c r="B86">
        <v>107.76</v>
      </c>
      <c r="C86">
        <v>5629.73</v>
      </c>
    </row>
    <row r="87" spans="1:3" x14ac:dyDescent="0.3">
      <c r="A87" s="1">
        <v>38133</v>
      </c>
      <c r="B87">
        <v>107.6</v>
      </c>
      <c r="C87">
        <v>5634.87</v>
      </c>
    </row>
    <row r="88" spans="1:3" x14ac:dyDescent="0.3">
      <c r="A88" s="1">
        <v>38134</v>
      </c>
      <c r="B88">
        <v>108.58</v>
      </c>
      <c r="C88">
        <v>5671.88</v>
      </c>
    </row>
    <row r="89" spans="1:3" x14ac:dyDescent="0.3">
      <c r="A89" s="1">
        <v>38135</v>
      </c>
      <c r="B89">
        <v>107.82</v>
      </c>
      <c r="C89">
        <v>5660.94</v>
      </c>
    </row>
    <row r="90" spans="1:3" x14ac:dyDescent="0.3">
      <c r="A90" s="1">
        <v>38139</v>
      </c>
      <c r="B90">
        <v>108.6</v>
      </c>
      <c r="C90">
        <v>5669.07</v>
      </c>
    </row>
    <row r="91" spans="1:3" x14ac:dyDescent="0.3">
      <c r="A91" s="1">
        <v>38140</v>
      </c>
      <c r="B91">
        <v>108.81</v>
      </c>
      <c r="C91">
        <v>5695.35</v>
      </c>
    </row>
    <row r="92" spans="1:3" x14ac:dyDescent="0.3">
      <c r="A92" s="1">
        <v>38141</v>
      </c>
      <c r="B92">
        <v>107.95</v>
      </c>
      <c r="C92">
        <v>5659.78</v>
      </c>
    </row>
    <row r="93" spans="1:3" x14ac:dyDescent="0.3">
      <c r="A93" s="1">
        <v>38142</v>
      </c>
      <c r="B93">
        <v>107.87</v>
      </c>
      <c r="C93">
        <v>5683.19</v>
      </c>
    </row>
    <row r="94" spans="1:3" x14ac:dyDescent="0.3">
      <c r="A94" s="1">
        <v>38145</v>
      </c>
      <c r="B94">
        <v>109.5</v>
      </c>
      <c r="C94">
        <v>5759.47</v>
      </c>
    </row>
    <row r="95" spans="1:3" x14ac:dyDescent="0.3">
      <c r="A95" s="1">
        <v>38146</v>
      </c>
      <c r="B95">
        <v>110.29</v>
      </c>
      <c r="C95">
        <v>5766.65</v>
      </c>
    </row>
    <row r="96" spans="1:3" x14ac:dyDescent="0.3">
      <c r="A96" s="1">
        <v>38147</v>
      </c>
      <c r="B96">
        <v>110.76</v>
      </c>
      <c r="C96">
        <v>5719.47</v>
      </c>
    </row>
    <row r="97" spans="1:3" x14ac:dyDescent="0.3">
      <c r="A97" s="1">
        <v>38148</v>
      </c>
      <c r="B97">
        <v>110.52</v>
      </c>
      <c r="C97">
        <v>5739.67</v>
      </c>
    </row>
    <row r="98" spans="1:3" x14ac:dyDescent="0.3">
      <c r="A98" s="1">
        <v>38152</v>
      </c>
      <c r="B98">
        <v>110.54</v>
      </c>
      <c r="C98">
        <v>5691.31</v>
      </c>
    </row>
    <row r="99" spans="1:3" x14ac:dyDescent="0.3">
      <c r="A99" s="1">
        <v>38153</v>
      </c>
      <c r="B99">
        <v>111.04</v>
      </c>
      <c r="C99">
        <v>5711.78</v>
      </c>
    </row>
    <row r="100" spans="1:3" x14ac:dyDescent="0.3">
      <c r="A100" s="1">
        <v>38154</v>
      </c>
      <c r="B100">
        <v>111.18</v>
      </c>
      <c r="C100">
        <v>5723.45</v>
      </c>
    </row>
    <row r="101" spans="1:3" x14ac:dyDescent="0.3">
      <c r="A101" s="1">
        <v>38155</v>
      </c>
      <c r="B101">
        <v>110.37</v>
      </c>
      <c r="C101">
        <v>5721.74</v>
      </c>
    </row>
    <row r="102" spans="1:3" x14ac:dyDescent="0.3">
      <c r="A102" s="1">
        <v>38156</v>
      </c>
      <c r="B102">
        <v>110.19</v>
      </c>
      <c r="C102">
        <v>5736.55</v>
      </c>
    </row>
    <row r="103" spans="1:3" x14ac:dyDescent="0.3">
      <c r="A103" s="1">
        <v>38159</v>
      </c>
      <c r="B103">
        <v>55.5</v>
      </c>
      <c r="C103">
        <v>5711.81</v>
      </c>
    </row>
    <row r="104" spans="1:3" x14ac:dyDescent="0.3">
      <c r="A104" s="1">
        <v>38160</v>
      </c>
      <c r="B104">
        <v>55.9</v>
      </c>
      <c r="C104">
        <v>5717.86</v>
      </c>
    </row>
    <row r="105" spans="1:3" x14ac:dyDescent="0.3">
      <c r="A105" s="1">
        <v>38161</v>
      </c>
      <c r="B105">
        <v>55.96</v>
      </c>
      <c r="C105">
        <v>5758.44</v>
      </c>
    </row>
    <row r="106" spans="1:3" x14ac:dyDescent="0.3">
      <c r="A106" s="1">
        <v>38162</v>
      </c>
      <c r="B106">
        <v>55.29</v>
      </c>
      <c r="C106">
        <v>5743.93</v>
      </c>
    </row>
    <row r="107" spans="1:3" x14ac:dyDescent="0.3">
      <c r="A107" s="1">
        <v>38163</v>
      </c>
      <c r="B107">
        <v>54.75</v>
      </c>
      <c r="C107">
        <v>5683.6</v>
      </c>
    </row>
    <row r="108" spans="1:3" x14ac:dyDescent="0.3">
      <c r="A108" s="1">
        <v>38166</v>
      </c>
      <c r="B108">
        <v>54.6</v>
      </c>
      <c r="C108">
        <v>5687.88</v>
      </c>
    </row>
    <row r="109" spans="1:3" x14ac:dyDescent="0.3">
      <c r="A109" s="1">
        <v>38167</v>
      </c>
      <c r="B109">
        <v>54.85</v>
      </c>
      <c r="C109">
        <v>5697.68</v>
      </c>
    </row>
    <row r="110" spans="1:3" x14ac:dyDescent="0.3">
      <c r="A110" s="1">
        <v>38168</v>
      </c>
      <c r="B110">
        <v>54.44</v>
      </c>
      <c r="C110">
        <v>5710.69</v>
      </c>
    </row>
    <row r="111" spans="1:3" x14ac:dyDescent="0.3">
      <c r="A111" s="1">
        <v>38169</v>
      </c>
      <c r="B111">
        <v>54.25</v>
      </c>
      <c r="C111">
        <v>5658.66</v>
      </c>
    </row>
    <row r="112" spans="1:3" x14ac:dyDescent="0.3">
      <c r="A112" s="1">
        <v>38170</v>
      </c>
      <c r="B112">
        <v>54.33</v>
      </c>
      <c r="C112">
        <v>5645.59</v>
      </c>
    </row>
    <row r="113" spans="1:3" x14ac:dyDescent="0.3">
      <c r="A113" s="1">
        <v>38174</v>
      </c>
      <c r="B113">
        <v>54.15</v>
      </c>
      <c r="C113">
        <v>5616.65</v>
      </c>
    </row>
    <row r="114" spans="1:3" x14ac:dyDescent="0.3">
      <c r="A114" s="1">
        <v>38175</v>
      </c>
      <c r="B114">
        <v>54.42</v>
      </c>
      <c r="C114">
        <v>5623.44</v>
      </c>
    </row>
    <row r="115" spans="1:3" x14ac:dyDescent="0.3">
      <c r="A115" s="1">
        <v>38176</v>
      </c>
      <c r="B115">
        <v>54.55</v>
      </c>
      <c r="C115">
        <v>5589.25</v>
      </c>
    </row>
    <row r="116" spans="1:3" x14ac:dyDescent="0.3">
      <c r="A116" s="1">
        <v>38177</v>
      </c>
      <c r="B116">
        <v>54.72</v>
      </c>
      <c r="C116">
        <v>5604.67</v>
      </c>
    </row>
    <row r="117" spans="1:3" x14ac:dyDescent="0.3">
      <c r="A117" s="1">
        <v>38180</v>
      </c>
      <c r="B117">
        <v>54.88</v>
      </c>
      <c r="C117">
        <v>5619.67</v>
      </c>
    </row>
    <row r="118" spans="1:3" x14ac:dyDescent="0.3">
      <c r="A118" s="1">
        <v>38181</v>
      </c>
      <c r="B118">
        <v>54.9</v>
      </c>
      <c r="C118">
        <v>5632.85</v>
      </c>
    </row>
    <row r="119" spans="1:3" x14ac:dyDescent="0.3">
      <c r="A119" s="1">
        <v>38182</v>
      </c>
      <c r="B119">
        <v>55.08</v>
      </c>
      <c r="C119">
        <v>5624.02</v>
      </c>
    </row>
    <row r="120" spans="1:3" x14ac:dyDescent="0.3">
      <c r="A120" s="1">
        <v>38183</v>
      </c>
      <c r="B120">
        <v>55.01</v>
      </c>
      <c r="C120">
        <v>5587.51</v>
      </c>
    </row>
    <row r="121" spans="1:3" x14ac:dyDescent="0.3">
      <c r="A121" s="1">
        <v>38184</v>
      </c>
      <c r="B121">
        <v>55.1</v>
      </c>
      <c r="C121">
        <v>5578.42</v>
      </c>
    </row>
    <row r="122" spans="1:3" x14ac:dyDescent="0.3">
      <c r="A122" s="1">
        <v>38187</v>
      </c>
      <c r="B122">
        <v>54.68</v>
      </c>
      <c r="C122">
        <v>5571.2</v>
      </c>
    </row>
    <row r="123" spans="1:3" x14ac:dyDescent="0.3">
      <c r="A123" s="1">
        <v>38188</v>
      </c>
      <c r="B123">
        <v>54.5</v>
      </c>
      <c r="C123">
        <v>5594.86</v>
      </c>
    </row>
    <row r="124" spans="1:3" x14ac:dyDescent="0.3">
      <c r="A124" s="1">
        <v>38189</v>
      </c>
      <c r="B124">
        <v>53.24</v>
      </c>
      <c r="C124">
        <v>5524.57</v>
      </c>
    </row>
    <row r="125" spans="1:3" x14ac:dyDescent="0.3">
      <c r="A125" s="1">
        <v>38190</v>
      </c>
      <c r="B125">
        <v>53.38</v>
      </c>
      <c r="C125">
        <v>5541.86</v>
      </c>
    </row>
    <row r="126" spans="1:3" x14ac:dyDescent="0.3">
      <c r="A126" s="1">
        <v>38191</v>
      </c>
      <c r="B126">
        <v>52.49</v>
      </c>
      <c r="C126">
        <v>5502.4</v>
      </c>
    </row>
    <row r="127" spans="1:3" x14ac:dyDescent="0.3">
      <c r="A127" s="1">
        <v>38194</v>
      </c>
      <c r="B127">
        <v>53.12</v>
      </c>
      <c r="C127">
        <v>5496.83</v>
      </c>
    </row>
    <row r="128" spans="1:3" x14ac:dyDescent="0.3">
      <c r="A128" s="1">
        <v>38195</v>
      </c>
      <c r="B128">
        <v>53.89</v>
      </c>
      <c r="C128">
        <v>5552.73</v>
      </c>
    </row>
    <row r="129" spans="1:3" x14ac:dyDescent="0.3">
      <c r="A129" s="1">
        <v>38196</v>
      </c>
      <c r="B129">
        <v>53.44</v>
      </c>
      <c r="C129">
        <v>5560.16</v>
      </c>
    </row>
    <row r="130" spans="1:3" x14ac:dyDescent="0.3">
      <c r="A130" s="1">
        <v>38197</v>
      </c>
      <c r="B130">
        <v>52.92</v>
      </c>
      <c r="C130">
        <v>5570.9</v>
      </c>
    </row>
    <row r="131" spans="1:3" x14ac:dyDescent="0.3">
      <c r="A131" s="1">
        <v>38198</v>
      </c>
      <c r="B131">
        <v>52.15</v>
      </c>
      <c r="C131">
        <v>5572.1</v>
      </c>
    </row>
    <row r="132" spans="1:3" x14ac:dyDescent="0.3">
      <c r="A132" s="1">
        <v>38201</v>
      </c>
      <c r="B132">
        <v>53.34</v>
      </c>
      <c r="C132">
        <v>5594.93</v>
      </c>
    </row>
    <row r="133" spans="1:3" x14ac:dyDescent="0.3">
      <c r="A133" s="1">
        <v>38202</v>
      </c>
      <c r="B133">
        <v>53.66</v>
      </c>
      <c r="C133">
        <v>5581.13</v>
      </c>
    </row>
    <row r="134" spans="1:3" x14ac:dyDescent="0.3">
      <c r="A134" s="1">
        <v>38203</v>
      </c>
      <c r="B134">
        <v>54.06</v>
      </c>
      <c r="C134">
        <v>5577.42</v>
      </c>
    </row>
    <row r="135" spans="1:3" x14ac:dyDescent="0.3">
      <c r="A135" s="1">
        <v>38204</v>
      </c>
      <c r="B135">
        <v>53.15</v>
      </c>
      <c r="C135">
        <v>5491.75</v>
      </c>
    </row>
    <row r="136" spans="1:3" x14ac:dyDescent="0.3">
      <c r="A136" s="1">
        <v>38205</v>
      </c>
      <c r="B136">
        <v>52.99</v>
      </c>
      <c r="C136">
        <v>5419.53</v>
      </c>
    </row>
    <row r="137" spans="1:3" x14ac:dyDescent="0.3">
      <c r="A137" s="1">
        <v>38208</v>
      </c>
      <c r="B137">
        <v>53.09</v>
      </c>
      <c r="C137">
        <v>5423.13</v>
      </c>
    </row>
    <row r="138" spans="1:3" x14ac:dyDescent="0.3">
      <c r="A138" s="1">
        <v>38209</v>
      </c>
      <c r="B138">
        <v>54.2</v>
      </c>
      <c r="C138">
        <v>5483.68</v>
      </c>
    </row>
    <row r="139" spans="1:3" x14ac:dyDescent="0.3">
      <c r="A139" s="1">
        <v>38210</v>
      </c>
      <c r="B139">
        <v>54.67</v>
      </c>
      <c r="C139">
        <v>5492.16</v>
      </c>
    </row>
    <row r="140" spans="1:3" x14ac:dyDescent="0.3">
      <c r="A140" s="1">
        <v>38211</v>
      </c>
      <c r="B140">
        <v>54.29</v>
      </c>
      <c r="C140">
        <v>5435.54</v>
      </c>
    </row>
    <row r="141" spans="1:3" x14ac:dyDescent="0.3">
      <c r="A141" s="1">
        <v>38212</v>
      </c>
      <c r="B141">
        <v>54.46</v>
      </c>
      <c r="C141">
        <v>5438.89</v>
      </c>
    </row>
    <row r="142" spans="1:3" x14ac:dyDescent="0.3">
      <c r="A142" s="1">
        <v>38215</v>
      </c>
      <c r="B142">
        <v>54.97</v>
      </c>
      <c r="C142">
        <v>5508.79</v>
      </c>
    </row>
    <row r="143" spans="1:3" x14ac:dyDescent="0.3">
      <c r="A143" s="1">
        <v>38216</v>
      </c>
      <c r="B143">
        <v>54.84</v>
      </c>
      <c r="C143">
        <v>5515.38</v>
      </c>
    </row>
    <row r="144" spans="1:3" x14ac:dyDescent="0.3">
      <c r="A144" s="1">
        <v>38217</v>
      </c>
      <c r="B144">
        <v>55.2</v>
      </c>
      <c r="C144">
        <v>5577.62</v>
      </c>
    </row>
    <row r="145" spans="1:3" x14ac:dyDescent="0.3">
      <c r="A145" s="1">
        <v>38218</v>
      </c>
      <c r="B145">
        <v>54.48</v>
      </c>
      <c r="C145">
        <v>5561.91</v>
      </c>
    </row>
    <row r="146" spans="1:3" x14ac:dyDescent="0.3">
      <c r="A146" s="1">
        <v>38219</v>
      </c>
      <c r="B146">
        <v>54.85</v>
      </c>
      <c r="C146">
        <v>5598.4</v>
      </c>
    </row>
    <row r="147" spans="1:3" x14ac:dyDescent="0.3">
      <c r="A147" s="1">
        <v>38222</v>
      </c>
      <c r="B147">
        <v>54.75</v>
      </c>
      <c r="C147">
        <v>5580.59</v>
      </c>
    </row>
    <row r="148" spans="1:3" x14ac:dyDescent="0.3">
      <c r="A148" s="1">
        <v>38223</v>
      </c>
      <c r="B148">
        <v>54.95</v>
      </c>
      <c r="C148">
        <v>5586.28</v>
      </c>
    </row>
    <row r="149" spans="1:3" x14ac:dyDescent="0.3">
      <c r="A149" s="1">
        <v>38224</v>
      </c>
      <c r="B149">
        <v>55.3</v>
      </c>
      <c r="C149">
        <v>5624.81</v>
      </c>
    </row>
    <row r="150" spans="1:3" x14ac:dyDescent="0.3">
      <c r="A150" s="1">
        <v>38225</v>
      </c>
      <c r="B150">
        <v>55.7</v>
      </c>
      <c r="C150">
        <v>5629.87</v>
      </c>
    </row>
    <row r="151" spans="1:3" x14ac:dyDescent="0.3">
      <c r="A151" s="1">
        <v>38226</v>
      </c>
      <c r="B151">
        <v>55.98</v>
      </c>
      <c r="C151">
        <v>5645.78</v>
      </c>
    </row>
    <row r="152" spans="1:3" x14ac:dyDescent="0.3">
      <c r="A152" s="1">
        <v>38229</v>
      </c>
      <c r="B152">
        <v>55.51</v>
      </c>
      <c r="C152">
        <v>5606.14</v>
      </c>
    </row>
    <row r="153" spans="1:3" x14ac:dyDescent="0.3">
      <c r="A153" s="1">
        <v>38230</v>
      </c>
      <c r="B153">
        <v>55.97</v>
      </c>
      <c r="C153">
        <v>5640.42</v>
      </c>
    </row>
    <row r="154" spans="1:3" x14ac:dyDescent="0.3">
      <c r="A154" s="1">
        <v>38231</v>
      </c>
      <c r="B154">
        <v>56.2</v>
      </c>
      <c r="C154">
        <v>5636.71</v>
      </c>
    </row>
    <row r="155" spans="1:3" x14ac:dyDescent="0.3">
      <c r="A155" s="1">
        <v>38232</v>
      </c>
      <c r="B155">
        <v>56.49</v>
      </c>
      <c r="C155">
        <v>5695.8</v>
      </c>
    </row>
    <row r="156" spans="1:3" x14ac:dyDescent="0.3">
      <c r="A156" s="1">
        <v>38233</v>
      </c>
      <c r="B156">
        <v>56.55</v>
      </c>
      <c r="C156">
        <v>5688.76</v>
      </c>
    </row>
    <row r="157" spans="1:3" x14ac:dyDescent="0.3">
      <c r="A157" s="1">
        <v>38237</v>
      </c>
      <c r="B157">
        <v>56.65</v>
      </c>
      <c r="C157">
        <v>5727.44</v>
      </c>
    </row>
    <row r="158" spans="1:3" x14ac:dyDescent="0.3">
      <c r="A158" s="1">
        <v>38238</v>
      </c>
      <c r="B158">
        <v>56.73</v>
      </c>
      <c r="C158">
        <v>5706.51</v>
      </c>
    </row>
    <row r="159" spans="1:3" x14ac:dyDescent="0.3">
      <c r="A159" s="1">
        <v>38239</v>
      </c>
      <c r="B159">
        <v>56.09</v>
      </c>
      <c r="C159">
        <v>5708.69</v>
      </c>
    </row>
    <row r="160" spans="1:3" x14ac:dyDescent="0.3">
      <c r="A160" s="1">
        <v>38240</v>
      </c>
      <c r="B160">
        <v>56.18</v>
      </c>
      <c r="C160">
        <v>5725.05</v>
      </c>
    </row>
    <row r="161" spans="1:3" x14ac:dyDescent="0.3">
      <c r="A161" s="1">
        <v>38243</v>
      </c>
      <c r="B161">
        <v>56.27</v>
      </c>
      <c r="C161">
        <v>5725.17</v>
      </c>
    </row>
    <row r="162" spans="1:3" x14ac:dyDescent="0.3">
      <c r="A162" s="1">
        <v>38244</v>
      </c>
      <c r="B162">
        <v>56.65</v>
      </c>
      <c r="C162">
        <v>5738.29</v>
      </c>
    </row>
    <row r="163" spans="1:3" x14ac:dyDescent="0.3">
      <c r="A163" s="1">
        <v>38245</v>
      </c>
      <c r="B163">
        <v>56.3</v>
      </c>
      <c r="C163">
        <v>5698.06</v>
      </c>
    </row>
    <row r="164" spans="1:3" x14ac:dyDescent="0.3">
      <c r="A164" s="1">
        <v>38246</v>
      </c>
      <c r="B164">
        <v>55.91</v>
      </c>
      <c r="C164">
        <v>5711.95</v>
      </c>
    </row>
    <row r="165" spans="1:3" x14ac:dyDescent="0.3">
      <c r="A165" s="1">
        <v>38247</v>
      </c>
      <c r="B165">
        <v>56.26</v>
      </c>
      <c r="C165">
        <v>5739.75</v>
      </c>
    </row>
    <row r="166" spans="1:3" x14ac:dyDescent="0.3">
      <c r="A166" s="1">
        <v>38250</v>
      </c>
      <c r="B166">
        <v>54.38</v>
      </c>
      <c r="C166">
        <v>5693.92</v>
      </c>
    </row>
    <row r="167" spans="1:3" x14ac:dyDescent="0.3">
      <c r="A167" s="1">
        <v>38251</v>
      </c>
      <c r="B167">
        <v>54.88</v>
      </c>
      <c r="C167">
        <v>5726.81</v>
      </c>
    </row>
    <row r="168" spans="1:3" x14ac:dyDescent="0.3">
      <c r="A168" s="1">
        <v>38252</v>
      </c>
      <c r="B168">
        <v>54.3</v>
      </c>
      <c r="C168">
        <v>5646.59</v>
      </c>
    </row>
    <row r="169" spans="1:3" x14ac:dyDescent="0.3">
      <c r="A169" s="1">
        <v>38253</v>
      </c>
      <c r="B169">
        <v>54.28</v>
      </c>
      <c r="C169">
        <v>5606.06</v>
      </c>
    </row>
    <row r="170" spans="1:3" x14ac:dyDescent="0.3">
      <c r="A170" s="1">
        <v>38254</v>
      </c>
      <c r="B170">
        <v>54.08</v>
      </c>
      <c r="C170">
        <v>5617.24</v>
      </c>
    </row>
    <row r="171" spans="1:3" x14ac:dyDescent="0.3">
      <c r="A171" s="1">
        <v>38257</v>
      </c>
      <c r="B171">
        <v>53.63</v>
      </c>
      <c r="C171">
        <v>5589.3</v>
      </c>
    </row>
    <row r="172" spans="1:3" x14ac:dyDescent="0.3">
      <c r="A172" s="1">
        <v>38258</v>
      </c>
      <c r="B172">
        <v>53.77</v>
      </c>
      <c r="C172">
        <v>5623.42</v>
      </c>
    </row>
    <row r="173" spans="1:3" x14ac:dyDescent="0.3">
      <c r="A173" s="1">
        <v>38259</v>
      </c>
      <c r="B173">
        <v>54.46</v>
      </c>
      <c r="C173">
        <v>5638.3</v>
      </c>
    </row>
    <row r="174" spans="1:3" x14ac:dyDescent="0.3">
      <c r="A174" s="1">
        <v>38260</v>
      </c>
      <c r="B174">
        <v>54.12</v>
      </c>
      <c r="C174">
        <v>5616.85</v>
      </c>
    </row>
    <row r="175" spans="1:3" x14ac:dyDescent="0.3">
      <c r="A175" s="1">
        <v>38261</v>
      </c>
      <c r="B175">
        <v>54.66</v>
      </c>
      <c r="C175">
        <v>5692.78</v>
      </c>
    </row>
    <row r="176" spans="1:3" x14ac:dyDescent="0.3">
      <c r="A176" s="1">
        <v>38264</v>
      </c>
      <c r="B176">
        <v>54.35</v>
      </c>
      <c r="C176">
        <v>5714.78</v>
      </c>
    </row>
    <row r="177" spans="1:3" x14ac:dyDescent="0.3">
      <c r="A177" s="1">
        <v>38265</v>
      </c>
      <c r="B177">
        <v>54.26</v>
      </c>
      <c r="C177">
        <v>5705.77</v>
      </c>
    </row>
    <row r="178" spans="1:3" x14ac:dyDescent="0.3">
      <c r="A178" s="1">
        <v>38266</v>
      </c>
      <c r="B178">
        <v>54.3</v>
      </c>
      <c r="C178">
        <v>5739.85</v>
      </c>
    </row>
    <row r="179" spans="1:3" x14ac:dyDescent="0.3">
      <c r="A179" s="1">
        <v>38267</v>
      </c>
      <c r="B179">
        <v>53.64</v>
      </c>
      <c r="C179">
        <v>5680.13</v>
      </c>
    </row>
    <row r="180" spans="1:3" x14ac:dyDescent="0.3">
      <c r="A180" s="1">
        <v>38268</v>
      </c>
      <c r="B180">
        <v>53.45</v>
      </c>
      <c r="C180">
        <v>5647.14</v>
      </c>
    </row>
    <row r="181" spans="1:3" x14ac:dyDescent="0.3">
      <c r="A181" s="1">
        <v>38271</v>
      </c>
      <c r="B181">
        <v>53.67</v>
      </c>
      <c r="C181">
        <v>5662.63</v>
      </c>
    </row>
    <row r="182" spans="1:3" x14ac:dyDescent="0.3">
      <c r="A182" s="1">
        <v>38272</v>
      </c>
      <c r="B182">
        <v>53.53</v>
      </c>
      <c r="C182">
        <v>5650.18</v>
      </c>
    </row>
    <row r="183" spans="1:3" x14ac:dyDescent="0.3">
      <c r="A183" s="1">
        <v>38273</v>
      </c>
      <c r="B183">
        <v>53.02</v>
      </c>
      <c r="C183">
        <v>5602.98</v>
      </c>
    </row>
    <row r="184" spans="1:3" x14ac:dyDescent="0.3">
      <c r="A184" s="1">
        <v>38274</v>
      </c>
      <c r="B184">
        <v>52.97</v>
      </c>
      <c r="C184">
        <v>5542.63</v>
      </c>
    </row>
    <row r="185" spans="1:3" x14ac:dyDescent="0.3">
      <c r="A185" s="1">
        <v>38275</v>
      </c>
      <c r="B185">
        <v>53.69</v>
      </c>
      <c r="C185">
        <v>5565.26</v>
      </c>
    </row>
    <row r="186" spans="1:3" x14ac:dyDescent="0.3">
      <c r="A186" s="1">
        <v>38278</v>
      </c>
      <c r="B186">
        <v>53.66</v>
      </c>
      <c r="C186">
        <v>5588.66</v>
      </c>
    </row>
    <row r="187" spans="1:3" x14ac:dyDescent="0.3">
      <c r="A187" s="1">
        <v>38279</v>
      </c>
      <c r="B187">
        <v>53</v>
      </c>
      <c r="C187">
        <v>5536.55</v>
      </c>
    </row>
    <row r="188" spans="1:3" x14ac:dyDescent="0.3">
      <c r="A188" s="1">
        <v>38280</v>
      </c>
      <c r="B188">
        <v>53.56</v>
      </c>
      <c r="C188">
        <v>5523.27</v>
      </c>
    </row>
    <row r="189" spans="1:3" x14ac:dyDescent="0.3">
      <c r="A189" s="1">
        <v>38281</v>
      </c>
      <c r="B189">
        <v>53.62</v>
      </c>
      <c r="C189">
        <v>5520.79</v>
      </c>
    </row>
    <row r="190" spans="1:3" x14ac:dyDescent="0.3">
      <c r="A190" s="1">
        <v>38282</v>
      </c>
      <c r="B190">
        <v>53.05</v>
      </c>
      <c r="C190">
        <v>5471.65</v>
      </c>
    </row>
    <row r="191" spans="1:3" x14ac:dyDescent="0.3">
      <c r="A191" s="1">
        <v>38285</v>
      </c>
      <c r="B191">
        <v>52.33</v>
      </c>
      <c r="C191">
        <v>5459.99</v>
      </c>
    </row>
    <row r="192" spans="1:3" x14ac:dyDescent="0.3">
      <c r="A192" s="1">
        <v>38286</v>
      </c>
      <c r="B192">
        <v>53.21</v>
      </c>
      <c r="C192">
        <v>5545.22</v>
      </c>
    </row>
    <row r="193" spans="1:3" x14ac:dyDescent="0.3">
      <c r="A193" s="1">
        <v>38287</v>
      </c>
      <c r="B193">
        <v>51.78</v>
      </c>
      <c r="C193">
        <v>5612.69</v>
      </c>
    </row>
    <row r="194" spans="1:3" x14ac:dyDescent="0.3">
      <c r="A194" s="1">
        <v>38288</v>
      </c>
      <c r="B194">
        <v>51.31</v>
      </c>
      <c r="C194">
        <v>5621.16</v>
      </c>
    </row>
    <row r="195" spans="1:3" x14ac:dyDescent="0.3">
      <c r="A195" s="1">
        <v>38289</v>
      </c>
      <c r="B195">
        <v>51.18</v>
      </c>
      <c r="C195">
        <v>5633.69</v>
      </c>
    </row>
    <row r="196" spans="1:3" x14ac:dyDescent="0.3">
      <c r="A196" s="1">
        <v>38292</v>
      </c>
      <c r="B196">
        <v>51</v>
      </c>
      <c r="C196">
        <v>5633.9</v>
      </c>
    </row>
    <row r="197" spans="1:3" x14ac:dyDescent="0.3">
      <c r="A197" s="1">
        <v>38293</v>
      </c>
      <c r="B197">
        <v>50.97</v>
      </c>
      <c r="C197">
        <v>5632.18</v>
      </c>
    </row>
    <row r="198" spans="1:3" x14ac:dyDescent="0.3">
      <c r="A198" s="1">
        <v>38294</v>
      </c>
      <c r="B198">
        <v>51.86</v>
      </c>
      <c r="C198">
        <v>5695.41</v>
      </c>
    </row>
    <row r="199" spans="1:3" x14ac:dyDescent="0.3">
      <c r="A199" s="1">
        <v>38295</v>
      </c>
      <c r="B199">
        <v>53.19</v>
      </c>
      <c r="C199">
        <v>5789.07</v>
      </c>
    </row>
    <row r="200" spans="1:3" x14ac:dyDescent="0.3">
      <c r="A200" s="1">
        <v>38296</v>
      </c>
      <c r="B200">
        <v>53.52</v>
      </c>
      <c r="C200">
        <v>5805.57</v>
      </c>
    </row>
    <row r="201" spans="1:3" x14ac:dyDescent="0.3">
      <c r="A201" s="1">
        <v>38299</v>
      </c>
      <c r="B201">
        <v>53.29</v>
      </c>
      <c r="C201">
        <v>5797.61</v>
      </c>
    </row>
    <row r="202" spans="1:3" x14ac:dyDescent="0.3">
      <c r="A202" s="1">
        <v>38300</v>
      </c>
      <c r="B202">
        <v>52.77</v>
      </c>
      <c r="C202">
        <v>5787.15</v>
      </c>
    </row>
    <row r="203" spans="1:3" x14ac:dyDescent="0.3">
      <c r="A203" s="1">
        <v>38301</v>
      </c>
      <c r="B203">
        <v>53</v>
      </c>
      <c r="C203">
        <v>5786.76</v>
      </c>
    </row>
    <row r="204" spans="1:3" x14ac:dyDescent="0.3">
      <c r="A204" s="1">
        <v>38302</v>
      </c>
      <c r="B204">
        <v>54</v>
      </c>
      <c r="C204">
        <v>5833.06</v>
      </c>
    </row>
    <row r="205" spans="1:3" x14ac:dyDescent="0.3">
      <c r="A205" s="1">
        <v>38303</v>
      </c>
      <c r="B205">
        <v>54.6</v>
      </c>
      <c r="C205">
        <v>5882.49</v>
      </c>
    </row>
    <row r="206" spans="1:3" x14ac:dyDescent="0.3">
      <c r="A206" s="1">
        <v>38306</v>
      </c>
      <c r="B206">
        <v>54.48</v>
      </c>
      <c r="C206">
        <v>5872.08</v>
      </c>
    </row>
    <row r="207" spans="1:3" x14ac:dyDescent="0.3">
      <c r="A207" s="1">
        <v>38307</v>
      </c>
      <c r="B207">
        <v>54.35</v>
      </c>
      <c r="C207">
        <v>5829.27</v>
      </c>
    </row>
    <row r="208" spans="1:3" x14ac:dyDescent="0.3">
      <c r="A208" s="1">
        <v>38308</v>
      </c>
      <c r="B208">
        <v>54.49</v>
      </c>
      <c r="C208">
        <v>5857.05</v>
      </c>
    </row>
    <row r="209" spans="1:3" x14ac:dyDescent="0.3">
      <c r="A209" s="1">
        <v>38309</v>
      </c>
      <c r="B209">
        <v>54.77</v>
      </c>
      <c r="C209">
        <v>5858.61</v>
      </c>
    </row>
    <row r="210" spans="1:3" x14ac:dyDescent="0.3">
      <c r="A210" s="1">
        <v>38310</v>
      </c>
      <c r="B210">
        <v>54.32</v>
      </c>
      <c r="C210">
        <v>5799.45</v>
      </c>
    </row>
    <row r="211" spans="1:3" x14ac:dyDescent="0.3">
      <c r="A211" s="1">
        <v>38313</v>
      </c>
      <c r="B211">
        <v>54.46</v>
      </c>
      <c r="C211">
        <v>5823.77</v>
      </c>
    </row>
    <row r="212" spans="1:3" x14ac:dyDescent="0.3">
      <c r="A212" s="1">
        <v>38314</v>
      </c>
      <c r="B212">
        <v>54.06</v>
      </c>
      <c r="C212">
        <v>5824.63</v>
      </c>
    </row>
    <row r="213" spans="1:3" x14ac:dyDescent="0.3">
      <c r="A213" s="1">
        <v>38315</v>
      </c>
      <c r="B213">
        <v>53.94</v>
      </c>
      <c r="C213">
        <v>5834.48</v>
      </c>
    </row>
    <row r="214" spans="1:3" x14ac:dyDescent="0.3">
      <c r="A214" s="1">
        <v>38317</v>
      </c>
      <c r="B214">
        <v>53.64</v>
      </c>
      <c r="C214">
        <v>5840.7</v>
      </c>
    </row>
    <row r="215" spans="1:3" x14ac:dyDescent="0.3">
      <c r="A215" s="1">
        <v>38320</v>
      </c>
      <c r="B215">
        <v>54.1</v>
      </c>
      <c r="C215">
        <v>5817.87</v>
      </c>
    </row>
    <row r="216" spans="1:3" x14ac:dyDescent="0.3">
      <c r="A216" s="1">
        <v>38321</v>
      </c>
      <c r="B216">
        <v>53.48</v>
      </c>
      <c r="C216">
        <v>5798.27</v>
      </c>
    </row>
    <row r="217" spans="1:3" x14ac:dyDescent="0.3">
      <c r="A217" s="1">
        <v>38322</v>
      </c>
      <c r="B217">
        <v>54.66</v>
      </c>
      <c r="C217">
        <v>5883.84</v>
      </c>
    </row>
    <row r="218" spans="1:3" x14ac:dyDescent="0.3">
      <c r="A218" s="1">
        <v>38323</v>
      </c>
      <c r="B218">
        <v>55.82</v>
      </c>
      <c r="C218">
        <v>5886.86</v>
      </c>
    </row>
    <row r="219" spans="1:3" x14ac:dyDescent="0.3">
      <c r="A219" s="1">
        <v>38324</v>
      </c>
      <c r="B219">
        <v>55.39</v>
      </c>
      <c r="C219">
        <v>5880.34</v>
      </c>
    </row>
    <row r="220" spans="1:3" x14ac:dyDescent="0.3">
      <c r="A220" s="1">
        <v>38327</v>
      </c>
      <c r="B220">
        <v>54.3</v>
      </c>
      <c r="C220">
        <v>5870.75</v>
      </c>
    </row>
    <row r="221" spans="1:3" x14ac:dyDescent="0.3">
      <c r="A221" s="1">
        <v>38328</v>
      </c>
      <c r="B221">
        <v>54.04</v>
      </c>
      <c r="C221">
        <v>5817.34</v>
      </c>
    </row>
    <row r="222" spans="1:3" x14ac:dyDescent="0.3">
      <c r="A222" s="1">
        <v>38329</v>
      </c>
      <c r="B222">
        <v>55.03</v>
      </c>
      <c r="C222">
        <v>5850.59</v>
      </c>
    </row>
    <row r="223" spans="1:3" x14ac:dyDescent="0.3">
      <c r="A223" s="1">
        <v>38330</v>
      </c>
      <c r="B223">
        <v>56.38</v>
      </c>
      <c r="C223">
        <v>5883.24</v>
      </c>
    </row>
    <row r="224" spans="1:3" x14ac:dyDescent="0.3">
      <c r="A224" s="1">
        <v>38331</v>
      </c>
      <c r="B224">
        <v>56.44</v>
      </c>
      <c r="C224">
        <v>5874.78</v>
      </c>
    </row>
    <row r="225" spans="1:3" x14ac:dyDescent="0.3">
      <c r="A225" s="1">
        <v>38334</v>
      </c>
      <c r="B225">
        <v>56.49</v>
      </c>
      <c r="C225">
        <v>5927.16</v>
      </c>
    </row>
    <row r="226" spans="1:3" x14ac:dyDescent="0.3">
      <c r="A226" s="1">
        <v>38335</v>
      </c>
      <c r="B226">
        <v>56.49</v>
      </c>
      <c r="C226">
        <v>5947.89</v>
      </c>
    </row>
    <row r="227" spans="1:3" x14ac:dyDescent="0.3">
      <c r="A227" s="1">
        <v>38336</v>
      </c>
      <c r="B227">
        <v>56.12</v>
      </c>
      <c r="C227">
        <v>5961.81</v>
      </c>
    </row>
    <row r="228" spans="1:3" x14ac:dyDescent="0.3">
      <c r="A228" s="1">
        <v>38337</v>
      </c>
      <c r="B228">
        <v>56.1</v>
      </c>
      <c r="C228">
        <v>5964.58</v>
      </c>
    </row>
    <row r="229" spans="1:3" x14ac:dyDescent="0.3">
      <c r="A229" s="1">
        <v>38338</v>
      </c>
      <c r="B229">
        <v>55.44</v>
      </c>
      <c r="C229">
        <v>5910.68</v>
      </c>
    </row>
    <row r="230" spans="1:3" x14ac:dyDescent="0.3">
      <c r="A230" s="1">
        <v>38341</v>
      </c>
      <c r="B230">
        <v>55.59</v>
      </c>
      <c r="C230">
        <v>5914.52</v>
      </c>
    </row>
    <row r="231" spans="1:3" x14ac:dyDescent="0.3">
      <c r="A231" s="1">
        <v>38342</v>
      </c>
      <c r="B231">
        <v>56.07</v>
      </c>
      <c r="C231">
        <v>5965.28</v>
      </c>
    </row>
    <row r="232" spans="1:3" x14ac:dyDescent="0.3">
      <c r="A232" s="1">
        <v>38343</v>
      </c>
      <c r="B232">
        <v>55.92</v>
      </c>
      <c r="C232">
        <v>5993.22</v>
      </c>
    </row>
    <row r="233" spans="1:3" x14ac:dyDescent="0.3">
      <c r="A233" s="1">
        <v>38344</v>
      </c>
      <c r="B233">
        <v>55.59</v>
      </c>
      <c r="C233">
        <v>5998.52</v>
      </c>
    </row>
    <row r="234" spans="1:3" x14ac:dyDescent="0.3">
      <c r="A234" s="1">
        <v>38348</v>
      </c>
      <c r="B234">
        <v>55.4</v>
      </c>
      <c r="C234">
        <v>5975.74</v>
      </c>
    </row>
    <row r="235" spans="1:3" x14ac:dyDescent="0.3">
      <c r="A235" s="1">
        <v>38349</v>
      </c>
      <c r="B235">
        <v>55.44</v>
      </c>
      <c r="C235">
        <v>6013.16</v>
      </c>
    </row>
    <row r="236" spans="1:3" x14ac:dyDescent="0.3">
      <c r="A236" s="1">
        <v>38350</v>
      </c>
      <c r="B236">
        <v>55.24</v>
      </c>
      <c r="C236">
        <v>6008.15</v>
      </c>
    </row>
    <row r="237" spans="1:3" x14ac:dyDescent="0.3">
      <c r="A237" s="1">
        <v>38351</v>
      </c>
      <c r="B237">
        <v>55.45</v>
      </c>
      <c r="C237">
        <v>6006.37</v>
      </c>
    </row>
    <row r="238" spans="1:3" x14ac:dyDescent="0.3">
      <c r="A238" s="1">
        <v>38352</v>
      </c>
      <c r="B238">
        <v>55.08</v>
      </c>
      <c r="C238">
        <v>5997.37</v>
      </c>
    </row>
    <row r="239" spans="1:3" x14ac:dyDescent="0.3">
      <c r="A239" s="1">
        <v>38355</v>
      </c>
      <c r="B239">
        <v>55.19</v>
      </c>
      <c r="C239">
        <v>5958.86</v>
      </c>
    </row>
    <row r="240" spans="1:3" x14ac:dyDescent="0.3">
      <c r="A240" s="1">
        <v>38356</v>
      </c>
      <c r="B240">
        <v>54.5</v>
      </c>
      <c r="C240">
        <v>5903.51</v>
      </c>
    </row>
    <row r="241" spans="1:3" x14ac:dyDescent="0.3">
      <c r="A241" s="1">
        <v>38357</v>
      </c>
      <c r="B241">
        <v>55.07</v>
      </c>
      <c r="C241">
        <v>5891.27</v>
      </c>
    </row>
    <row r="242" spans="1:3" x14ac:dyDescent="0.3">
      <c r="A242" s="1">
        <v>38358</v>
      </c>
      <c r="B242">
        <v>55.34</v>
      </c>
      <c r="C242">
        <v>5919.84</v>
      </c>
    </row>
    <row r="243" spans="1:3" x14ac:dyDescent="0.3">
      <c r="A243" s="1">
        <v>38359</v>
      </c>
      <c r="B243">
        <v>55.92</v>
      </c>
      <c r="C243">
        <v>5905.97</v>
      </c>
    </row>
    <row r="244" spans="1:3" x14ac:dyDescent="0.3">
      <c r="A244" s="1">
        <v>38362</v>
      </c>
      <c r="B244">
        <v>56.36</v>
      </c>
      <c r="C244">
        <v>5925.63</v>
      </c>
    </row>
    <row r="245" spans="1:3" x14ac:dyDescent="0.3">
      <c r="A245" s="1">
        <v>38363</v>
      </c>
      <c r="B245">
        <v>56.3</v>
      </c>
      <c r="C245">
        <v>5885.51</v>
      </c>
    </row>
    <row r="246" spans="1:3" x14ac:dyDescent="0.3">
      <c r="A246" s="1">
        <v>38364</v>
      </c>
      <c r="B246">
        <v>56.51</v>
      </c>
      <c r="C246">
        <v>5899.59</v>
      </c>
    </row>
    <row r="247" spans="1:3" x14ac:dyDescent="0.3">
      <c r="A247" s="1">
        <v>38365</v>
      </c>
      <c r="B247">
        <v>55.53</v>
      </c>
      <c r="C247">
        <v>5843.6</v>
      </c>
    </row>
    <row r="248" spans="1:3" x14ac:dyDescent="0.3">
      <c r="A248" s="1">
        <v>38366</v>
      </c>
      <c r="B248">
        <v>55.88</v>
      </c>
      <c r="C248">
        <v>5874.3</v>
      </c>
    </row>
    <row r="249" spans="1:3" x14ac:dyDescent="0.3">
      <c r="A249" s="1">
        <v>38370</v>
      </c>
      <c r="B249">
        <v>55.99</v>
      </c>
      <c r="C249">
        <v>5932.99</v>
      </c>
    </row>
    <row r="250" spans="1:3" x14ac:dyDescent="0.3">
      <c r="A250" s="1">
        <v>38371</v>
      </c>
      <c r="B250">
        <v>56.68</v>
      </c>
      <c r="C250">
        <v>5879.61</v>
      </c>
    </row>
    <row r="251" spans="1:3" x14ac:dyDescent="0.3">
      <c r="A251" s="1">
        <v>38372</v>
      </c>
      <c r="B251">
        <v>56.7</v>
      </c>
      <c r="C251">
        <v>5848.12</v>
      </c>
    </row>
    <row r="252" spans="1:3" x14ac:dyDescent="0.3">
      <c r="A252" s="1">
        <v>38373</v>
      </c>
      <c r="B252">
        <v>55.65</v>
      </c>
      <c r="C252">
        <v>5807.28</v>
      </c>
    </row>
    <row r="253" spans="1:3" x14ac:dyDescent="0.3">
      <c r="A253" s="1">
        <v>38376</v>
      </c>
      <c r="B253">
        <v>55.21</v>
      </c>
      <c r="C253">
        <v>5801.59</v>
      </c>
    </row>
    <row r="254" spans="1:3" x14ac:dyDescent="0.3">
      <c r="A254" s="1">
        <v>38377</v>
      </c>
      <c r="B254">
        <v>55.73</v>
      </c>
      <c r="C254">
        <v>5831.24</v>
      </c>
    </row>
    <row r="255" spans="1:3" x14ac:dyDescent="0.3">
      <c r="A255" s="1">
        <v>38378</v>
      </c>
      <c r="B255">
        <v>55.44</v>
      </c>
      <c r="C255">
        <v>5849.75</v>
      </c>
    </row>
    <row r="256" spans="1:3" x14ac:dyDescent="0.3">
      <c r="A256" s="1">
        <v>38379</v>
      </c>
      <c r="B256">
        <v>55.32</v>
      </c>
      <c r="C256">
        <v>5843.03</v>
      </c>
    </row>
    <row r="257" spans="1:3" x14ac:dyDescent="0.3">
      <c r="A257" s="1">
        <v>38380</v>
      </c>
      <c r="B257">
        <v>54.15</v>
      </c>
      <c r="C257">
        <v>5832.39</v>
      </c>
    </row>
    <row r="258" spans="1:3" x14ac:dyDescent="0.3">
      <c r="A258" s="1">
        <v>38383</v>
      </c>
      <c r="B258">
        <v>53.23</v>
      </c>
      <c r="C258">
        <v>5869.99</v>
      </c>
    </row>
    <row r="259" spans="1:3" x14ac:dyDescent="0.3">
      <c r="A259" s="1">
        <v>38384</v>
      </c>
      <c r="B259">
        <v>52.87</v>
      </c>
      <c r="C259">
        <v>5912.78</v>
      </c>
    </row>
    <row r="260" spans="1:3" x14ac:dyDescent="0.3">
      <c r="A260" s="1">
        <v>38385</v>
      </c>
      <c r="B260">
        <v>53.4</v>
      </c>
      <c r="C260">
        <v>5931.56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Gillete</vt:lpstr>
      <vt:lpstr>Proctor &amp; Gamble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Abdullah Tufail</cp:lastModifiedBy>
  <dcterms:created xsi:type="dcterms:W3CDTF">2025-05-27T07:52:26Z</dcterms:created>
  <dcterms:modified xsi:type="dcterms:W3CDTF">2025-10-13T04:56:44Z</dcterms:modified>
</cp:coreProperties>
</file>